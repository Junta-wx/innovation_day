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 Me First" sheetId="1" r:id="rId4"/>
    <sheet state="hidden" name=" 1.0 BAU Campaign Set up" sheetId="2" r:id="rId5"/>
    <sheet state="hidden" name="Tab 1 Data Brief WR or FSC Cust" sheetId="3" r:id="rId6"/>
    <sheet state="hidden" name="Template Lookup" sheetId="4" r:id="rId7"/>
    <sheet state="visible" name="Menu" sheetId="5" r:id="rId8"/>
    <sheet state="visible" name="Everyday RewardsServices Data B" sheetId="6" r:id="rId9"/>
    <sheet state="hidden" name="Sheet24" sheetId="7" r:id="rId10"/>
    <sheet state="hidden" name="Backup of Everyday RewardsFSC D" sheetId="8" r:id="rId11"/>
    <sheet state="hidden" name="ONL Data Brief" sheetId="9" r:id="rId12"/>
    <sheet state="hidden" name="meta" sheetId="10" r:id="rId13"/>
    <sheet state="hidden" name="Preference Lookup" sheetId="11" r:id="rId14"/>
    <sheet state="hidden" name="Copy of Preference Lookup" sheetId="12" r:id="rId15"/>
    <sheet state="hidden" name="Version Control" sheetId="13" r:id="rId16"/>
    <sheet state="hidden" name="Original Brief" sheetId="14" r:id="rId17"/>
    <sheet state="visible" name="Split Brief" sheetId="15" r:id="rId18"/>
  </sheets>
  <definedNames>
    <definedName localSheetId="7" name="Campaign_Code">'Backup of Everyday RewardsFSC D'!$F$15</definedName>
    <definedName name="Campaign_Code">'Everyday RewardsServices Data B'!$F$15</definedName>
    <definedName localSheetId="8" name="Campaign_Code">'ONL Data Brief'!$F$15</definedName>
    <definedName hidden="1" localSheetId="10" name="_xlnm._FilterDatabase">'Preference Lookup'!$B$2:$E$383</definedName>
  </definedNames>
  <calcPr/>
</workbook>
</file>

<file path=xl/sharedStrings.xml><?xml version="1.0" encoding="utf-8"?>
<sst xmlns="http://schemas.openxmlformats.org/spreadsheetml/2006/main" count="4579" uniqueCount="984">
  <si>
    <t>Read Me First</t>
  </si>
  <si>
    <r>
      <rPr>
        <rFont val="Proxima Nova"/>
        <color rgb="FF000000"/>
        <sz val="11.0"/>
      </rPr>
      <t xml:space="preserve">Please note that as at 31-Jul-18 the Data Brief Form has been changed from one to three Data Brief Forms - one each for </t>
    </r>
    <r>
      <rPr>
        <rFont val="Proxima Nova"/>
        <b/>
        <color rgb="FF000000"/>
        <sz val="11.0"/>
      </rPr>
      <t>Woolworths Rewards</t>
    </r>
    <r>
      <rPr>
        <rFont val="Proxima Nova"/>
        <color rgb="FF000000"/>
        <sz val="11.0"/>
      </rPr>
      <t xml:space="preserve"> or </t>
    </r>
    <r>
      <rPr>
        <rFont val="Proxima Nova"/>
        <b/>
        <color rgb="FF000000"/>
        <sz val="11.0"/>
      </rPr>
      <t>Frequent Shopper Club</t>
    </r>
    <r>
      <rPr>
        <rFont val="Proxima Nova"/>
        <color rgb="FF000000"/>
        <sz val="11.0"/>
      </rPr>
      <t xml:space="preserve"> Customer Bases, </t>
    </r>
    <r>
      <rPr>
        <rFont val="Proxima Nova"/>
        <b/>
        <color rgb="FF000000"/>
        <sz val="11.0"/>
      </rPr>
      <t>Services</t>
    </r>
    <r>
      <rPr>
        <rFont val="Proxima Nova"/>
        <color rgb="FF000000"/>
        <sz val="11.0"/>
      </rPr>
      <t xml:space="preserve"> Customer Bases, and </t>
    </r>
    <r>
      <rPr>
        <rFont val="Proxima Nova"/>
        <b/>
        <color rgb="FF000000"/>
        <sz val="11.0"/>
      </rPr>
      <t xml:space="preserve">Online </t>
    </r>
    <r>
      <rPr>
        <rFont val="Proxima Nova"/>
        <color rgb="FF000000"/>
        <sz val="11.0"/>
      </rPr>
      <t>Customer Bases, and other associated updates</t>
    </r>
  </si>
  <si>
    <t>Tab 1:</t>
  </si>
  <si>
    <r>
      <rPr>
        <rFont val="Proxima Nova"/>
        <color rgb="FF000000"/>
        <sz val="11.0"/>
      </rPr>
      <t xml:space="preserve">Data Brief Form - </t>
    </r>
    <r>
      <rPr>
        <rFont val="Proxima Nova"/>
        <b/>
        <color rgb="FF000000"/>
        <sz val="11.0"/>
      </rPr>
      <t xml:space="preserve">Woolworths Rewards </t>
    </r>
    <r>
      <rPr>
        <rFont val="Proxima Nova"/>
        <color rgb="FF000000"/>
        <sz val="11.0"/>
      </rPr>
      <t>or</t>
    </r>
    <r>
      <rPr>
        <rFont val="Proxima Nova"/>
        <b/>
        <color rgb="FF000000"/>
        <sz val="11.0"/>
      </rPr>
      <t xml:space="preserve"> Frequent Shopper Club</t>
    </r>
    <r>
      <rPr>
        <rFont val="Proxima Nova"/>
        <color rgb="FF000000"/>
        <sz val="11.0"/>
      </rPr>
      <t xml:space="preserve"> [FSC] Customer Bases</t>
    </r>
  </si>
  <si>
    <t>Tab 2:</t>
  </si>
  <si>
    <r>
      <rPr>
        <rFont val="Proxima Nova"/>
        <color rgb="FF000000"/>
        <sz val="11.0"/>
      </rPr>
      <t xml:space="preserve">Data Brief Form - </t>
    </r>
    <r>
      <rPr>
        <rFont val="Proxima Nova"/>
        <b/>
        <color rgb="FF000000"/>
        <sz val="11.0"/>
      </rPr>
      <t>Services</t>
    </r>
    <r>
      <rPr>
        <rFont val="Proxima Nova"/>
        <color rgb="FF000000"/>
        <sz val="11.0"/>
      </rPr>
      <t xml:space="preserve"> Customer Bases</t>
    </r>
  </si>
  <si>
    <t>Tab 3:</t>
  </si>
  <si>
    <r>
      <rPr>
        <rFont val="Proxima Nova"/>
        <color rgb="FF000000"/>
        <sz val="11.0"/>
      </rPr>
      <t xml:space="preserve">Data Brief Form - </t>
    </r>
    <r>
      <rPr>
        <rFont val="Proxima Nova"/>
        <b/>
        <color rgb="FF000000"/>
        <sz val="11.0"/>
      </rPr>
      <t>Online</t>
    </r>
    <r>
      <rPr>
        <rFont val="Proxima Nova"/>
        <color rgb="FF000000"/>
        <sz val="11.0"/>
      </rPr>
      <t xml:space="preserve"> Customer Bases</t>
    </r>
  </si>
  <si>
    <t>Please use the Data Brief Form for the Business Area Customer Base your Campaign is targeting</t>
  </si>
  <si>
    <r>
      <rPr>
        <rFont val="Proxima Nova"/>
        <color rgb="FF000000"/>
        <sz val="11.0"/>
      </rPr>
      <t>If your Campaign is targeting multiple Business Area Customer Bases, please complete the relevant Data Brief Form for</t>
    </r>
    <r>
      <rPr>
        <rFont val="Proxima Nova"/>
        <b/>
        <color rgb="FF000000"/>
        <sz val="11.0"/>
      </rPr>
      <t xml:space="preserve"> each</t>
    </r>
    <r>
      <rPr>
        <rFont val="Proxima Nova"/>
        <color rgb="FF000000"/>
        <sz val="11.0"/>
      </rPr>
      <t xml:space="preserve"> Business Area Customer Base</t>
    </r>
  </si>
  <si>
    <t>Instructions:</t>
  </si>
  <si>
    <t>Please make a copy of the Form and Save to your Google Drive as: &lt;Campaign Code&gt;_1.0 Campaign Summary - BAU Campaign Set up Form_&lt;v0.x&gt;</t>
  </si>
  <si>
    <t>Complete the Form inputs</t>
  </si>
  <si>
    <t>Save the Form as a PDF by selecting: File &gt; Download as &gt; PDF document (.pdf)</t>
  </si>
  <si>
    <t>Upload to the Task in Simple</t>
  </si>
  <si>
    <t xml:space="preserve">Campaign Summary - BAU Campaign Set up </t>
  </si>
  <si>
    <t>Campaign Code</t>
  </si>
  <si>
    <t>Field Name</t>
  </si>
  <si>
    <t>Data</t>
  </si>
  <si>
    <t>cmpgn_code</t>
  </si>
  <si>
    <t>OSP-3359</t>
  </si>
  <si>
    <t>cmpgn_name</t>
  </si>
  <si>
    <t>OSP</t>
  </si>
  <si>
    <t>Note: Campaign Abbreviation</t>
  </si>
  <si>
    <t>description</t>
  </si>
  <si>
    <t>Points Multiplier</t>
  </si>
  <si>
    <t>cmpgn_type</t>
  </si>
  <si>
    <t>stretch</t>
  </si>
  <si>
    <t>Note: Default Value - Do Not Change</t>
  </si>
  <si>
    <t>cmpgn_mgr</t>
  </si>
  <si>
    <t>Danae Robinson</t>
  </si>
  <si>
    <t>cmpgn_mgr_email</t>
  </si>
  <si>
    <t>drobinson2@woolworths.com.au</t>
  </si>
  <si>
    <t>business_unit</t>
  </si>
  <si>
    <t>lifecycle_start_dt</t>
  </si>
  <si>
    <t>lifecycle_end_dt</t>
  </si>
  <si>
    <t>source_system</t>
  </si>
  <si>
    <t>BAU</t>
  </si>
  <si>
    <t>fake_activn_ind</t>
  </si>
  <si>
    <t>N</t>
  </si>
  <si>
    <t>user_activn_ind</t>
  </si>
  <si>
    <t>Y</t>
  </si>
  <si>
    <t>pre_activn_ind</t>
  </si>
  <si>
    <t>activn_type</t>
  </si>
  <si>
    <t>Single Week [S]</t>
  </si>
  <si>
    <r>
      <rPr>
        <rFont val="Proxima Nova"/>
        <color rgb="FF0070C0"/>
        <sz val="11.0"/>
      </rPr>
      <t xml:space="preserve">Notes - </t>
    </r>
    <r>
      <rPr>
        <rFont val="Proxima Nova"/>
        <b/>
        <color rgb="FF0070C0"/>
        <sz val="11.0"/>
      </rPr>
      <t>Activation Type</t>
    </r>
    <r>
      <rPr>
        <rFont val="Proxima Nova"/>
        <color rgb="FF0070C0"/>
        <sz val="11.0"/>
      </rPr>
      <t>:</t>
    </r>
  </si>
  <si>
    <t>audience_type</t>
  </si>
  <si>
    <t>Member</t>
  </si>
  <si>
    <t>- Single Week [S]: Used for Multiplier Offer Construct</t>
  </si>
  <si>
    <t>Activation Number of Days</t>
  </si>
  <si>
    <t>- Parallel [P]: All Offers Start Date and End Dates are same. Used for Multiplier Offer Construct</t>
  </si>
  <si>
    <t>Sales Channel Type</t>
  </si>
  <si>
    <t>In store</t>
  </si>
  <si>
    <t>- Multi Week [M]: Offer Start Dates and End Dates are sequential, i.e.: the first offer ends then the second offer starts. Used for SOW and Continuity Offer Constructs. Not avaialable as at 16Nov18. Displays Calendar View</t>
  </si>
  <si>
    <t>Generate Control Group</t>
  </si>
  <si>
    <t>Yes</t>
  </si>
  <si>
    <t>- Choice [C]: Member chooses preferred Offer, e.g.: Points OR Google Mini</t>
  </si>
  <si>
    <t>Offer Length Days</t>
  </si>
  <si>
    <t>Redemption Limit</t>
  </si>
  <si>
    <t>Generate Promotion Codes</t>
  </si>
  <si>
    <t>No</t>
  </si>
  <si>
    <t>Please make a copy of the Form and Save to your Google Drive as: &lt;Campaign Code&gt;_2.0. Data - Data Brief Form_&lt;v0.x&gt;</t>
  </si>
  <si>
    <t>Please Select "In" = Include, "Ex" = Exclude, where applicable.  If a Data Field isn't relevant to the Campaign, leave it Blank</t>
  </si>
  <si>
    <r>
      <rPr>
        <rFont val="Proxima Nova"/>
        <color rgb="FF000000"/>
        <sz val="11.0"/>
      </rPr>
      <t xml:space="preserve">Save the Form as a PDF by selecting: File &gt; Download as &gt; PDF document (.pdf) </t>
    </r>
    <r>
      <rPr>
        <rFont val="Proxima Nova"/>
        <color rgb="FF0000FF"/>
        <sz val="11.0"/>
      </rPr>
      <t>&gt; Set Paper Size to A4 &gt; Set Page Orientation to Portrait &gt; Set Scale to Fit to height &gt; EXPORT</t>
    </r>
  </si>
  <si>
    <r>
      <rPr>
        <rFont val="Proxima Nova"/>
        <color rgb="FF0000FF"/>
        <sz val="11.0"/>
      </rPr>
      <t xml:space="preserve">Please Note that this Data Brief Form is for Campaigns targeting either the </t>
    </r>
    <r>
      <rPr>
        <rFont val="Proxima Nova"/>
        <b/>
        <color rgb="FF0000FF"/>
        <sz val="11.0"/>
      </rPr>
      <t>Woolworths Rewards</t>
    </r>
    <r>
      <rPr>
        <rFont val="Proxima Nova"/>
        <color rgb="FF0000FF"/>
        <sz val="11.0"/>
      </rPr>
      <t xml:space="preserve"> Customer Base or </t>
    </r>
    <r>
      <rPr>
        <rFont val="Proxima Nova"/>
        <b/>
        <color rgb="FF0000FF"/>
        <sz val="11.0"/>
      </rPr>
      <t>Frequent Shoppers Club</t>
    </r>
    <r>
      <rPr>
        <rFont val="Proxima Nova"/>
        <color rgb="FF0000FF"/>
        <sz val="11.0"/>
      </rPr>
      <t xml:space="preserve"> [FSC] Customer Base</t>
    </r>
  </si>
  <si>
    <r>
      <rPr>
        <rFont val="Proxima Nova"/>
        <color rgb="FF0000FF"/>
        <sz val="11.0"/>
      </rPr>
      <t xml:space="preserve">Data Brief Forms for Campaigns targeting a </t>
    </r>
    <r>
      <rPr>
        <rFont val="Proxima Nova"/>
        <b/>
        <color rgb="FF0000FF"/>
        <sz val="11.0"/>
      </rPr>
      <t>Services</t>
    </r>
    <r>
      <rPr>
        <rFont val="Proxima Nova"/>
        <color rgb="FF0000FF"/>
        <sz val="11.0"/>
      </rPr>
      <t xml:space="preserve"> Customer Base or the </t>
    </r>
    <r>
      <rPr>
        <rFont val="Proxima Nova"/>
        <b/>
        <color rgb="FF0000FF"/>
        <sz val="11.0"/>
      </rPr>
      <t>Online</t>
    </r>
    <r>
      <rPr>
        <rFont val="Proxima Nova"/>
        <color rgb="FF0000FF"/>
        <sz val="11.0"/>
      </rPr>
      <t xml:space="preserve"> Customer Bases are on Tabs 2 and 3 respectively</t>
    </r>
  </si>
  <si>
    <r>
      <rPr>
        <rFont val="Proxima Nova"/>
        <color rgb="FF0000FF"/>
        <sz val="11.0"/>
      </rPr>
      <t>If your Campaign is targeting multiple Business Area Customer Bases please complete the relevant Data Brief Form for</t>
    </r>
    <r>
      <rPr>
        <rFont val="Proxima Nova"/>
        <b/>
        <color rgb="FF0000FF"/>
        <sz val="11.0"/>
      </rPr>
      <t xml:space="preserve"> each</t>
    </r>
    <r>
      <rPr>
        <rFont val="Proxima Nova"/>
        <color rgb="FF0000FF"/>
        <sz val="11.0"/>
      </rPr>
      <t xml:space="preserve"> Business Area Customer Base</t>
    </r>
  </si>
  <si>
    <t>2.0 Data - Brief Form: Woolworths Rewards OR Frequent Shoppers Club [FSC] Customer Bases</t>
  </si>
  <si>
    <t>PMS-3372</t>
  </si>
  <si>
    <t>A</t>
  </si>
  <si>
    <t>Target Audience Selection</t>
  </si>
  <si>
    <t>A1</t>
  </si>
  <si>
    <t>Business Area</t>
  </si>
  <si>
    <t>Target Customer Base</t>
  </si>
  <si>
    <t>In</t>
  </si>
  <si>
    <t>Woolworths Rewards</t>
  </si>
  <si>
    <t>.</t>
  </si>
  <si>
    <t>Frequent Shoppers Club [FSC]</t>
  </si>
  <si>
    <t>A3</t>
  </si>
  <si>
    <t>Business Area Subscriptions (by Channel)</t>
  </si>
  <si>
    <t>Channels</t>
  </si>
  <si>
    <t>All Channel
Inclusion/Exclusion</t>
  </si>
  <si>
    <t>Email</t>
  </si>
  <si>
    <t>Social Media
(FB,Google Ad etc)</t>
  </si>
  <si>
    <t>Programmatic</t>
  </si>
  <si>
    <t>Reward Hub</t>
  </si>
  <si>
    <t>Rewards App</t>
  </si>
  <si>
    <t>WoW Shop App</t>
  </si>
  <si>
    <t>FB L2C</t>
  </si>
  <si>
    <t>SMS</t>
  </si>
  <si>
    <t>Direct Mail</t>
  </si>
  <si>
    <t>Dockets</t>
  </si>
  <si>
    <t>Select Campaign Channels</t>
  </si>
  <si>
    <r>
      <rPr>
        <rFont val="Proxima Nova"/>
        <b/>
        <color rgb="FF000000"/>
        <sz val="11.0"/>
      </rPr>
      <t>Woolworths Rewards Subscriptions</t>
    </r>
    <r>
      <rPr>
        <rFont val="Proxima Nova"/>
        <b/>
        <color rgb="FF000000"/>
        <sz val="11.0"/>
      </rPr>
      <t xml:space="preserve"> [includes FSC]</t>
    </r>
  </si>
  <si>
    <t>Woolworths Rewards Communications</t>
  </si>
  <si>
    <t>Woolworths Supermarkets</t>
  </si>
  <si>
    <t>Select Business Subscriptions</t>
  </si>
  <si>
    <t>A4</t>
  </si>
  <si>
    <t>Channel Subscriptions (by Channel, as they apply)</t>
  </si>
  <si>
    <t>Email Contact Preference</t>
  </si>
  <si>
    <t>Select Channel Subscriptions</t>
  </si>
  <si>
    <t>A5</t>
  </si>
  <si>
    <t>Other Exclusions</t>
  </si>
  <si>
    <t>Cancelled or Inactive Woolworths Reward Card</t>
  </si>
  <si>
    <t>Unregistered or Temp Card</t>
  </si>
  <si>
    <t>Deceased</t>
  </si>
  <si>
    <t>Age &lt; 16 years</t>
  </si>
  <si>
    <t>Age &lt; 18 years</t>
  </si>
  <si>
    <t>Age &gt; 100 years</t>
  </si>
  <si>
    <t xml:space="preserve">Age IS NULL OR Invalid </t>
  </si>
  <si>
    <t>Overseas</t>
  </si>
  <si>
    <t>State = TAS</t>
  </si>
  <si>
    <t>Email Specific Exclusions</t>
  </si>
  <si>
    <t>Onboarding - Join in last 4week</t>
  </si>
  <si>
    <t>Email Address Invalid</t>
  </si>
  <si>
    <t>Email Address Missing</t>
  </si>
  <si>
    <t>Email Address Shared</t>
  </si>
  <si>
    <t>Old Bounced &amp; AdHoc Suppression</t>
  </si>
  <si>
    <t>SFMC Hard Bounce</t>
  </si>
  <si>
    <t>Inbox Unsubscribed (Unsub in SFMC Platform)</t>
  </si>
  <si>
    <t xml:space="preserve">SMS Specific Exclusion </t>
  </si>
  <si>
    <t>Mobile Number Invalid</t>
  </si>
  <si>
    <t>Mobile Number Missing</t>
  </si>
  <si>
    <t>Mobile Number Overseas</t>
  </si>
  <si>
    <t>Mobile Number Shared</t>
  </si>
  <si>
    <t>Add DM or othe chnnel excluson here</t>
  </si>
  <si>
    <t>SFMC Stop SMS (SFMC SMS Unsub)</t>
  </si>
  <si>
    <t>Received SMS in last 30days</t>
  </si>
  <si>
    <t>Universal Control</t>
  </si>
  <si>
    <t>DC Universal Control Group</t>
  </si>
  <si>
    <t>&lt;Remove&gt;</t>
  </si>
  <si>
    <t>ONL Universal Control Group</t>
  </si>
  <si>
    <t>SER Universal Control Group</t>
  </si>
  <si>
    <t>Social Media and Programmatic Control Group (Not valid)</t>
  </si>
  <si>
    <t>@JB check lee tab</t>
  </si>
  <si>
    <t>LCP Campaign Table</t>
  </si>
  <si>
    <t>Dry Postcodes (for Liquor Campaigns)</t>
  </si>
  <si>
    <t xml:space="preserve">Invalid Name </t>
  </si>
  <si>
    <t>Competitor Email</t>
  </si>
  <si>
    <t xml:space="preserve">List Exclusion </t>
  </si>
  <si>
    <t>CRNs with Preferred Store in LCP Store Campaigns</t>
  </si>
  <si>
    <t>LCP Campaign Table:</t>
  </si>
  <si>
    <t>Exclude Triple M Audience</t>
  </si>
  <si>
    <t>Influencers</t>
  </si>
  <si>
    <t>Other Requriements</t>
  </si>
  <si>
    <t>B2</t>
  </si>
  <si>
    <t>Campaign Exclusions &amp; Campaign Inclusions</t>
  </si>
  <si>
    <t>Other Campaign Activity</t>
  </si>
  <si>
    <t>Inclusion Criteria</t>
  </si>
  <si>
    <t>LCP campaigns</t>
  </si>
  <si>
    <t xml:space="preserve">Exclude members previously targeted in campaign PMS-3334 &amp; PMS-3336. </t>
  </si>
  <si>
    <t>Notes: Include Campaign Execution Periods and Offer Periods</t>
  </si>
  <si>
    <t>Exclude all members being targeted in campaign PMS-3373</t>
  </si>
  <si>
    <t>e.g.: CVM-00xx - Target CRNs that have Opened AND Not Activated AND Control CRNs</t>
  </si>
  <si>
    <t>e.g.: CVM-00xx - Target CRNs that have Activated AND Reached Spend Hurdle AND Control CRNs</t>
  </si>
  <si>
    <t>Exclusion Criteria</t>
  </si>
  <si>
    <t>Under 18 yo</t>
  </si>
  <si>
    <t>AND</t>
  </si>
  <si>
    <t>Exclude TAS &amp; WA</t>
  </si>
  <si>
    <t>Exclude all existing Marley Spoon members - from additional data wash report</t>
  </si>
  <si>
    <t xml:space="preserve">Segments for Campaign </t>
  </si>
  <si>
    <t>Campaign Capping?</t>
  </si>
  <si>
    <t>Capping Type</t>
  </si>
  <si>
    <t>Target</t>
  </si>
  <si>
    <t>Capping Total</t>
  </si>
  <si>
    <t>B3</t>
  </si>
  <si>
    <t>Target Audience Journey and Execution Criteria</t>
  </si>
  <si>
    <t>Send</t>
  </si>
  <si>
    <t>Date</t>
  </si>
  <si>
    <t>Channel</t>
  </si>
  <si>
    <t>Action</t>
  </si>
  <si>
    <t>Selection</t>
  </si>
  <si>
    <t>Additional Information</t>
  </si>
  <si>
    <t>Example Only</t>
  </si>
  <si>
    <t>Docket</t>
  </si>
  <si>
    <t>Reminder to Shop</t>
  </si>
  <si>
    <t>Offer Activated Customers - Capped</t>
  </si>
  <si>
    <t>e.g.: Specify Digital Channel is Kiosk, Digital Wallet, etc.,</t>
  </si>
  <si>
    <t>Reminder to Activate</t>
  </si>
  <si>
    <t>All in Selected Universe</t>
  </si>
  <si>
    <t>e.g.: Cap at 500,000; Random Selection</t>
  </si>
  <si>
    <t>Send 1</t>
  </si>
  <si>
    <t>Shop</t>
  </si>
  <si>
    <t>Send 2</t>
  </si>
  <si>
    <t>Excluding members who redeemed voucher/became MS member</t>
  </si>
  <si>
    <t>B4</t>
  </si>
  <si>
    <t>SMS Channel</t>
  </si>
  <si>
    <t>SMS Number</t>
  </si>
  <si>
    <t>Notes: Please also refer to the Simple Library document: SMS Channel - Which Number To Use, https://app.simplehq.co/#library/47055</t>
  </si>
  <si>
    <t>Keyword</t>
  </si>
  <si>
    <t>Notes: Default Woolworths Reward Keyword is: "WR"; Please also check the Keyword File: https://docs.google.com/spreadsheets/d/1_fmBpXOebRerN4SEaqQbKgB07QgoLmgAOQnBzzHXmBU/edit?ts=5b68e350#gid=9630918</t>
  </si>
  <si>
    <t>C</t>
  </si>
  <si>
    <t>Target Cell to Offer Attachment</t>
  </si>
  <si>
    <t>C1</t>
  </si>
  <si>
    <t>Cell Number</t>
  </si>
  <si>
    <t>Customer Segment (MACRO_SEGMENT_CURR)</t>
  </si>
  <si>
    <t>Data Field Triggering Each Offer</t>
  </si>
  <si>
    <t>Spend Band (Hurdle)</t>
  </si>
  <si>
    <t>Reward Type</t>
  </si>
  <si>
    <t>Single / Multi Transactions To Achieve Hurdle</t>
  </si>
  <si>
    <t>Redeemable at Any Store?</t>
  </si>
  <si>
    <t>LMS ID 
Virtual Offer ID
Week 1 Spend</t>
  </si>
  <si>
    <t>Week 1 Barcode</t>
  </si>
  <si>
    <t>Week 1 Reward</t>
  </si>
  <si>
    <t>Offer Start</t>
  </si>
  <si>
    <t>Offer End</t>
  </si>
  <si>
    <t>Offer Duration</t>
  </si>
  <si>
    <t>LMS ID 
Virtual Offer ID
Week 2 Spend</t>
  </si>
  <si>
    <t>Week 2 Barcode</t>
  </si>
  <si>
    <t>Week 2 Reward</t>
  </si>
  <si>
    <t>LMS ID
Virtual Offer ID
Week 3 Spend</t>
  </si>
  <si>
    <t>Week 3 Barcode</t>
  </si>
  <si>
    <t>Week 3 Reward
(if shopped in Week 1 or Week 2)</t>
  </si>
  <si>
    <t>Week 3 Reward
(if shopped in both Week 1 and Week 2)</t>
  </si>
  <si>
    <t>Current Points Balance Min - Max</t>
  </si>
  <si>
    <t>Yes / No</t>
  </si>
  <si>
    <t>Store Number/s</t>
  </si>
  <si>
    <t>Time</t>
  </si>
  <si>
    <t>Days</t>
  </si>
  <si>
    <t>to Include</t>
  </si>
  <si>
    <t>to Exclude</t>
  </si>
  <si>
    <t>Example: 1</t>
  </si>
  <si>
    <t>MVMEDA</t>
  </si>
  <si>
    <t>0.01-49.99</t>
  </si>
  <si>
    <t>WOW $</t>
  </si>
  <si>
    <t>Single</t>
  </si>
  <si>
    <t>dd/mm/yyyy</t>
  </si>
  <si>
    <t>hh:mm:ss</t>
  </si>
  <si>
    <t>Formula: Offer End Date less Offer Start Date</t>
  </si>
  <si>
    <t>:</t>
  </si>
  <si>
    <t>D</t>
  </si>
  <si>
    <t>Analysis and Files</t>
  </si>
  <si>
    <t>Do you require:</t>
  </si>
  <si>
    <t>✓</t>
  </si>
  <si>
    <t>Waterfall Counts</t>
  </si>
  <si>
    <t>Notes: A summary view of Campaign Exclusion drop offs</t>
  </si>
  <si>
    <t>Offer Summary</t>
  </si>
  <si>
    <t>Notes: A summary of the Offer Attachment details, i.e.: Activation Type, LMS IDs, etc.,</t>
  </si>
  <si>
    <t>Sample Data File [SDF]</t>
  </si>
  <si>
    <t>Notes: A randomised sample selection of the final Target Audience</t>
  </si>
  <si>
    <t>Out02 Sample File</t>
  </si>
  <si>
    <t>Notes: The Offer Attachment details for the SDF</t>
  </si>
  <si>
    <t>Online Offer File</t>
  </si>
  <si>
    <t>Notes: File provided by Campaign Analysts to the Online Team to attach Offers</t>
  </si>
  <si>
    <t>Support Portal File</t>
  </si>
  <si>
    <t>Notes: File provided by Campaign Analysts to DC Support to load to the Support Portal. The file contains Offer descriptions for the Target Audience Customers. Applies specifically for Campaigns using Direct Mail, SMS, Social Media and Programmatic Campaigns. Usually for Rewards Campaigns</t>
  </si>
  <si>
    <t>Target Audience Facebook Match Rate</t>
  </si>
  <si>
    <t>Notes: Match of Target Audience Records successfully loaded to Facebook; Campaign Analyst to add information to the Simple Details Tab</t>
  </si>
  <si>
    <t>Target Audience Programmatic Match Rate</t>
  </si>
  <si>
    <t>Notes: Match of Target Audience Records successfully loaded to Programmatic Channels; Campaign Analyst to add information to the Simple Details Tab</t>
  </si>
  <si>
    <t>Other Analysis or File Requirements</t>
  </si>
  <si>
    <t>Supers</t>
  </si>
  <si>
    <t>BWS</t>
  </si>
  <si>
    <t>BIGW</t>
  </si>
  <si>
    <t>EG/FUELCO</t>
  </si>
  <si>
    <t>Program Affiliates</t>
  </si>
  <si>
    <t>Everyday Rewards</t>
  </si>
  <si>
    <t>Business Area Subscriptions (from website)</t>
  </si>
  <si>
    <t>Everyday Rewards Subscriptions (includes FSC)</t>
  </si>
  <si>
    <t>Unsubscribe from all Everyday Rewards communications</t>
  </si>
  <si>
    <t>Ex Optout</t>
  </si>
  <si>
    <t>Inc All</t>
  </si>
  <si>
    <t>Exclusive offers and promotions</t>
  </si>
  <si>
    <t>Ex Optin</t>
  </si>
  <si>
    <t>BIG W</t>
  </si>
  <si>
    <t>Fuel</t>
  </si>
  <si>
    <t>No liquor offers and promotions</t>
  </si>
  <si>
    <t>Channel Specific Subscriptions</t>
  </si>
  <si>
    <t>Contact preference (website) - email</t>
  </si>
  <si>
    <t>Exclusions (data specific)</t>
  </si>
  <si>
    <t>Global Exclusions</t>
  </si>
  <si>
    <t>Cancelled Woolworths Reward Card</t>
  </si>
  <si>
    <t xml:space="preserve">Deceased </t>
  </si>
  <si>
    <t xml:space="preserve">Competitor Email </t>
  </si>
  <si>
    <t>Standard Exclusions</t>
  </si>
  <si>
    <t>Age &gt; 100 years or Missing</t>
  </si>
  <si>
    <t>Malicious First Name</t>
  </si>
  <si>
    <t>Malicious Surname</t>
  </si>
  <si>
    <t>Onboarding Journey (Joined Rewards in the last 30 days)</t>
  </si>
  <si>
    <t>Staff</t>
  </si>
  <si>
    <t xml:space="preserve">Additional Email Standard Exclusions         </t>
  </si>
  <si>
    <t xml:space="preserve">Non Engaged (Has not opened email in past 26 weeks)       </t>
  </si>
  <si>
    <t>Non Email Marketable (Unsubbed from Email and EDR, Invalid Email, In Autosupression, Deceased, Under 16, Tasmania or Overseas, Competitor Email Domain, Test Emails, Malicious First Name)</t>
  </si>
  <si>
    <r>
      <rPr/>
      <t xml:space="preserve">Instructions:
Step 0: Please create a copy of this template. Avoid modifying this copy.
Step 1: Activate the scripts by clicking on the orange button. Once prompted for permissions, select your Woolworths account to proceed. 
If you are briefing in an ecom campaign, click on the blue button and skip the rest. Otherwise, proceed to Step 2.
Step 2: Pick one or more channels that will be utilised by your campaign. By clicking on the icon(s). Click 'X' to de-select.
Step 3: Pick a banner, likewise by clicking on an icon. Click 'X' to de-select.
Step 4: Press the red button to load the initial configuration. This tool will set recommended settings by default. You are still responsible for reviewing and finalising campaign conditions as part of campaign setup.
Need help filling up the data brief? Here is a </t>
    </r>
    <r>
      <rPr>
        <color rgb="FF1155CC"/>
        <u/>
      </rPr>
      <t>guide</t>
    </r>
  </si>
  <si>
    <r>
      <rPr/>
      <t xml:space="preserve">Step 2: Pick Channel(s). </t>
    </r>
    <r>
      <rPr>
        <i/>
      </rPr>
      <t>Additional channels can be manually selected in the main sheet</t>
    </r>
    <r>
      <rPr/>
      <t>.</t>
    </r>
  </si>
  <si>
    <t>Channel 1</t>
  </si>
  <si>
    <t>Channel 2</t>
  </si>
  <si>
    <t>Channel 3</t>
  </si>
  <si>
    <t>Channel 4</t>
  </si>
  <si>
    <t>Step 3: Pick banner</t>
  </si>
  <si>
    <t>Supermarkets</t>
  </si>
  <si>
    <t>Financial Services (Services BU)</t>
  </si>
  <si>
    <t>Petstock</t>
  </si>
  <si>
    <t>Qantas</t>
  </si>
  <si>
    <t>Accor</t>
  </si>
  <si>
    <t>Big W</t>
  </si>
  <si>
    <t>Bupa</t>
  </si>
  <si>
    <t>EG/FuelCo</t>
  </si>
  <si>
    <t>Origin</t>
  </si>
  <si>
    <t>Caltex</t>
  </si>
  <si>
    <t>Healthy Life</t>
  </si>
  <si>
    <t>Pop-up Partner</t>
  </si>
  <si>
    <t>Customer Feedback (Survey)</t>
  </si>
  <si>
    <t>Cross-Banner</t>
  </si>
  <si>
    <t>MyDeal</t>
  </si>
  <si>
    <t>Service</t>
  </si>
  <si>
    <t>Milkrun</t>
  </si>
  <si>
    <t>Step 4: Run</t>
  </si>
  <si>
    <t xml:space="preserve">[CCV-8914] - [Ampol Increase Frequency - Sep] - Data Brief </t>
  </si>
  <si>
    <t>3.0 Data - Brief Form: Everyday Rewards OR Frequent Shoppers Club (FSC) Customer Base</t>
  </si>
  <si>
    <t>[SEQ]</t>
  </si>
  <si>
    <t>Campaign Set Up</t>
  </si>
  <si>
    <t>CCV-1234</t>
  </si>
  <si>
    <t>Campaign Stream (Auto)</t>
  </si>
  <si>
    <t>Campaign Subscription (Unsub Link)</t>
  </si>
  <si>
    <t>[mydeal] - MyDeal</t>
  </si>
  <si>
    <t>Campaign Description</t>
  </si>
  <si>
    <t xml:space="preserve">Spend Stretch Campaign                                </t>
  </si>
  <si>
    <t>Campaign Manager</t>
  </si>
  <si>
    <t>firstname.lastname@swiftfoods.com.au</t>
  </si>
  <si>
    <t>Campaign Manager Email</t>
  </si>
  <si>
    <t>Firstname Lastname</t>
  </si>
  <si>
    <t>Campaign Start Date</t>
  </si>
  <si>
    <t>Campaign End Date</t>
  </si>
  <si>
    <t>Campaign Duration (Sanity Check)</t>
  </si>
  <si>
    <t>Online</t>
  </si>
  <si>
    <t>Activation Type</t>
  </si>
  <si>
    <t>Single [S]</t>
  </si>
  <si>
    <t>User Activation</t>
  </si>
  <si>
    <t xml:space="preserve">Required for campaigns where customers need to activate their offers. </t>
  </si>
  <si>
    <t>Pre-Activation</t>
  </si>
  <si>
    <t>Required for campaigns where the offers were pre-activated for customers</t>
  </si>
  <si>
    <t>Required for campaigns that measures incremental sales or modelling</t>
  </si>
  <si>
    <t>Link to Precount JIRA</t>
  </si>
  <si>
    <t>Other</t>
  </si>
  <si>
    <t>Select Output Requirements</t>
  </si>
  <si>
    <t>Sample Data File (SDF)</t>
  </si>
  <si>
    <t>OUT02 Sample File</t>
  </si>
  <si>
    <t>"OUT02" is the name of the data pipeline we use for offer attachment.</t>
  </si>
  <si>
    <t>Push - Rewards App</t>
  </si>
  <si>
    <t>Contact preference (website) - mail</t>
  </si>
  <si>
    <t>Contact preference (website) - SMS</t>
  </si>
  <si>
    <t>Contact preference (website) - browser Cookies</t>
  </si>
  <si>
    <t>Competitor Email (Add Domain here for Ref)</t>
  </si>
  <si>
    <r>
      <rPr>
        <rFont val="Proxima Nova"/>
        <color rgb="FF000000"/>
        <sz val="11.0"/>
      </rPr>
      <t xml:space="preserve">Age &lt; 18 years  </t>
    </r>
    <r>
      <rPr>
        <rFont val="Proxima Nova"/>
        <color rgb="FFFF0000"/>
        <sz val="11.0"/>
      </rPr>
      <t xml:space="preserve"> (EXCLUDE)</t>
    </r>
  </si>
  <si>
    <t>Malicious Last Name</t>
  </si>
  <si>
    <t>Non Engaged (Has not opened email in past 26 weeks)  - deprecated</t>
  </si>
  <si>
    <t>Non Email Marketable (eDM Autosuppression: Unsubbed from Email, Unsub from all EDR comms, Invalid e-mail address, Deceased, Under 16, Overseas, Competitor Email Domain, Test Emails, Shared Email with one of the accounts opted out of any banner, Shared Email associated with a deregistered card, Hard Bounce, Inbox Unsubscribe, Static Autosuppression List)</t>
  </si>
  <si>
    <r>
      <rPr>
        <rFont val="Proxima Nova"/>
        <color rgb="FF000000"/>
        <sz val="11.0"/>
      </rPr>
      <t xml:space="preserve">Non Engaged (Has not </t>
    </r>
    <r>
      <rPr>
        <rFont val="Proxima Nova"/>
        <b/>
        <color rgb="FF000000"/>
        <sz val="11.0"/>
      </rPr>
      <t>clicked</t>
    </r>
    <r>
      <rPr>
        <rFont val="Proxima Nova"/>
        <color rgb="FF000000"/>
        <sz val="11.0"/>
      </rPr>
      <t xml:space="preserve"> email in past 26 weeks)</t>
    </r>
  </si>
  <si>
    <t>Additional SMS Standard Exclusions</t>
  </si>
  <si>
    <t>Mobile Number is Missing or Invalid</t>
  </si>
  <si>
    <t>Oversea Mobile Number</t>
  </si>
  <si>
    <t>Mobile Number is Shared</t>
  </si>
  <si>
    <t>Project/List Exclusions</t>
  </si>
  <si>
    <t>Triple M</t>
  </si>
  <si>
    <t>Other, please specify:</t>
  </si>
  <si>
    <t>[Enter here]</t>
  </si>
  <si>
    <r>
      <rPr>
        <rFont val="Proxima Nova"/>
        <b/>
        <color rgb="FF000000"/>
        <sz val="11.0"/>
      </rPr>
      <t>Campaign Code Exclusions + Notes    -</t>
    </r>
    <r>
      <rPr>
        <rFont val="Proxima Nova"/>
        <b val="0"/>
        <color rgb="FF000000"/>
        <sz val="11.0"/>
      </rPr>
      <t xml:space="preserve"> list campaign codes here to exclude T+C eg  CVM0056 last three excutions starting on date DD-MM-YYYY</t>
    </r>
  </si>
  <si>
    <t xml:space="preserve">Campaign Selection Criteria </t>
  </si>
  <si>
    <t>Test Group (Mandatory for Digital Channels)</t>
  </si>
  <si>
    <t>Test Cards (Optional)  -  list here any additional cards to be forced into campaign for app testing</t>
  </si>
  <si>
    <t>Name</t>
  </si>
  <si>
    <t>CRN</t>
  </si>
  <si>
    <t xml:space="preserve">Carmen Murphy </t>
  </si>
  <si>
    <t>1100000000159419917</t>
  </si>
  <si>
    <t>Annjela Joseph</t>
  </si>
  <si>
    <t>3300000000006416237</t>
  </si>
  <si>
    <t>Ciara Willis</t>
  </si>
  <si>
    <t>3300000000010948381</t>
  </si>
  <si>
    <t xml:space="preserve">Kathia </t>
  </si>
  <si>
    <t>1100000000159508216</t>
  </si>
  <si>
    <t>Sam Dutta</t>
  </si>
  <si>
    <t>3300000000002259453</t>
  </si>
  <si>
    <t>Additional Audience (Add details there is any dependency to setup audience for this campaigns  )</t>
  </si>
  <si>
    <t>Modelling team will provide scored audience : gcp-wow-rwds-ai-data-prod.loyalty_data_science.cw_caltex_churn_campaign_input</t>
  </si>
  <si>
    <t>Selection Criteria in Plain English (New line for each criteria)</t>
  </si>
  <si>
    <r>
      <rPr>
        <rFont val="Proxima Nova"/>
        <i/>
      </rPr>
      <t xml:space="preserve">All members who are meet the criterias selected and outlined </t>
    </r>
    <r>
      <rPr>
        <rFont val="Proxima Nova"/>
        <b/>
        <i/>
      </rPr>
      <t xml:space="preserve">inclusion </t>
    </r>
    <r>
      <rPr>
        <rFont val="Proxima Nova"/>
        <i/>
      </rPr>
      <t>criteria above and:</t>
    </r>
  </si>
  <si>
    <t>Channel:</t>
  </si>
  <si>
    <t>Description:</t>
  </si>
  <si>
    <t>email, app,Pn</t>
  </si>
  <si>
    <t>WoW rewards members, opted into fuel</t>
  </si>
  <si>
    <t>Clicked email in L26W</t>
  </si>
  <si>
    <t>Excl TAS members</t>
  </si>
  <si>
    <t>exclude AmpolCard users</t>
  </si>
  <si>
    <t xml:space="preserve">Audience Segmentation + Capping </t>
  </si>
  <si>
    <t>Segment</t>
  </si>
  <si>
    <t>Technical Description</t>
  </si>
  <si>
    <t>Marketable Lapsed</t>
  </si>
  <si>
    <r>
      <rPr>
        <rFont val="Roboto"/>
        <b/>
        <color rgb="FF000000"/>
        <sz val="11.0"/>
      </rPr>
      <t>Lapsed</t>
    </r>
    <r>
      <rPr>
        <rFont val="Roboto"/>
        <color rgb="FF000000"/>
        <sz val="11.0"/>
      </rPr>
      <t xml:space="preserve"> - Members who have not scanned at an Caltex/Ampol store in the L12 weeks, but have scanned 2+ in the last L13-26W (To look at 1 time scan counts while doing waterfall L13-26W)</t>
    </r>
  </si>
  <si>
    <t>Marketable Inactive</t>
  </si>
  <si>
    <r>
      <rPr>
        <rFont val="Roboto"/>
        <b/>
        <color rgb="FF000000"/>
        <sz val="11.0"/>
      </rPr>
      <t>Inactive</t>
    </r>
    <r>
      <rPr>
        <rFont val="Roboto"/>
        <color rgb="FF000000"/>
        <sz val="11.0"/>
      </rPr>
      <t xml:space="preserve"> - Customers who have not made a transaction in the last 26 weeks, but have made at least 1 transaction in the last 52 weeks.</t>
    </r>
  </si>
  <si>
    <t>Marketable New (will need to cap after reviewing waterfall)</t>
  </si>
  <si>
    <r>
      <rPr>
        <rFont val="Roboto"/>
        <b/>
        <color rgb="FF000000"/>
        <sz val="11.0"/>
      </rPr>
      <t>New</t>
    </r>
    <r>
      <rPr>
        <rFont val="Roboto"/>
        <color rgb="FF000000"/>
        <sz val="11.0"/>
      </rPr>
      <t xml:space="preserve"> - Never scanned at Caltex/Ampol
Members who shop at Supers within a 5km radius (metro) / 8km (Regional) to nearest Caltex/Ampol OR Members who live in a 5km proximity to each Caltex/Ampol site</t>
    </r>
  </si>
  <si>
    <t>Non Marketable Lapsed</t>
  </si>
  <si>
    <r>
      <rPr>
        <rFont val="Roboto"/>
        <b/>
        <color rgb="FF000000"/>
        <sz val="11.0"/>
      </rPr>
      <t xml:space="preserve">Lapsed </t>
    </r>
    <r>
      <rPr>
        <rFont val="Roboto"/>
        <color rgb="FF000000"/>
        <sz val="11.0"/>
      </rPr>
      <t>-Members who have not scanned at an Caltex/Ampol store in the L12 weeks, but have scanned 2+ in the last L13-26W (To look at 1 time scan counts while doing waterfall L13-26W)</t>
    </r>
  </si>
  <si>
    <t>Non Marketable Inactive</t>
  </si>
  <si>
    <r>
      <rPr>
        <rFont val="Roboto"/>
        <b/>
        <color rgb="FF000000"/>
        <sz val="11.0"/>
      </rPr>
      <t>Inactive</t>
    </r>
    <r>
      <rPr>
        <rFont val="Roboto"/>
        <color rgb="FF000000"/>
        <sz val="11.0"/>
      </rPr>
      <t xml:space="preserve"> - Customers who have not made a transaction in the last 26 weeks, but have made at least 1 transaction in the last 52 weeks.                                                        </t>
    </r>
  </si>
  <si>
    <t>Non Marketable New (will need to cap after reviewing waterfall)</t>
  </si>
  <si>
    <r>
      <rPr>
        <rFont val="Roboto"/>
        <b/>
        <color rgb="FF000000"/>
        <sz val="11.0"/>
      </rPr>
      <t>New</t>
    </r>
    <r>
      <rPr>
        <rFont val="Roboto"/>
        <color rgb="FF000000"/>
        <sz val="11.0"/>
      </rPr>
      <t xml:space="preserve"> - Never scanned at Caltex/Ampol
Members who shop at Supers within a 5km radius (metro) / 8km (Regional) to nearest Caltex/Ampol OR Members who live in a 5km proximity to each Caltex/Ampol site</t>
    </r>
  </si>
  <si>
    <t>please note to do a target control representation for each segment</t>
  </si>
  <si>
    <t xml:space="preserve">SLA and Journey and Execution Criteria (Schedule) </t>
  </si>
  <si>
    <t>Critical SLAs - Relevant dependencies across all teams and Timeline of Due Dates</t>
  </si>
  <si>
    <t>Description</t>
  </si>
  <si>
    <t>Point of contact/owner</t>
  </si>
  <si>
    <t>Due Date</t>
  </si>
  <si>
    <t>Send schedule - List Number of Sends and Relevant Send Dates</t>
  </si>
  <si>
    <t>Classification</t>
  </si>
  <si>
    <t>Marketing</t>
  </si>
  <si>
    <t>All Selected Audience</t>
  </si>
  <si>
    <t>Reminder to Shop nly</t>
  </si>
  <si>
    <t>Push 1 ( exclude customer who have redeemed all 3 visits)</t>
  </si>
  <si>
    <t>Send 3</t>
  </si>
  <si>
    <t>Offer and Content Mapping section</t>
  </si>
  <si>
    <t xml:space="preserve">Dynamic variable - list of variables being used to dynamically populate the values within the same content </t>
  </si>
  <si>
    <t>DYNAMIC_VARIABLE_1
(Exp: First Name)</t>
  </si>
  <si>
    <t>DYNAMIC_VARIABLE_2
(Exp: Point Balance)</t>
  </si>
  <si>
    <t>DYNAMIC_VARIABLE_3
(OPTIONAL)</t>
  </si>
  <si>
    <t>DYNAMIC_VARIABLE_4
(OPTIONAL)</t>
  </si>
  <si>
    <t>DYNAMIC_VARIABLE_5
(OPTIONAL)</t>
  </si>
  <si>
    <t>Exp : First_Name</t>
  </si>
  <si>
    <t>Spend_Hurdle</t>
  </si>
  <si>
    <t>Total_Wow_Reward</t>
  </si>
  <si>
    <t xml:space="preserve">Dynamic Content - Combination of  List of variables being used to render a dynamic banner/content block and  different offer treatment </t>
  </si>
  <si>
    <t>Segment_Code</t>
  </si>
  <si>
    <t>Segment_Name</t>
  </si>
  <si>
    <t xml:space="preserve">Average Spend at Caltex/Ampol (L26W)
</t>
  </si>
  <si>
    <t>SEGMENT_VARIABLE_2
 Proximity to Ampol Site</t>
  </si>
  <si>
    <t>SEGMENT_VARIABLE_3
(OPTIONAL)</t>
  </si>
  <si>
    <t>SEGMENT_VARIABLE_4
(OPTIONAL)</t>
  </si>
  <si>
    <t>SEGMENT_VARIABLE_5
(OPTIONAL)</t>
  </si>
  <si>
    <t>WEEK 1</t>
  </si>
  <si>
    <t>Spend Hurdle</t>
  </si>
  <si>
    <t>Reward</t>
  </si>
  <si>
    <t>Campaign ID</t>
  </si>
  <si>
    <t>Content ID</t>
  </si>
  <si>
    <r>
      <rPr>
        <rFont val="&quot;Proxima Nova&quot;"/>
        <b/>
        <color rgb="FF000000"/>
        <sz val="11.0"/>
      </rPr>
      <t xml:space="preserve">Offer Start Date
(DD-MM-YYYY HH:MM:SS)
activation start date (test cards) 15 Sep
</t>
    </r>
    <r>
      <rPr>
        <rFont val="&quot;Proxima Nova&quot;"/>
        <b/>
        <color rgb="FFFF0000"/>
        <sz val="11.0"/>
      </rPr>
      <t xml:space="preserve">member live date (22 Sep) </t>
    </r>
  </si>
  <si>
    <t>Offer End Date
(DD-MM-YYYY  HH:MM:SS )</t>
  </si>
  <si>
    <t>WEEK 2</t>
  </si>
  <si>
    <t>Offer Start Date
(DD-MM-YYYY HH:MM:SS)</t>
  </si>
  <si>
    <t>WEEK 3</t>
  </si>
  <si>
    <t>WEEK 4</t>
  </si>
  <si>
    <t>Lapsed</t>
  </si>
  <si>
    <t xml:space="preserve">$50 Fuel </t>
  </si>
  <si>
    <t>Bonus</t>
  </si>
  <si>
    <t>200
300
1000</t>
  </si>
  <si>
    <r>
      <rPr>
        <rFont val="&quot;Proxima Nova&quot;"/>
        <color rgb="FFFF0000"/>
        <sz val="11.0"/>
      </rPr>
      <t>90092865</t>
    </r>
    <r>
      <rPr>
        <rFont val="&quot;Proxima Nova&quot;"/>
        <color rgb="FF000000"/>
        <sz val="11.0"/>
      </rPr>
      <t xml:space="preserve">
90092991
90092992
</t>
    </r>
  </si>
  <si>
    <t>7kkP1LMnss5jjmPBupJycf</t>
  </si>
  <si>
    <t xml:space="preserve"> Inactive </t>
  </si>
  <si>
    <t>New</t>
  </si>
  <si>
    <t xml:space="preserve">Make a copy: [Campaign Code] - [Campaign Description] - Data Brief </t>
  </si>
  <si>
    <t>cvm-9999</t>
  </si>
  <si>
    <t>https://docs.google.com/spreadsheets/d/1XQaTYaKkzuTidSYCj1Sr0cqNyuLL8kdKhd630ztvOYI/edit#gid=1329109951</t>
  </si>
  <si>
    <t>[enter]</t>
  </si>
  <si>
    <t>Both</t>
  </si>
  <si>
    <t>https://woolworthslimited.atlassian.net/wiki/spaces/CDD/pages/230424655/Offer+Attachment</t>
  </si>
  <si>
    <t>Fake Activation</t>
  </si>
  <si>
    <t>Required for Virtual Offers (VO) or testing purposes.</t>
  </si>
  <si>
    <t>Required for campaigns where customers need to activate their offers. Also required for Virtual Offers.</t>
  </si>
  <si>
    <t>Generally used for ATL campaigns or when customers do not need to activate offers</t>
  </si>
  <si>
    <t>Monitor Transactions (VO Only)</t>
  </si>
  <si>
    <r>
      <rPr>
        <rFont val="Proxima Nova"/>
        <b/>
        <color rgb="FF000000"/>
        <sz val="11.0"/>
      </rPr>
      <t>Campaign Code Exclusions + Notes    -</t>
    </r>
    <r>
      <rPr>
        <rFont val="Proxima Nova"/>
        <b val="0"/>
        <color rgb="FF000000"/>
        <sz val="11.0"/>
      </rPr>
      <t xml:space="preserve"> list campaign codes here to exclude T+C eg  CVM0056 last three excutions starting on date DD-MM-YYYY</t>
    </r>
  </si>
  <si>
    <t>(separate by comma)</t>
  </si>
  <si>
    <t>(OR)</t>
  </si>
  <si>
    <t>LOYALTY CARD NUMBERS</t>
  </si>
  <si>
    <t>For Example : Modelling team will provide scored audience : Add table name / selection rules accordingly</t>
  </si>
  <si>
    <r>
      <rPr>
        <rFont val="Proxima Nova"/>
        <i/>
      </rPr>
      <t xml:space="preserve">All members who are meet the criterias selected and outlined </t>
    </r>
    <r>
      <rPr>
        <rFont val="Proxima Nova"/>
        <b/>
        <i/>
      </rPr>
      <t xml:space="preserve">inclusion </t>
    </r>
    <r>
      <rPr>
        <rFont val="Proxima Nova"/>
        <i/>
      </rPr>
      <t>criteria above and:</t>
    </r>
  </si>
  <si>
    <t>email, app</t>
  </si>
  <si>
    <t>Group 1 : 
All members who have shopped in the past 8 weeks</t>
  </si>
  <si>
    <t>AND have opened up email or activated an offer in the past 26 weeks.</t>
  </si>
  <si>
    <t>AND members who are in HV CVM segments</t>
  </si>
  <si>
    <t>Cap</t>
  </si>
  <si>
    <t>Information</t>
  </si>
  <si>
    <t>Send 4</t>
  </si>
  <si>
    <t>Send 5</t>
  </si>
  <si>
    <t>Template_ID
(Auto Populated)</t>
  </si>
  <si>
    <t>SEGMENT_VARIABLE_1
App Banner 
(Y = App user
N : non App users)</t>
  </si>
  <si>
    <t>SEGMENT_VARIABLE_2
BWS Banner
 (Y =  BWS opted out
N= BWS opted in)</t>
  </si>
  <si>
    <t>var1</t>
  </si>
  <si>
    <t>var2</t>
  </si>
  <si>
    <t>var3</t>
  </si>
  <si>
    <t>var4</t>
  </si>
  <si>
    <t>var5</t>
  </si>
  <si>
    <t>Group 1</t>
  </si>
  <si>
    <t>3.0 Data - Brief Form: eCOM (ONL) Customer Base</t>
  </si>
  <si>
    <t>ONL-5887</t>
  </si>
  <si>
    <t>onl</t>
  </si>
  <si>
    <t>ONL</t>
  </si>
  <si>
    <t>Sept Inactives Fresh Campaign</t>
  </si>
  <si>
    <t>Monica Kaczmarska</t>
  </si>
  <si>
    <t>mkaczmarska@woolworths.com.au</t>
  </si>
  <si>
    <t>Control Group</t>
  </si>
  <si>
    <t xml:space="preserve">5% evenly across Inactives &amp; Active Churned Loyal </t>
  </si>
  <si>
    <t>Woolworths Online</t>
  </si>
  <si>
    <t>WOW App</t>
  </si>
  <si>
    <t>CRO (for ONL)</t>
  </si>
  <si>
    <t>Online Customer</t>
  </si>
  <si>
    <t>Other Subscriptions</t>
  </si>
  <si>
    <t>Active online customers</t>
  </si>
  <si>
    <t>Invalid Shopper ID</t>
  </si>
  <si>
    <t>CUST_B2B</t>
  </si>
  <si>
    <t>Rewards member</t>
  </si>
  <si>
    <t>Email is Missing or Invalid</t>
  </si>
  <si>
    <t>Email bounces</t>
  </si>
  <si>
    <t>Non Engaged (Has not opened email in past 26 weeks)</t>
  </si>
  <si>
    <t>Non Email Marketable (Opted out of email)</t>
  </si>
  <si>
    <t>Campaign Code Exclusions + Notes</t>
  </si>
  <si>
    <t>Exclude automated campaign audiences from 29 August - 5 September*: (*Apply 5th September audience group to an exclusion list)
 RNL-5470
 RNL-5471
 RNL-5782
 RNL-5783
 ONM-5739
 ONM-5765
 RNL-4928</t>
  </si>
  <si>
    <t>DU Audience exclusions:
 DU Risk of Churn in September - DUE-6166 (08/09 - 15/09)
 DU Acquisition (EDR targeting) - DUA-6200 (21/09 - 25/09)</t>
  </si>
  <si>
    <t>Please include holdout group of 5% (equally across Inactives engagement groups &amp; Active Loyal)</t>
  </si>
  <si>
    <t>Shopper_ID</t>
  </si>
  <si>
    <t>65538XXX</t>
  </si>
  <si>
    <t>Monica</t>
  </si>
  <si>
    <t>All members who are meet the criterias selected and outlined inclusion criteria above and:</t>
  </si>
  <si>
    <t>Last order date cutoff: 1st August (exclude customers who placed an order after 1st August)</t>
  </si>
  <si>
    <t>Active Loyal churned selection criteria:</t>
  </si>
  <si>
    <t>PREV_LIFECYCLE_SEG = ACTIVE LOYAL AND CURR_LIFECYCLE_SEG = INACTIVE SHORT AND last 1 order in the last 4-10 weeks</t>
  </si>
  <si>
    <t>Inactives selection criteria:</t>
  </si>
  <si>
    <t>Short: Has not shopped since 1 Aug-26 weeks and made 1+ order</t>
  </si>
  <si>
    <t>Mid: Has not shopped in the last 26-52 weeks and made 1+ order</t>
  </si>
  <si>
    <t>ACTIVE LOYAL churned offer is (1) $15 off $180</t>
  </si>
  <si>
    <t>INACTIVES offer is (1) $10 off $170, (2) 2000 points with min spend $170  (not based on engagement scoring)</t>
  </si>
  <si>
    <t>EDR customers - 2000 points offer</t>
  </si>
  <si>
    <t>Non -EDR customers - $10 off $170</t>
  </si>
  <si>
    <t xml:space="preserve">CAV Score (from DS team): </t>
  </si>
  <si>
    <t>table name:</t>
  </si>
  <si>
    <t>loyalty.*</t>
  </si>
  <si>
    <t xml:space="preserve">Channel Specific </t>
  </si>
  <si>
    <t>FB/IG</t>
  </si>
  <si>
    <t xml:space="preserve">e-Marketable + Non-e-Marketable </t>
  </si>
  <si>
    <t xml:space="preserve">e-Marketable   </t>
  </si>
  <si>
    <t>E-Marketable - Opted in to push (please add Monica, Francesca, builder &amp; analyst shopper IDs in the push notification test)</t>
  </si>
  <si>
    <t>Reminder to Activate Only</t>
  </si>
  <si>
    <t>Offer Not Activated Customers</t>
  </si>
  <si>
    <t>Exclude customers who have hit spend hurdle (+ added promocode)</t>
  </si>
  <si>
    <t xml:space="preserve">SEGMENT_VARIABLE
</t>
  </si>
  <si>
    <t>SEGMENT_VARIABLE
(CAV SCORE)</t>
  </si>
  <si>
    <t>SEGMENT_VARIABLE
()</t>
  </si>
  <si>
    <t>spend_hurdle</t>
  </si>
  <si>
    <t>Promocode</t>
  </si>
  <si>
    <t>total_wow_reward</t>
  </si>
  <si>
    <t>lylty_card_nbr</t>
  </si>
  <si>
    <t>Inactives Non EDR $10 off</t>
  </si>
  <si>
    <t>ENJOY10</t>
  </si>
  <si>
    <t>Zero/Low/Low-Med</t>
  </si>
  <si>
    <t>Active Loyal churned $15 off</t>
  </si>
  <si>
    <t>ENJOY15</t>
  </si>
  <si>
    <t>Null/Medium</t>
  </si>
  <si>
    <t xml:space="preserve">Inactives EDR 2000 points </t>
  </si>
  <si>
    <t>ENJOY2000</t>
  </si>
  <si>
    <t>CVM MACRO SEGMENT</t>
  </si>
  <si>
    <t>CVM LIFESTAGE</t>
  </si>
  <si>
    <t>subscriptions</t>
  </si>
  <si>
    <t>conditional fields friendly name</t>
  </si>
  <si>
    <t>offer_ids</t>
  </si>
  <si>
    <t>Call To Action Type</t>
  </si>
  <si>
    <t>send</t>
  </si>
  <si>
    <t>sub choices</t>
  </si>
  <si>
    <t>woolies subs</t>
  </si>
  <si>
    <t>channel subs</t>
  </si>
  <si>
    <t>channel sales type</t>
  </si>
  <si>
    <t>activation type</t>
  </si>
  <si>
    <t xml:space="preserve">online </t>
  </si>
  <si>
    <t>Channels 2</t>
  </si>
  <si>
    <t>YN</t>
  </si>
  <si>
    <t>TF</t>
  </si>
  <si>
    <t>HVHIGH</t>
  </si>
  <si>
    <t>MIDAGE SINGLES/COUPLES</t>
  </si>
  <si>
    <t>[bws] - BWS</t>
  </si>
  <si>
    <t>avg_8wk_spend</t>
  </si>
  <si>
    <t>offer_id_01 (fix)</t>
  </si>
  <si>
    <t>Select 
Channel</t>
  </si>
  <si>
    <t>In Store</t>
  </si>
  <si>
    <t>YES</t>
  </si>
  <si>
    <t>HVMED</t>
  </si>
  <si>
    <t>NEW FAMILIES</t>
  </si>
  <si>
    <t>[petrol] - Fuel</t>
  </si>
  <si>
    <t>All Selected 
Channels</t>
  </si>
  <si>
    <t>Reminder to Shop and Activate</t>
  </si>
  <si>
    <t>Parallel [P]</t>
  </si>
  <si>
    <t>catalogue</t>
  </si>
  <si>
    <t>NO</t>
  </si>
  <si>
    <t>INACTIVE</t>
  </si>
  <si>
    <t>OLDER FAMILIES</t>
  </si>
  <si>
    <t>[woolworths] - Woolworths Supermarkets</t>
  </si>
  <si>
    <t>cell_number</t>
  </si>
  <si>
    <t>Liquor Offers</t>
  </si>
  <si>
    <t>Multi Week [M]</t>
  </si>
  <si>
    <t>LAPSED</t>
  </si>
  <si>
    <t>OLDER SINGLES/COUPLES</t>
  </si>
  <si>
    <t>[marketresearch] - Customer Feedback</t>
  </si>
  <si>
    <t>communication_channel</t>
  </si>
  <si>
    <t>All Social (FB/IG + Google/Youtube)</t>
  </si>
  <si>
    <t>Choice [C]</t>
  </si>
  <si>
    <t>Catalogue Customer</t>
  </si>
  <si>
    <t>All Social 
(FB + Google)</t>
  </si>
  <si>
    <t>LOW</t>
  </si>
  <si>
    <t>RETIREES</t>
  </si>
  <si>
    <t>[homeinsurance] - Woolworths Home Insurance</t>
  </si>
  <si>
    <t>gender</t>
  </si>
  <si>
    <t>Congratulations/Information</t>
  </si>
  <si>
    <t>Push</t>
  </si>
  <si>
    <t>LVHFA</t>
  </si>
  <si>
    <t>YOUNG FAMILIES</t>
  </si>
  <si>
    <t>[petinsurance] - Woolworths Pet Insurance</t>
  </si>
  <si>
    <t>lifestage</t>
  </si>
  <si>
    <t>Google/Youtube</t>
  </si>
  <si>
    <t>Send 6</t>
  </si>
  <si>
    <t>Google</t>
  </si>
  <si>
    <t>LVHFB</t>
  </si>
  <si>
    <t>YOUNG SINGLES/COUPLES</t>
  </si>
  <si>
    <t>[lifeinsurance] - Woolworths Life Insurance</t>
  </si>
  <si>
    <t>lms_offer_id_multi</t>
  </si>
  <si>
    <t>Display/Programatic</t>
  </si>
  <si>
    <t>Send 7</t>
  </si>
  <si>
    <t>Customer Feedback</t>
  </si>
  <si>
    <t>Rewards Hub</t>
  </si>
  <si>
    <t>LVLF</t>
  </si>
  <si>
    <t>[carinsurance] - Woolworths Car Insurance</t>
  </si>
  <si>
    <t>macro_segment_curr</t>
  </si>
  <si>
    <t>Push - WOW App</t>
  </si>
  <si>
    <t>Send 8</t>
  </si>
  <si>
    <t>Woolworths Home Insurrance</t>
  </si>
  <si>
    <t>FB</t>
  </si>
  <si>
    <t>Tealium- All social</t>
  </si>
  <si>
    <t>LVLFB</t>
  </si>
  <si>
    <t>[travelinsurance] - Woolworths Travel Insurance</t>
  </si>
  <si>
    <t>no_liquor_content</t>
  </si>
  <si>
    <t>Send 9</t>
  </si>
  <si>
    <t>Woolworths Pet Insurance</t>
  </si>
  <si>
    <t>MVHIGH</t>
  </si>
  <si>
    <t>[all] - Unsubscribe from all Everyday Rewards communications</t>
  </si>
  <si>
    <t>offeractivated</t>
  </si>
  <si>
    <t>Send 10</t>
  </si>
  <si>
    <t>Woolworths Life Insurance</t>
  </si>
  <si>
    <t>[bigw] - BIG W</t>
  </si>
  <si>
    <t>offercategory</t>
  </si>
  <si>
    <t>FB Wallet</t>
  </si>
  <si>
    <t>Send 11</t>
  </si>
  <si>
    <t>Woolworths Car Insurance</t>
  </si>
  <si>
    <t>All Digital (Hubs + Apps)</t>
  </si>
  <si>
    <t>MVMEDB</t>
  </si>
  <si>
    <t>[programaffiliates] - Program Affiliates</t>
  </si>
  <si>
    <t>partner_abbrev</t>
  </si>
  <si>
    <t>Send 12</t>
  </si>
  <si>
    <t>Woolworths Travel Insurance</t>
  </si>
  <si>
    <t>[edm] - Qantas Platinum Credit Card</t>
  </si>
  <si>
    <t>personalised_products</t>
  </si>
  <si>
    <t>Send 13</t>
  </si>
  <si>
    <t>[wowmobile] - Woolworths Mobile</t>
  </si>
  <si>
    <t>postcode</t>
  </si>
  <si>
    <t>Send 14</t>
  </si>
  <si>
    <t>[wowpeoplediscount] - Everyday Rewards Plus</t>
  </si>
  <si>
    <t>preferred_store</t>
  </si>
  <si>
    <t>Send 15</t>
  </si>
  <si>
    <t>Qantas Platinum Credit Card</t>
  </si>
  <si>
    <t>[n/a] Services BU</t>
  </si>
  <si>
    <t>preferred_store_name</t>
  </si>
  <si>
    <t>All Social (FB + Google)</t>
  </si>
  <si>
    <t>Send 16</t>
  </si>
  <si>
    <t>Woolworths Mobile</t>
  </si>
  <si>
    <t>[qantas] - Qantas</t>
  </si>
  <si>
    <t>reward_currency_type</t>
  </si>
  <si>
    <t>Send 17</t>
  </si>
  <si>
    <t xml:space="preserve">Everyday Rewards Plus </t>
  </si>
  <si>
    <t>[bupa] - Bupa</t>
  </si>
  <si>
    <t>Send 18</t>
  </si>
  <si>
    <t>Woolworths Funeral Insurance</t>
  </si>
  <si>
    <t>[origin] - Origin</t>
  </si>
  <si>
    <t>segment_code</t>
  </si>
  <si>
    <t>Send 19</t>
  </si>
  <si>
    <t>Woolworths Landlords Insurance</t>
  </si>
  <si>
    <t>[marleyspoon] - Marley Spoon/Dinnerly</t>
  </si>
  <si>
    <t>segmentname</t>
  </si>
  <si>
    <t>Send 20</t>
  </si>
  <si>
    <t>Everyday Platinum Credit Card</t>
  </si>
  <si>
    <t>[petculture] - Pet Culture</t>
  </si>
  <si>
    <t>Prepaid Mastercard</t>
  </si>
  <si>
    <t>[superpharmacy] - SuperPharmacy</t>
  </si>
  <si>
    <t>spend_type</t>
  </si>
  <si>
    <t>Reloadable Prepaid Mastercard</t>
  </si>
  <si>
    <t>[healthylife] - Healthy Life</t>
  </si>
  <si>
    <t>state</t>
  </si>
  <si>
    <t>Services BU - Deduplicated Sendlist</t>
  </si>
  <si>
    <t>[popup] - Popup Partners</t>
  </si>
  <si>
    <t>store_nbr</t>
  </si>
  <si>
    <t>stream</t>
  </si>
  <si>
    <t>subscription</t>
  </si>
  <si>
    <t>Marley Spoon</t>
  </si>
  <si>
    <t>Pet Culture</t>
  </si>
  <si>
    <t>Super Pharmacy</t>
  </si>
  <si>
    <t>Popup Partners</t>
  </si>
  <si>
    <t>var6</t>
  </si>
  <si>
    <t>promocode</t>
  </si>
  <si>
    <t>Key 1 - Banner</t>
  </si>
  <si>
    <t>Key 2 - Channel</t>
  </si>
  <si>
    <t>Key 3 - Line Item</t>
  </si>
  <si>
    <t>CompoundKey</t>
  </si>
  <si>
    <t>Value</t>
  </si>
  <si>
    <t>ALL</t>
  </si>
  <si>
    <t>ALLEmailUnsubscribe from all Everyday Rewards communications</t>
  </si>
  <si>
    <t>ALLRewards AppUnsubscribe from all Everyday Rewards communications</t>
  </si>
  <si>
    <t>ALLAll Social (FB + Google)Unsubscribe from all Everyday Rewards communications</t>
  </si>
  <si>
    <t>ALLEmailExclusive offers and promotions</t>
  </si>
  <si>
    <t>ALLRewards AppExclusive offers and promotions</t>
  </si>
  <si>
    <t>XSell</t>
  </si>
  <si>
    <t>Non Engaged (Has not clicked email in past 26 weeks)</t>
  </si>
  <si>
    <t>Unsub Parameter</t>
  </si>
  <si>
    <t>EG</t>
  </si>
  <si>
    <t>PA</t>
  </si>
  <si>
    <t>InsSerBU</t>
  </si>
  <si>
    <t>MarleySpoon</t>
  </si>
  <si>
    <t>PetCulture</t>
  </si>
  <si>
    <t>SuperPharmacy</t>
  </si>
  <si>
    <t>HealthyLife</t>
  </si>
  <si>
    <t>Popup</t>
  </si>
  <si>
    <t>CustomerFeedback</t>
  </si>
  <si>
    <t>Version</t>
  </si>
  <si>
    <t>Updates</t>
  </si>
  <si>
    <t>v0.11</t>
  </si>
  <si>
    <r>
      <rPr/>
      <t xml:space="preserve">Change from one to three Data Brief Forms - one each for </t>
    </r>
    <r>
      <rPr>
        <b/>
      </rPr>
      <t>Woolworths Rewards and Frequent Shopper Club</t>
    </r>
    <r>
      <rPr/>
      <t xml:space="preserve"> Customer Bases, </t>
    </r>
    <r>
      <rPr>
        <b/>
      </rPr>
      <t>Services</t>
    </r>
    <r>
      <rPr/>
      <t xml:space="preserve"> Customer Bases, and </t>
    </r>
    <r>
      <rPr>
        <b/>
      </rPr>
      <t>Online</t>
    </r>
    <r>
      <rPr/>
      <t xml:space="preserve"> Customer Bases, and other associated update</t>
    </r>
  </si>
  <si>
    <t>v7</t>
  </si>
  <si>
    <t>Baseline of automated data brief</t>
  </si>
  <si>
    <t>v7.1</t>
  </si>
  <si>
    <t>Changed default value of "Email" + "Universal control group" combination to TRUE</t>
  </si>
  <si>
    <t>v7.2</t>
  </si>
  <si>
    <t>Added conditional formatting that highlights overrides</t>
  </si>
  <si>
    <t>v7.3</t>
  </si>
  <si>
    <t>Updated "no liquor offer" to "liquor offer"</t>
  </si>
  <si>
    <t>v7.4</t>
  </si>
  <si>
    <t>Added options for Insurance (Services BU), and split-out partners</t>
  </si>
  <si>
    <t>v7.7</t>
  </si>
  <si>
    <t>Change to ONL data brief and adding in new channel suitable for ONL environment</t>
  </si>
  <si>
    <t xml:space="preserve">Updated the Staff/Onboarding to be the normal tickbox </t>
  </si>
  <si>
    <t>Updated the RTL related offer matrix/migration some changes from 7.6 which were previously missing</t>
  </si>
  <si>
    <t>v7.9</t>
  </si>
  <si>
    <t>Added placeholders for Milkrun and &lt;new partner&gt;. Script is not yet enabled for these two</t>
  </si>
  <si>
    <t>Added a standard exclusion for engaged (has not clicked L26W). By default this is ticked for e-mail</t>
  </si>
  <si>
    <t>Status:</t>
  </si>
  <si>
    <t>Initial Walkthrough 09Nov17</t>
  </si>
  <si>
    <t>Section Name:</t>
  </si>
  <si>
    <t>2. Data Brief</t>
  </si>
  <si>
    <t>Brief:</t>
  </si>
  <si>
    <t>As below</t>
  </si>
  <si>
    <t>Notes:</t>
  </si>
  <si>
    <t>In Column B</t>
  </si>
  <si>
    <t>Guidance Text</t>
  </si>
  <si>
    <t>Please Select "In" = Include, "Ex" = Exclude, where applicable.  If a Data Field isn't relevant to the Business Area or Campaign, leave it Blank</t>
  </si>
  <si>
    <t>Highlight OR Fade Sections Below (with Underlined Business Area Headings) that Are OR Aren't relevant</t>
  </si>
  <si>
    <t>Please Note that the Data Brief Form is for all Business Areas</t>
  </si>
  <si>
    <t>The Form has Conditional Formatting to highlight the sections relevant to your Campaign</t>
  </si>
  <si>
    <t>Free Text</t>
  </si>
  <si>
    <t>e.g.: OSP-1001</t>
  </si>
  <si>
    <t>Hyperlink to relevant place in form</t>
  </si>
  <si>
    <t>"</t>
  </si>
  <si>
    <t>A2</t>
  </si>
  <si>
    <t>Member Status</t>
  </si>
  <si>
    <t>Channel Subscriptions (by Channel)</t>
  </si>
  <si>
    <t>Campaign Inclusions</t>
  </si>
  <si>
    <t>A6</t>
  </si>
  <si>
    <t>A7</t>
  </si>
  <si>
    <t>A8</t>
  </si>
  <si>
    <t>Campaign Exclusions</t>
  </si>
  <si>
    <t>A9</t>
  </si>
  <si>
    <t>Duplicates</t>
  </si>
  <si>
    <t>B</t>
  </si>
  <si>
    <t>Target Audience Segmentation</t>
  </si>
  <si>
    <t>B1</t>
  </si>
  <si>
    <t>Target Audience Cells</t>
  </si>
  <si>
    <t>Multi Select - "In" OR Blank</t>
  </si>
  <si>
    <t>-</t>
  </si>
  <si>
    <t>Woolworths Rewards Plus</t>
  </si>
  <si>
    <t>Woolworths Online [ONL]</t>
  </si>
  <si>
    <t>Services - Cards [SER]</t>
  </si>
  <si>
    <t>Services - Insurance [SER]</t>
  </si>
  <si>
    <t>Services - Mobile [SER]</t>
  </si>
  <si>
    <t>Notes: Registered and Active</t>
  </si>
  <si>
    <t>Non-Member</t>
  </si>
  <si>
    <t>Social Media</t>
  </si>
  <si>
    <t>Digital Channel</t>
  </si>
  <si>
    <t>Guidance Text / Dropdowns</t>
  </si>
  <si>
    <t>Tick / ""</t>
  </si>
  <si>
    <r>
      <rPr>
        <rFont val="Calibri"/>
        <color rgb="FF0070C0"/>
        <sz val="11.0"/>
      </rPr>
      <t xml:space="preserve">If "A1. Business Area" Woolworths </t>
    </r>
    <r>
      <rPr>
        <rFont val="Calibri"/>
        <b/>
        <color rgb="FF0070C0"/>
        <sz val="11.0"/>
      </rPr>
      <t>Rewards</t>
    </r>
    <r>
      <rPr>
        <rFont val="Calibri"/>
        <color rgb="FF0070C0"/>
        <sz val="11.0"/>
      </rPr>
      <t xml:space="preserve"> is selected:</t>
    </r>
  </si>
  <si>
    <r>
      <rPr>
        <rFont val="Calibri"/>
        <b/>
        <color rgb="FF000000"/>
        <sz val="11.0"/>
        <u/>
      </rPr>
      <t>Woolworths Rewards Subscriptions</t>
    </r>
    <r>
      <rPr>
        <rFont val="Calibri"/>
        <b/>
        <color rgb="FF000000"/>
        <sz val="11.0"/>
      </rPr>
      <t xml:space="preserve"> [includes FSC]</t>
    </r>
  </si>
  <si>
    <t>Highlight OR Fade Channel Columns that Are OR Aren't relevant</t>
  </si>
  <si>
    <t>Woolworths Rewards Communications = No</t>
  </si>
  <si>
    <t>In / Ex / ""</t>
  </si>
  <si>
    <t>Multi Select - "In" OR "Ex" OR Blank</t>
  </si>
  <si>
    <t>Exclusive Offers and Promotions = Yes</t>
  </si>
  <si>
    <t>etc.,</t>
  </si>
  <si>
    <t>Exclusive Offers and Promotions = No</t>
  </si>
  <si>
    <t>Market Research = Yes</t>
  </si>
  <si>
    <t>Market Research = No</t>
  </si>
  <si>
    <t>Woolworths Supermarkets = Yes</t>
  </si>
  <si>
    <t>Woolworths Supermarkets = No</t>
  </si>
  <si>
    <t>Woolworths Baby and Toddler Club = Yes</t>
  </si>
  <si>
    <t>Woolworths Baby and Toddler Club = No</t>
  </si>
  <si>
    <t>BWS = Yes</t>
  </si>
  <si>
    <t>BWS = No</t>
  </si>
  <si>
    <t>Liquor Communications = No</t>
  </si>
  <si>
    <t>Caltex Woolworths Fuel = Yes</t>
  </si>
  <si>
    <t>Caltex Woolworths Fuel = No</t>
  </si>
  <si>
    <t>Program Affiliates = Yes</t>
  </si>
  <si>
    <t>Program Affiliates = No</t>
  </si>
  <si>
    <t>Woolworths Mobile = Yes</t>
  </si>
  <si>
    <t>Woolworths Mobile = No</t>
  </si>
  <si>
    <t>Woolworths Home Insurance = Yes</t>
  </si>
  <si>
    <t>Woolworths Home Insurance = No</t>
  </si>
  <si>
    <t>Woolworths Travel Insurance = Yes</t>
  </si>
  <si>
    <t>Woolworths Travel Insurance = No</t>
  </si>
  <si>
    <t>Woolworths Pet Insurance = Yes</t>
  </si>
  <si>
    <t>Woolworths Pet Insurance = No</t>
  </si>
  <si>
    <t>Woolworths Life Insurance = Yes</t>
  </si>
  <si>
    <t>Woolworths Life Insurance = No</t>
  </si>
  <si>
    <t>Woolworths Car Insurance = Yes</t>
  </si>
  <si>
    <t>Woolworths Car Insurance = No</t>
  </si>
  <si>
    <t>Woolworths Funeral Insurance = Yes</t>
  </si>
  <si>
    <t>Woolworths Funeral Insurance = No</t>
  </si>
  <si>
    <t>Woolworths Landlords Insurance = Yes</t>
  </si>
  <si>
    <t>Woolworths Landlords Insurance = No</t>
  </si>
  <si>
    <t>Qantas Platinum Credit Card = Yes</t>
  </si>
  <si>
    <t>Qantas Platinum Credit Card = No</t>
  </si>
  <si>
    <t>Everyday Platinum Credit Card = Yes</t>
  </si>
  <si>
    <t>Everyday Platinum Credit Card = No</t>
  </si>
  <si>
    <t>Prepaid Mastercard = Yes</t>
  </si>
  <si>
    <t>Prepaid Mastercard = No</t>
  </si>
  <si>
    <t>Reloadable Prepaid Mastercard = Yes</t>
  </si>
  <si>
    <t>Reloadable Prepaid Mastercard = No</t>
  </si>
  <si>
    <r>
      <rPr>
        <rFont val="Calibri"/>
        <color rgb="FF0070C0"/>
        <sz val="11.0"/>
      </rPr>
      <t xml:space="preserve">If "A1. Business Area" Woolworths </t>
    </r>
    <r>
      <rPr>
        <rFont val="Calibri"/>
        <b/>
        <color rgb="FF0070C0"/>
        <sz val="11.0"/>
      </rPr>
      <t>Online</t>
    </r>
    <r>
      <rPr>
        <rFont val="Calibri"/>
        <color rgb="FF0070C0"/>
        <sz val="11.0"/>
      </rPr>
      <t xml:space="preserve"> is selected:</t>
    </r>
  </si>
  <si>
    <r>
      <rPr>
        <rFont val="Calibri"/>
        <b/>
        <color rgb="FF000000"/>
        <sz val="11.0"/>
        <u/>
      </rPr>
      <t>Woolworths Online Subscriptions</t>
    </r>
    <r>
      <rPr>
        <rFont val="Calibri"/>
        <b/>
        <color rgb="FF000000"/>
        <sz val="11.0"/>
        <u/>
      </rPr>
      <t xml:space="preserve"> [ONL]</t>
    </r>
  </si>
  <si>
    <t>Online Customer = Yes</t>
  </si>
  <si>
    <t>Catalogue Customer = Yes</t>
  </si>
  <si>
    <r>
      <rPr>
        <rFont val="Calibri"/>
        <color rgb="FF0070C0"/>
        <sz val="11.0"/>
      </rPr>
      <t xml:space="preserve">If "A1. Business Area" Woolworths </t>
    </r>
    <r>
      <rPr>
        <rFont val="Calibri"/>
        <b/>
        <color rgb="FF0070C0"/>
        <sz val="11.0"/>
      </rPr>
      <t>Services</t>
    </r>
    <r>
      <rPr>
        <rFont val="Calibri"/>
        <color rgb="FF0070C0"/>
        <sz val="11.0"/>
      </rPr>
      <t xml:space="preserve"> is selected:</t>
    </r>
  </si>
  <si>
    <r>
      <rPr>
        <rFont val="Calibri"/>
        <b/>
        <color rgb="FF000000"/>
        <sz val="11.0"/>
        <u/>
      </rPr>
      <t>Woolworths Services Subscriptions</t>
    </r>
    <r>
      <rPr>
        <rFont val="Calibri"/>
        <b/>
        <color rgb="FF000000"/>
        <sz val="11.0"/>
        <u/>
      </rPr>
      <t xml:space="preserve"> [SER]</t>
    </r>
  </si>
  <si>
    <t>Marketing Consent = Yes</t>
  </si>
  <si>
    <t>Marketing Consent = No</t>
  </si>
  <si>
    <t>Woolworths Prepaid Mobile = Yes</t>
  </si>
  <si>
    <t>Woolworths Prepaid Mobile = No</t>
  </si>
  <si>
    <t>Credit Cards = Yes</t>
  </si>
  <si>
    <t>Credit Cards = No</t>
  </si>
  <si>
    <r>
      <rPr>
        <rFont val="Calibri"/>
        <color rgb="FF0070C0"/>
        <sz val="11.0"/>
      </rPr>
      <t>If "A1. Business Area" ≠</t>
    </r>
    <r>
      <rPr>
        <rFont val="Calibri"/>
        <color rgb="FF0070C0"/>
        <sz val="8.0"/>
      </rPr>
      <t xml:space="preserve"> </t>
    </r>
    <r>
      <rPr>
        <rFont val="Calibri"/>
        <color rgb="FF000000"/>
        <sz val="11.0"/>
      </rPr>
      <t xml:space="preserve">Woolworths </t>
    </r>
    <r>
      <rPr>
        <rFont val="Calibri"/>
        <b/>
        <color rgb="FF0070C0"/>
        <sz val="11.0"/>
      </rPr>
      <t>Services</t>
    </r>
    <r>
      <rPr>
        <rFont val="Calibri"/>
        <color rgb="FF000000"/>
        <sz val="11.0"/>
      </rPr>
      <t xml:space="preserve"> is selected:</t>
    </r>
  </si>
  <si>
    <r>
      <rPr>
        <rFont val="Calibri"/>
        <b/>
        <sz val="11.0"/>
      </rPr>
      <t>Channel Subscriptions</t>
    </r>
    <r>
      <rPr>
        <rFont val="Calibri"/>
        <b/>
        <sz val="11.0"/>
      </rPr>
      <t xml:space="preserve"> (by Channel, i.e.: as they apply to that Channel)</t>
    </r>
  </si>
  <si>
    <t>Multi Select - Could it Auto Populate from Row 68 Data?</t>
  </si>
  <si>
    <t>Could these boxes Auto Populate from Row 68 Data?</t>
  </si>
  <si>
    <t>Test Cards</t>
  </si>
  <si>
    <t>Email Contact Preference = Yes</t>
  </si>
  <si>
    <t>Email Contact Preference = No</t>
  </si>
  <si>
    <t>Email Hard Bounce</t>
  </si>
  <si>
    <t>Invalid Email Address</t>
  </si>
  <si>
    <t>Direct Mail Contact Preference = Yes</t>
  </si>
  <si>
    <t>Direct Mail Contact Preference = No</t>
  </si>
  <si>
    <t>Invalid Postal Address</t>
  </si>
  <si>
    <t>SMS Contact Preference = Yes</t>
  </si>
  <si>
    <t>SMS Contact Preference = No</t>
  </si>
  <si>
    <t>Invalid Mobile Number</t>
  </si>
  <si>
    <t>Random Sample</t>
  </si>
  <si>
    <t>Notes: Primarily for CVM Campaigns (but potentially also for other Campaigns Streams). "Yes" instructs Campaign Analysts to include a Random Sample of Members who meet the A1-A7 criteria, but may or may not meet the A8 Campaign Inclusion Criteria. The size of the Random Sample Target and Control Cells to be as per the [File Name and include LINK to file]. Random Sample Members to be tagged, indicating whether they do or do not meet the A8 Campaign Inclusion Criteria</t>
  </si>
  <si>
    <t>Stores</t>
  </si>
  <si>
    <r>
      <rPr>
        <rFont val="Calibri"/>
        <color rgb="FF0070C0"/>
        <sz val="11.0"/>
      </rPr>
      <t xml:space="preserve">If "A1. Campaign Stream" ≠ </t>
    </r>
    <r>
      <rPr>
        <rFont val="Calibri"/>
        <b/>
        <color rgb="FF0070C0"/>
        <sz val="11.0"/>
      </rPr>
      <t>SER:</t>
    </r>
  </si>
  <si>
    <t>https://docs.google.com/spreadsheets/d/1pQxQ2d-9Pb1zkECw8E6m0nCkibpbodIj-6-HI0Jtfqw/edit#gid=1035024271</t>
  </si>
  <si>
    <t>Notes: Campaign Analyst requires Campaign Code and Campaign Start Date to reference LCP Campaign Table. Table is maintained by the LCP Campaign Stream Team and updated each Tuesday by COB</t>
  </si>
  <si>
    <t>Other Stores: Include Store Number and Store Name</t>
  </si>
  <si>
    <t>Guidance Text / Free Text</t>
  </si>
  <si>
    <t>e.g.: 1267 Narooma, 1392 Bulli, etc.,</t>
  </si>
  <si>
    <t>Other Inclusion Criteria</t>
  </si>
  <si>
    <t xml:space="preserve">e.g.: SPEND_8WK_SHOPPED_EXC_TOBACCO = </t>
  </si>
  <si>
    <t>e.g.: Shopped in the last 26 Weeks = Yes</t>
  </si>
  <si>
    <t>e.g.: Opened Email in the last 26 weeks = Yes</t>
  </si>
  <si>
    <t>Multi Select - "Ex" OR Blank; Default to "Ex"</t>
  </si>
  <si>
    <t>All Business Areas</t>
  </si>
  <si>
    <t>Ex</t>
  </si>
  <si>
    <t>Invalid CRN</t>
  </si>
  <si>
    <t>Deceased Customer</t>
  </si>
  <si>
    <r>
      <rPr>
        <rFont val="Calibri"/>
        <color rgb="FF0070C0"/>
        <sz val="11.0"/>
      </rPr>
      <t xml:space="preserve">If "A1. Business Area" Woolworths </t>
    </r>
    <r>
      <rPr>
        <rFont val="Calibri"/>
        <b/>
        <color rgb="FF0070C0"/>
        <sz val="11.0"/>
      </rPr>
      <t>Rewards</t>
    </r>
    <r>
      <rPr>
        <rFont val="Calibri"/>
        <color rgb="FF0070C0"/>
        <sz val="11.0"/>
      </rPr>
      <t xml:space="preserve"> OR </t>
    </r>
    <r>
      <rPr>
        <rFont val="Calibri"/>
        <b/>
        <color rgb="FF0070C0"/>
        <sz val="11.0"/>
      </rPr>
      <t>Services</t>
    </r>
    <r>
      <rPr>
        <rFont val="Calibri"/>
        <color rgb="FF0070C0"/>
        <sz val="11.0"/>
      </rPr>
      <t xml:space="preserve"> is selected:</t>
    </r>
  </si>
  <si>
    <t>Frequent Shopper Club</t>
  </si>
  <si>
    <r>
      <rPr>
        <rFont val="Calibri"/>
        <color rgb="FF0070C0"/>
        <sz val="11.0"/>
      </rPr>
      <t xml:space="preserve">If "A1. Business Area" </t>
    </r>
    <r>
      <rPr>
        <rFont val="Calibri"/>
        <b/>
        <color rgb="FF0070C0"/>
        <sz val="11.0"/>
      </rPr>
      <t>Frequent Shoppers Club [FSC]</t>
    </r>
    <r>
      <rPr>
        <rFont val="Calibri"/>
        <color rgb="FF0070C0"/>
        <sz val="11.0"/>
      </rPr>
      <t xml:space="preserve"> is selected:</t>
    </r>
  </si>
  <si>
    <t>Cancelled Frequent Shopper Club Card</t>
  </si>
  <si>
    <r>
      <rPr>
        <rFont val="Calibri"/>
        <color rgb="FF0070C0"/>
        <sz val="11.0"/>
      </rPr>
      <t xml:space="preserve">If "A1. Business Area" Woolworths </t>
    </r>
    <r>
      <rPr>
        <rFont val="Calibri"/>
        <b/>
        <color rgb="FF0070C0"/>
        <sz val="11.0"/>
      </rPr>
      <t>Online</t>
    </r>
    <r>
      <rPr>
        <rFont val="Calibri"/>
        <color rgb="FF0070C0"/>
        <sz val="11.0"/>
      </rPr>
      <t xml:space="preserve"> is selected:</t>
    </r>
  </si>
  <si>
    <t>Cancelled Online Customer</t>
  </si>
  <si>
    <t>Control Cells</t>
  </si>
  <si>
    <t>Multi Select - "Ex" OR Blank</t>
  </si>
  <si>
    <t>Social Media and Programmatic Control Cell</t>
  </si>
  <si>
    <t>Control Cell - This Campaign</t>
  </si>
  <si>
    <t>Email Domains</t>
  </si>
  <si>
    <t>CRN with test@gmail.com email address</t>
  </si>
  <si>
    <t>CRN with @aldi.com.au domain</t>
  </si>
  <si>
    <t>CRN with @amazon.com.au domain</t>
  </si>
  <si>
    <t>CRN with @coles.com.au domain</t>
  </si>
  <si>
    <t>CRN with @costco.com.au domain</t>
  </si>
  <si>
    <t>CRN with @flybuys.com.au domain</t>
  </si>
  <si>
    <t>CRN with @iga.com.au domain</t>
  </si>
  <si>
    <t>CRN with @metcash.com.au domain</t>
  </si>
  <si>
    <t>CRN with @wesfarmers.com.au domain</t>
  </si>
  <si>
    <t>Geo-Demographics</t>
  </si>
  <si>
    <t>Contact Frequency</t>
  </si>
  <si>
    <t>Multi Select - Tick</t>
  </si>
  <si>
    <t>Email Contact Frequency Rule</t>
  </si>
  <si>
    <t>N.B.: Phase 1 to only show the "SMS Contact Rule" option</t>
  </si>
  <si>
    <t>Direct Mail Contact Frequency Rule</t>
  </si>
  <si>
    <t>SMS Contact Rule</t>
  </si>
  <si>
    <t>Notes: Contacted via SMS in last 30 days, excluding ONL SMSs</t>
  </si>
  <si>
    <t>Other Contact Frequency Requirements</t>
  </si>
  <si>
    <t>CRNs in:</t>
  </si>
  <si>
    <t>e.g.: All LCP Campaigns - Target CRNs AND Control CRNs</t>
  </si>
  <si>
    <t>e.g.: CNA-0117 Birthday Campaign - Target CRN</t>
  </si>
  <si>
    <t>e.g.: CVM-00xx - Target CRNs AND Control CRNs for last 4 Executions</t>
  </si>
  <si>
    <t>Other Exclusion Criteria</t>
  </si>
  <si>
    <t>e.g.: Young Family Segment</t>
  </si>
  <si>
    <t>e.g.: Loyalty Card Active Date = 0-4 Weeks</t>
  </si>
  <si>
    <t>Apply One CRN to Multiple Rewards Cards De-duplication Rules</t>
  </si>
  <si>
    <t>Definitions For Each</t>
  </si>
  <si>
    <t>Cust = CRN or Email Address</t>
  </si>
  <si>
    <t>Latest (Most Recently Added Active Card) - This is happens in SFMC</t>
  </si>
  <si>
    <t>Apply One CRN to Multiple Products or Services De-duplication Rules</t>
  </si>
  <si>
    <t>esp. Services Context</t>
  </si>
  <si>
    <r>
      <rPr>
        <rFont val="Calibri"/>
        <sz val="11.0"/>
      </rPr>
      <t>Apply Email Address</t>
    </r>
    <r>
      <rPr>
        <rFont val="Calibri"/>
        <sz val="11.0"/>
      </rPr>
      <t xml:space="preserve"> De-duplication Rules</t>
    </r>
  </si>
  <si>
    <t>Apply Postal Address De-duplication Rules</t>
  </si>
  <si>
    <t>Priority Rules SER = Kath</t>
  </si>
  <si>
    <t>Apply Mobile Number De-duplication Rules</t>
  </si>
  <si>
    <t>Other De-deplication Requirements</t>
  </si>
  <si>
    <t>Include Target Audience Segmentation requirements</t>
  </si>
  <si>
    <t>Include a description of Segmentation Criteria or Tagging required for:</t>
  </si>
  <si>
    <t>Campaign Targeting</t>
  </si>
  <si>
    <t>Channel Execution</t>
  </si>
  <si>
    <t>Creative Execution</t>
  </si>
  <si>
    <t>Test Cells</t>
  </si>
  <si>
    <t>Any Other Reporting requirements</t>
  </si>
  <si>
    <t>e.g.: Determine Spend Band using last 8 week Average Spend</t>
  </si>
  <si>
    <t>e.g.: Segment 1 = Young Families, Segment 2 = All Other Segments</t>
  </si>
  <si>
    <t>e.g.: Choose first available Channel from Direct Mail THEN Email</t>
  </si>
  <si>
    <t>e.g.: Control Cell at the Campaign level Only</t>
  </si>
  <si>
    <t>Please Note that detailed Target Cells to LMS Offer ID Attachement is in Section C</t>
  </si>
  <si>
    <t>Table</t>
  </si>
  <si>
    <t>Example</t>
  </si>
  <si>
    <t>Dropdown Lists in each Column</t>
  </si>
  <si>
    <t>Date Picker</t>
  </si>
  <si>
    <t>Activate</t>
  </si>
  <si>
    <t>Email Not Opened Customers</t>
  </si>
  <si>
    <t>Activate/Shop</t>
  </si>
  <si>
    <t>Email Opened, Offer Not Activated Customers</t>
  </si>
  <si>
    <t>SMS Not Received Customers</t>
  </si>
  <si>
    <t>SMS Received, Offer Not Activated Customers</t>
  </si>
  <si>
    <t>Reminder to Activate/Shop</t>
  </si>
  <si>
    <t>Unlock Week</t>
  </si>
  <si>
    <t>Offer Activated Customers</t>
  </si>
  <si>
    <t>Congratulations</t>
  </si>
  <si>
    <t>Thank you</t>
  </si>
  <si>
    <t>Offer Activated and Shopped but not Qualified Customers</t>
  </si>
  <si>
    <t>Offer Activated and Qualified Customers</t>
  </si>
  <si>
    <t>Activation Start</t>
  </si>
  <si>
    <t>Activation End</t>
  </si>
  <si>
    <t>Criteria (Inclusions)</t>
  </si>
  <si>
    <t>Dropdown Here</t>
  </si>
  <si>
    <t>Emailable, Shopped in the last 8 weeks</t>
  </si>
  <si>
    <t>30 Rows in Table</t>
  </si>
  <si>
    <t>Average Weekly Spend Bands (SPEND_8WK_SHOPPED_EXC_TOBACCO)</t>
  </si>
  <si>
    <t>Lifestage</t>
  </si>
  <si>
    <t>Multi-Select - Tick</t>
  </si>
  <si>
    <t>Notes: File provided by Campaign Analysts to DC Support to load to the Support Portal. The file contains Offer descriptions for the Target Audience Customers. Applies specifically for Campaigns using Direct Mail, SMS, Social Media and Programmatic Campaigns</t>
  </si>
  <si>
    <t>Notes: Match of Target Audience Records successfully loaded to Facebook</t>
  </si>
  <si>
    <t>Notes: Match of Target Audience Records successfully loaded to Programmatic Channels</t>
  </si>
  <si>
    <t>- Please make a copy of the Form and Save to your Google Drive as: &lt;Campaign Code&gt;_7.3 Reporting - Split Reporting Form_&lt;v0.x&gt;</t>
  </si>
  <si>
    <t>- Complete the Form inputs</t>
  </si>
  <si>
    <t>- Save the Form as a PDF by selecting: File &gt; Download as &gt; PDF document (.pdf)</t>
  </si>
  <si>
    <t>- Upload to the Task in Simple</t>
  </si>
  <si>
    <t>Reporting - Split Reporting</t>
  </si>
  <si>
    <t>Reference</t>
  </si>
  <si>
    <t>Split 1</t>
  </si>
  <si>
    <t>Total</t>
  </si>
  <si>
    <t>e.g.: Split by Target Audience Cells</t>
  </si>
  <si>
    <t>Split 2</t>
  </si>
  <si>
    <t>By non Marketable segments (split out by lapsed, inactive, New)</t>
  </si>
  <si>
    <t>e.g.: Split by Target Audience Age Groups: &lt;30 Years and ≥ 30 Years</t>
  </si>
  <si>
    <t>Split 3</t>
  </si>
  <si>
    <t>By marketable segments (split out by  lapsed, inactive, new)</t>
  </si>
  <si>
    <t>e.g.: Split by Offer: 2,000 Points vs. $10</t>
  </si>
  <si>
    <t>Split 4</t>
  </si>
  <si>
    <t xml:space="preserve">By segment total ( split out by lapsed, inactive, new). </t>
  </si>
  <si>
    <t>e.g.: Split by Creative A and Creative B</t>
  </si>
  <si>
    <t>Split 5</t>
  </si>
  <si>
    <t>By marketable totals</t>
  </si>
  <si>
    <t>e.g.: Tag by State</t>
  </si>
  <si>
    <t>Split 6</t>
  </si>
  <si>
    <t>By non marketbale totals</t>
  </si>
  <si>
    <t>Please include any additional comments or instructions: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</si>
</sst>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d&quot;/&quot;mm&quot;/&quot;yyyy"/>
    <numFmt numFmtId="165" formatCode="d/m/yyyy"/>
    <numFmt numFmtId="166" formatCode="dd&quot;-&quot;mm&quot;-&quot;yyyy"/>
    <numFmt numFmtId="167" formatCode="h:mm:ss am/pm"/>
    <numFmt numFmtId="168" formatCode="[$£-809]#,##0.00"/>
    <numFmt numFmtId="169" formatCode="00"/>
    <numFmt numFmtId="170" formatCode="0.0"/>
    <numFmt numFmtId="171" formatCode="yyyy-mm-dd"/>
    <numFmt numFmtId="172" formatCode="dddd&quot;, &quot;d&quot; &quot;mmmm&quot; &quot;yyyy"/>
    <numFmt numFmtId="173" formatCode="&quot;$&quot;#,##0"/>
    <numFmt numFmtId="174" formatCode="dd-mmm-yyyy"/>
    <numFmt numFmtId="175" formatCode="dd&quot;-&quot;mmm&quot;-&quot;yy"/>
    <numFmt numFmtId="176" formatCode="d-mmm-yy"/>
    <numFmt numFmtId="177" formatCode="dd-mmm-yy"/>
    <numFmt numFmtId="178" formatCode="dd-mmmm-yy"/>
    <numFmt numFmtId="179" formatCode="d/m/yy"/>
  </numFmts>
  <fonts count="119">
    <font>
      <sz val="11.0"/>
      <color rgb="FF000000"/>
      <name val="Calibri"/>
    </font>
    <font>
      <sz val="11.0"/>
      <color rgb="FF000000"/>
      <name val="Proxima Nova"/>
    </font>
    <font>
      <b/>
      <sz val="11.0"/>
      <color rgb="FF000000"/>
      <name val="Proxima Nova"/>
    </font>
    <font>
      <name val="Proxima Nova"/>
    </font>
    <font>
      <sz val="11.0"/>
      <color rgb="FF0070C0"/>
      <name val="Proxima Nova"/>
    </font>
    <font>
      <b/>
      <sz val="11.0"/>
      <color rgb="FFFFFFFF"/>
      <name val="Proxima Nova"/>
    </font>
    <font>
      <sz val="11.0"/>
      <color rgb="FFFFFFFF"/>
      <name val="Proxima Nova"/>
    </font>
    <font>
      <sz val="11.0"/>
      <color rgb="FF999999"/>
      <name val="Proxima Nova"/>
    </font>
    <font>
      <sz val="11.0"/>
      <name val="Proxima Nova"/>
    </font>
    <font/>
    <font>
      <b/>
      <sz val="11.0"/>
      <name val="Proxima Nova"/>
    </font>
    <font>
      <sz val="11.0"/>
      <color rgb="FF7F7F7F"/>
      <name val="Proxima Nova"/>
    </font>
    <font>
      <sz val="11.0"/>
      <name val="Calibri"/>
    </font>
    <font>
      <color rgb="FF263238"/>
      <name val="Roboto"/>
    </font>
    <font>
      <b/>
      <sz val="11.0"/>
      <color rgb="FFFF0000"/>
      <name val="Proxima Nova"/>
    </font>
    <font>
      <sz val="11.0"/>
      <color rgb="FF0000FF"/>
      <name val="Proxima Nova"/>
    </font>
    <font>
      <color rgb="FF0000FF"/>
    </font>
    <font>
      <sz val="11.0"/>
      <color rgb="FFFF0000"/>
      <name val="Proxima Nova"/>
    </font>
    <font>
      <b/>
      <sz val="14.0"/>
      <color rgb="FFFFFFFF"/>
      <name val="Proxima Nova"/>
    </font>
    <font>
      <i/>
      <sz val="11.0"/>
      <color rgb="FF434343"/>
      <name val="Proxima Nova"/>
    </font>
    <font>
      <i/>
      <sz val="11.0"/>
      <color rgb="FF7F7F7F"/>
      <name val="Proxima Nova"/>
    </font>
    <font>
      <color rgb="FF000000"/>
      <name val="Proxima Nova"/>
    </font>
    <font>
      <u/>
      <sz val="11.0"/>
      <color rgb="FF0000FF"/>
      <name val="Proxima Nova"/>
    </font>
    <font>
      <i/>
      <sz val="11.0"/>
      <color rgb="FF000000"/>
      <name val="Proxima Nova"/>
    </font>
    <font>
      <b/>
      <i/>
      <sz val="11.0"/>
      <name val="Proxima Nova"/>
    </font>
    <font>
      <i/>
      <sz val="11.0"/>
      <name val="Proxima Nova"/>
    </font>
    <font>
      <sz val="11.0"/>
      <name val="&quot;Proxima Nova&quot;"/>
    </font>
    <font>
      <sz val="8.0"/>
      <color rgb="FF000000"/>
      <name val="Proxima Nova"/>
    </font>
    <font>
      <sz val="11.0"/>
      <color rgb="FF4F81BD"/>
      <name val="Proxima Nova"/>
    </font>
    <font>
      <i/>
      <sz val="11.0"/>
      <color rgb="FF999999"/>
      <name val="Proxima Nova"/>
    </font>
    <font>
      <sz val="11.0"/>
      <color rgb="FF333333"/>
      <name val="Proxima Nova"/>
    </font>
    <font>
      <sz val="8.0"/>
      <color rgb="FF222222"/>
      <name val="Proxima Nova"/>
    </font>
    <font>
      <sz val="11.0"/>
      <color rgb="FFFFFF00"/>
      <name val="Proxima Nova"/>
    </font>
    <font>
      <b/>
      <sz val="11.0"/>
      <color rgb="FFFFFF00"/>
      <name val="Proxima Nova"/>
    </font>
    <font>
      <b/>
      <color rgb="FF000000"/>
      <name val="Proxima Nova"/>
    </font>
    <font>
      <u/>
      <sz val="11.0"/>
      <color rgb="FF000000"/>
      <name val="Proxima Nova"/>
    </font>
    <font>
      <u/>
      <color rgb="FF0000FF"/>
    </font>
    <font>
      <color rgb="FFFFFF00"/>
      <name val="Proxima Nova"/>
    </font>
    <font>
      <b/>
      <sz val="14.0"/>
      <color rgb="FF000000"/>
      <name val="Proxima Nova"/>
    </font>
    <font>
      <i/>
      <color rgb="FF000000"/>
      <name val="Proxima Nova"/>
    </font>
    <font>
      <i/>
      <color rgb="FFFFFFFF"/>
      <name val="Proxima Nova"/>
    </font>
    <font>
      <color rgb="FFFFFFFF"/>
      <name val="Proxima Nova"/>
    </font>
    <font>
      <u/>
      <sz val="11.0"/>
      <color rgb="FF000000"/>
      <name val="Proxima Nova"/>
    </font>
    <font>
      <i/>
      <color rgb="FF9900FF"/>
      <name val="Roboto"/>
    </font>
    <font>
      <i/>
      <sz val="11.0"/>
      <color rgb="FF9900FF"/>
      <name val="Proxima Nova"/>
    </font>
    <font>
      <sz val="11.0"/>
      <color rgb="FF000000"/>
      <name val="&quot;Proxima Nova&quot;"/>
    </font>
    <font>
      <i/>
      <sz val="11.0"/>
      <color rgb="FF0000FF"/>
      <name val="&quot;Proxima Nova&quot;"/>
    </font>
    <font>
      <i/>
      <sz val="11.0"/>
      <color rgb="FF0000FF"/>
      <name val="Proxima Nova"/>
    </font>
    <font>
      <sz val="11.0"/>
      <color rgb="FF000000"/>
      <name val="Arial"/>
    </font>
    <font>
      <i/>
      <sz val="11.0"/>
      <color rgb="FF9900FF"/>
      <name val="Roboto"/>
    </font>
    <font>
      <i/>
      <sz val="11.0"/>
      <color rgb="FF000000"/>
      <name val="&quot;Proxima Nova&quot;"/>
    </font>
    <font>
      <i/>
    </font>
    <font>
      <b/>
      <sz val="11.0"/>
      <color rgb="FFFF0000"/>
      <name val="&quot;Proxima Nova&quot;"/>
    </font>
    <font>
      <b/>
      <sz val="11.0"/>
      <color rgb="FF9900FF"/>
      <name val="Proxima Nova"/>
    </font>
    <font>
      <color rgb="FF9900FF"/>
      <name val="Arial"/>
    </font>
    <font>
      <sz val="11.0"/>
      <color rgb="FF9900FF"/>
      <name val="Proxima Nova"/>
    </font>
    <font>
      <color rgb="FF9900FF"/>
      <name val="Proxima Nova"/>
    </font>
    <font>
      <b/>
      <color rgb="FFFFFF00"/>
      <name val="Proxima Nova"/>
    </font>
    <font>
      <u/>
      <sz val="11.0"/>
      <color rgb="FF0000FF"/>
      <name val="Proxima Nova"/>
    </font>
    <font>
      <sz val="9.0"/>
      <color rgb="FF1F1F1F"/>
      <name val="&quot;Google Sans&quot;"/>
    </font>
    <font>
      <color rgb="FF222222"/>
      <name val="Roboto"/>
    </font>
    <font>
      <b/>
      <sz val="11.0"/>
      <color rgb="FF000000"/>
      <name val="Calibri"/>
    </font>
    <font>
      <strike/>
      <sz val="11.0"/>
      <color rgb="FF000000"/>
      <name val="&quot;Proxima Nova&quot;"/>
    </font>
    <font>
      <color rgb="FFFF0000"/>
      <name val="Roboto"/>
    </font>
    <font>
      <u/>
      <sz val="11.0"/>
      <color rgb="FF1155CC"/>
      <name val="Proxima Nova"/>
    </font>
    <font>
      <u/>
      <sz val="11.0"/>
      <color rgb="FF1155CC"/>
      <name val="&quot;Proxima Nova&quot;"/>
    </font>
    <font>
      <color rgb="FF202124"/>
      <name val="Roboto"/>
    </font>
    <font>
      <i/>
      <name val="Proxima Nova"/>
    </font>
    <font>
      <b/>
      <i/>
      <name val="Proxima Nova"/>
    </font>
    <font>
      <sz val="11.0"/>
      <color rgb="FFFF0000"/>
      <name val="&quot;Proxima Nova&quot;"/>
    </font>
    <font>
      <sz val="11.0"/>
      <color rgb="FFFF0000"/>
      <name val="Calibri"/>
    </font>
    <font>
      <sz val="11.0"/>
      <color rgb="FFFFFF00"/>
      <name val="Calibri"/>
    </font>
    <font>
      <b/>
      <name val="Proxima Nova"/>
    </font>
    <font>
      <sz val="11.0"/>
      <color rgb="FF000000"/>
      <name val="Roboto"/>
    </font>
    <font>
      <sz val="11.0"/>
      <color rgb="FFFF0000"/>
      <name val="Roboto"/>
    </font>
    <font>
      <b/>
      <sz val="11.0"/>
      <color rgb="FF0000FF"/>
      <name val="Roboto"/>
    </font>
    <font>
      <b/>
      <sz val="11.0"/>
      <color rgb="FFFF0000"/>
      <name val="Roboto"/>
    </font>
    <font>
      <i/>
      <sz val="11.0"/>
      <name val="&quot;Proxima Nova&quot;"/>
    </font>
    <font>
      <b/>
      <sz val="11.0"/>
      <color rgb="FF000000"/>
      <name val="&quot;Proxima Nova&quot;"/>
    </font>
    <font>
      <b/>
      <sz val="11.0"/>
      <name val="&quot;Proxima Nova&quot;"/>
    </font>
    <font>
      <i/>
      <sz val="11.0"/>
      <color rgb="FF000000"/>
      <name val="Calibri"/>
    </font>
    <font>
      <i/>
      <sz val="11.0"/>
      <color rgb="FFF4511E"/>
      <name val="&quot;Proxima Nova&quot;"/>
    </font>
    <font>
      <sz val="11.0"/>
      <color rgb="FF1B273A"/>
      <name val="Arial"/>
    </font>
    <font>
      <u/>
      <sz val="11.0"/>
      <color rgb="FF0000FF"/>
      <name val="&quot;Proxima Nova&quot;"/>
    </font>
    <font>
      <b/>
      <i/>
      <sz val="11.0"/>
      <color rgb="FFFF0000"/>
      <name val="&quot;Proxima Nova&quot;"/>
    </font>
    <font>
      <b/>
      <i/>
      <sz val="11.0"/>
      <color rgb="FF000000"/>
      <name val="&quot;Proxima Nova&quot;"/>
    </font>
    <font>
      <b/>
      <sz val="11.0"/>
      <color rgb="FFFFFF00"/>
      <name val="&quot;Proxima Nova&quot;"/>
    </font>
    <font>
      <sz val="11.0"/>
      <color rgb="FFFFFF00"/>
      <name val="&quot;Proxima Nova&quot;"/>
    </font>
    <font>
      <b/>
      <sz val="11.0"/>
      <color rgb="FF222222"/>
      <name val="&quot;Proxima Nova&quot;"/>
    </font>
    <font>
      <b/>
      <sz val="11.0"/>
      <color rgb="FFFF0000"/>
      <name val="Calibri"/>
    </font>
    <font>
      <b/>
      <sz val="11.0"/>
      <name val="Calibri"/>
    </font>
    <font>
      <b/>
      <sz val="11.0"/>
      <color rgb="FF00B448"/>
      <name val="Roboto"/>
    </font>
    <font>
      <sz val="7.0"/>
      <color rgb="FF000000"/>
      <name val="Roboto"/>
    </font>
    <font>
      <sz val="9.0"/>
      <color rgb="FF000000"/>
      <name val="Arial"/>
    </font>
    <font>
      <color rgb="FF000000"/>
    </font>
    <font>
      <sz val="9.0"/>
      <name val="&quot;Proxima Nova&quot;"/>
    </font>
    <font>
      <color rgb="FFFFFFFF"/>
    </font>
    <font>
      <color rgb="FF000000"/>
      <name val="Roboto"/>
    </font>
    <font>
      <b/>
    </font>
    <font>
      <sz val="11.0"/>
      <color rgb="FF0070C0"/>
      <name val="Calibri"/>
    </font>
    <font>
      <b/>
      <sz val="11.0"/>
      <color rgb="FF0070C0"/>
      <name val="Calibri"/>
    </font>
    <font>
      <sz val="11.0"/>
      <color rgb="FF222222"/>
      <name val="Arial"/>
    </font>
    <font>
      <i/>
      <sz val="11.0"/>
      <color rgb="FF999999"/>
      <name val="Calibri"/>
    </font>
    <font>
      <b/>
      <sz val="11.0"/>
      <color rgb="FF333333"/>
      <name val="Calibri"/>
    </font>
    <font>
      <i/>
      <sz val="11.0"/>
      <color rgb="FF666666"/>
      <name val="Calibri"/>
    </font>
    <font>
      <i/>
      <sz val="11.0"/>
      <color rgb="FF7F7F7F"/>
      <name val="Calibri"/>
    </font>
    <font>
      <b/>
      <u/>
      <sz val="11.0"/>
      <color rgb="FF000000"/>
      <name val="Calibri"/>
    </font>
    <font>
      <strike/>
      <sz val="11.0"/>
      <color rgb="FF000000"/>
      <name val="Calibri"/>
    </font>
    <font>
      <b/>
      <u/>
      <sz val="11.0"/>
      <name val="Calibri"/>
    </font>
    <font>
      <i/>
      <sz val="11.0"/>
      <color rgb="FFFF0000"/>
      <name val="Calibri"/>
    </font>
    <font>
      <sz val="11.0"/>
      <color rgb="FF7F7F7F"/>
      <name val="Calibri"/>
    </font>
    <font>
      <sz val="8.0"/>
      <color rgb="FF000000"/>
      <name val="Arial"/>
    </font>
    <font>
      <b/>
      <i/>
      <sz val="11.0"/>
      <name val="Calibri"/>
    </font>
    <font>
      <i/>
      <sz val="11.0"/>
      <name val="Calibri"/>
    </font>
    <font>
      <sz val="11.0"/>
      <color rgb="FF333333"/>
      <name val="Calibri"/>
    </font>
    <font>
      <sz val="8.0"/>
      <color rgb="FF222222"/>
      <name val="Arial"/>
    </font>
    <font>
      <sz val="11.0"/>
      <color rgb="FF000000"/>
      <name val="Trebuchet MS"/>
    </font>
    <font>
      <b/>
      <sz val="11.0"/>
      <color rgb="FF222222"/>
      <name val="Proxima Nova"/>
    </font>
    <font>
      <sz val="11.0"/>
      <color rgb="FF222222"/>
      <name val="Proxima Nova"/>
    </font>
  </fonts>
  <fills count="19">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rgb="FF434343"/>
        <bgColor rgb="FF434343"/>
      </patternFill>
    </fill>
    <fill>
      <patternFill patternType="solid">
        <fgColor rgb="FFFFFF00"/>
        <bgColor rgb="FFFFFF00"/>
      </patternFill>
    </fill>
    <fill>
      <patternFill patternType="solid">
        <fgColor rgb="FF000000"/>
        <bgColor rgb="FF000000"/>
      </patternFill>
    </fill>
    <fill>
      <patternFill patternType="solid">
        <fgColor rgb="FFBDBDBD"/>
        <bgColor rgb="FFBDBDBD"/>
      </patternFill>
    </fill>
    <fill>
      <patternFill patternType="solid">
        <fgColor rgb="FFF3F3F3"/>
        <bgColor rgb="FFF3F3F3"/>
      </patternFill>
    </fill>
    <fill>
      <patternFill patternType="solid">
        <fgColor rgb="FFFF0000"/>
        <bgColor rgb="FFFF0000"/>
      </patternFill>
    </fill>
    <fill>
      <patternFill patternType="solid">
        <fgColor rgb="FFEFEFEF"/>
        <bgColor rgb="FFEFEFEF"/>
      </patternFill>
    </fill>
    <fill>
      <patternFill patternType="solid">
        <fgColor rgb="FFD9EAD3"/>
        <bgColor rgb="FFD9EAD3"/>
      </patternFill>
    </fill>
    <fill>
      <patternFill patternType="solid">
        <fgColor rgb="FFFFFFFE"/>
        <bgColor rgb="FFFFFFFE"/>
      </patternFill>
    </fill>
    <fill>
      <patternFill patternType="solid">
        <fgColor rgb="FFFFF2CC"/>
        <bgColor rgb="FFFFF2CC"/>
      </patternFill>
    </fill>
    <fill>
      <patternFill patternType="solid">
        <fgColor rgb="FFB7B7B7"/>
        <bgColor rgb="FFB7B7B7"/>
      </patternFill>
    </fill>
    <fill>
      <patternFill patternType="solid">
        <fgColor rgb="FFFCE5CD"/>
        <bgColor rgb="FFFCE5CD"/>
      </patternFill>
    </fill>
    <fill>
      <patternFill patternType="solid">
        <fgColor rgb="FFC9DAF8"/>
        <bgColor rgb="FFC9DAF8"/>
      </patternFill>
    </fill>
    <fill>
      <patternFill patternType="solid">
        <fgColor rgb="FF073763"/>
        <bgColor rgb="FF073763"/>
      </patternFill>
    </fill>
    <fill>
      <patternFill patternType="solid">
        <fgColor rgb="FFCFE2F3"/>
        <bgColor rgb="FFCFE2F3"/>
      </patternFill>
    </fill>
  </fills>
  <borders count="84">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right/>
    </border>
    <border>
      <left style="thin">
        <color rgb="FF000000"/>
      </left>
      <top style="hair">
        <color rgb="FF000000"/>
      </top>
    </border>
    <border>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style="hair">
        <color rgb="FF000000"/>
      </left>
      <right style="hair">
        <color rgb="FF000000"/>
      </right>
      <top style="hair">
        <color rgb="FF000000"/>
      </top>
      <bottom style="hair">
        <color rgb="FF000000"/>
      </bottom>
    </border>
    <border>
      <bottom style="hair">
        <color rgb="FF000000"/>
      </bottom>
    </border>
    <border>
      <left style="thin">
        <color rgb="FF000000"/>
      </left>
      <right style="thin">
        <color rgb="FF000000"/>
      </right>
      <top style="thin">
        <color rgb="FF000000"/>
      </top>
      <bottom style="thin">
        <color rgb="FF000000"/>
      </bottom>
    </border>
    <border>
      <left style="hair">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hair">
        <color rgb="FF000000"/>
      </bottom>
    </border>
    <border>
      <left style="thin">
        <color rgb="FF000000"/>
      </left>
      <bottom style="hair">
        <color rgb="FF000000"/>
      </bottom>
    </border>
    <border>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border>
    <border>
      <left style="hair">
        <color rgb="FF000000"/>
      </left>
      <right style="thin">
        <color rgb="FF000000"/>
      </right>
    </border>
    <border>
      <left style="thin">
        <color rgb="FF000000"/>
      </left>
      <right style="thin">
        <color rgb="FF000000"/>
      </right>
      <bottom style="thin">
        <color rgb="FF000000"/>
      </bottom>
    </border>
    <border>
      <left style="thin">
        <color rgb="FF000000"/>
      </left>
      <right style="hair">
        <color rgb="FF000000"/>
      </right>
      <bottom style="thin">
        <color rgb="FF000000"/>
      </bottom>
    </border>
    <border>
      <left style="hair">
        <color rgb="FF000000"/>
      </left>
      <right style="thin">
        <color rgb="FF000000"/>
      </right>
      <bottom style="thin">
        <color rgb="FF000000"/>
      </bottom>
    </border>
    <border>
      <right style="hair">
        <color rgb="FF000000"/>
      </right>
    </border>
    <border>
      <left style="hair">
        <color rgb="FF000000"/>
      </left>
    </border>
    <border>
      <left/>
      <right style="thin">
        <color rgb="FF000000"/>
      </right>
      <top/>
    </border>
    <border>
      <left/>
      <right style="thin">
        <color rgb="FF000000"/>
      </right>
    </border>
    <border>
      <left/>
      <right style="thin">
        <color rgb="FF000000"/>
      </right>
      <bottom style="hair">
        <color rgb="FF000000"/>
      </bottom>
    </border>
    <border>
      <left style="hair">
        <color rgb="FF000000"/>
      </left>
      <right style="thin">
        <color rgb="FF000000"/>
      </right>
      <top style="hair">
        <color rgb="FF000000"/>
      </top>
      <bottom style="hair">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bottom style="thick">
        <color rgb="FF000000"/>
      </bottom>
    </border>
    <border>
      <right style="thick">
        <color rgb="FF000000"/>
      </right>
      <bottom style="thick">
        <color rgb="FF000000"/>
      </bottom>
    </border>
    <border>
      <left/>
      <right/>
      <top/>
    </border>
    <border>
      <left/>
      <right/>
    </border>
    <border>
      <left/>
      <right/>
      <bottom style="thin">
        <color rgb="FF000000"/>
      </bottom>
    </border>
    <border>
      <left/>
      <right/>
      <top/>
      <bottom/>
    </border>
    <border>
      <right style="hair">
        <color rgb="FF000000"/>
      </right>
      <top style="thin">
        <color rgb="FF000000"/>
      </top>
    </border>
    <border>
      <right style="hair">
        <color rgb="FF000000"/>
      </right>
      <bottom style="thin">
        <color rgb="FF000000"/>
      </bottom>
    </border>
    <border>
      <left/>
      <right style="thin">
        <color rgb="FF000000"/>
      </right>
      <bottom/>
    </border>
    <border>
      <left/>
      <right/>
      <bottom/>
    </border>
    <border>
      <right/>
      <bottom style="thin">
        <color rgb="FF000000"/>
      </bottom>
    </border>
  </borders>
  <cellStyleXfs count="1">
    <xf borderId="0" fillId="0" fontId="0" numFmtId="0" applyAlignment="1" applyFont="1"/>
  </cellStyleXfs>
  <cellXfs count="113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Font="1"/>
    <xf borderId="0" fillId="0" fontId="2" numFmtId="0" xfId="0" applyAlignment="1" applyFont="1">
      <alignment horizontal="left" readingOrder="0"/>
    </xf>
    <xf borderId="0" fillId="0" fontId="2" numFmtId="0" xfId="0" applyAlignment="1" applyFont="1">
      <alignment horizontal="center" readingOrder="0"/>
    </xf>
    <xf borderId="0" fillId="0" fontId="1" numFmtId="0" xfId="0" applyAlignment="1" applyFont="1">
      <alignment horizontal="left" readingOrder="0" shrinkToFit="0" vertical="top" wrapText="1"/>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shrinkToFit="0" vertical="center" wrapText="1"/>
    </xf>
    <xf borderId="0" fillId="2" fontId="1" numFmtId="0" xfId="0" applyFont="1"/>
    <xf borderId="0" fillId="2" fontId="1" numFmtId="0" xfId="0" applyAlignment="1" applyFont="1">
      <alignment shrinkToFit="0" vertical="center" wrapText="1"/>
    </xf>
    <xf borderId="0" fillId="0" fontId="3" numFmtId="0" xfId="0" applyFont="1"/>
    <xf borderId="0" fillId="0" fontId="4" numFmtId="0" xfId="0" applyFont="1"/>
    <xf borderId="1" fillId="0" fontId="1" numFmtId="0" xfId="0" applyBorder="1" applyFont="1"/>
    <xf borderId="0" fillId="0" fontId="1" numFmtId="0" xfId="0" applyAlignment="1" applyFont="1">
      <alignment shrinkToFit="0" wrapText="1"/>
    </xf>
    <xf borderId="0" fillId="3" fontId="5" numFmtId="0" xfId="0" applyAlignment="1" applyFill="1" applyFont="1">
      <alignment readingOrder="0"/>
    </xf>
    <xf borderId="0" fillId="3" fontId="1" numFmtId="0" xfId="0" applyFont="1"/>
    <xf borderId="0" fillId="4" fontId="5" numFmtId="0" xfId="0" applyFill="1" applyFont="1"/>
    <xf borderId="0" fillId="4" fontId="6" numFmtId="0" xfId="0" applyFont="1"/>
    <xf borderId="2" fillId="0" fontId="7" numFmtId="0" xfId="0" applyAlignment="1" applyBorder="1" applyFont="1">
      <alignment horizontal="left"/>
    </xf>
    <xf borderId="3" fillId="0" fontId="1" numFmtId="0" xfId="0" applyBorder="1" applyFont="1"/>
    <xf borderId="0" fillId="0" fontId="8" numFmtId="0" xfId="0" applyFont="1"/>
    <xf borderId="0" fillId="0" fontId="8" numFmtId="0" xfId="0" applyAlignment="1" applyFont="1">
      <alignment shrinkToFit="0" wrapText="1"/>
    </xf>
    <xf borderId="0" fillId="0" fontId="8" numFmtId="0" xfId="0" applyAlignment="1" applyFont="1">
      <alignment shrinkToFit="0" vertical="center" wrapText="1"/>
    </xf>
    <xf borderId="2" fillId="4" fontId="5" numFmtId="0" xfId="0" applyAlignment="1" applyBorder="1" applyFont="1">
      <alignment horizontal="center"/>
    </xf>
    <xf borderId="4" fillId="0" fontId="9" numFmtId="0" xfId="0" applyBorder="1" applyFont="1"/>
    <xf borderId="3" fillId="0" fontId="9" numFmtId="0" xfId="0" applyBorder="1" applyFont="1"/>
    <xf borderId="4" fillId="4" fontId="5" numFmtId="0" xfId="0" applyAlignment="1" applyBorder="1" applyFont="1">
      <alignment horizontal="center"/>
    </xf>
    <xf borderId="3" fillId="4" fontId="5" numFmtId="0" xfId="0" applyAlignment="1" applyBorder="1" applyFont="1">
      <alignment horizontal="center"/>
    </xf>
    <xf borderId="5" fillId="0" fontId="10" numFmtId="0" xfId="0" applyAlignment="1" applyBorder="1" applyFont="1">
      <alignment horizontal="center"/>
    </xf>
    <xf borderId="6" fillId="0" fontId="10" numFmtId="0" xfId="0" applyAlignment="1" applyBorder="1" applyFont="1">
      <alignment horizontal="center"/>
    </xf>
    <xf borderId="7" fillId="0" fontId="10" numFmtId="0" xfId="0" applyAlignment="1" applyBorder="1" applyFont="1">
      <alignment horizontal="center"/>
    </xf>
    <xf borderId="8" fillId="0" fontId="8" numFmtId="0" xfId="0" applyBorder="1" applyFont="1"/>
    <xf borderId="6" fillId="0" fontId="10" numFmtId="0" xfId="0" applyBorder="1" applyFont="1"/>
    <xf borderId="6" fillId="0" fontId="8" numFmtId="0" xfId="0" applyBorder="1" applyFont="1"/>
    <xf borderId="6" fillId="0" fontId="8" numFmtId="0" xfId="0" applyAlignment="1" applyBorder="1" applyFont="1">
      <alignment shrinkToFit="0" vertical="center" wrapText="1"/>
    </xf>
    <xf borderId="9" fillId="0" fontId="8" numFmtId="0" xfId="0" applyAlignment="1" applyBorder="1" applyFont="1">
      <alignment shrinkToFit="0" vertical="center" wrapText="1"/>
    </xf>
    <xf borderId="10" fillId="0" fontId="8" numFmtId="0" xfId="0" applyBorder="1" applyFont="1"/>
    <xf borderId="11" fillId="0" fontId="8" numFmtId="0" xfId="0" applyBorder="1" applyFont="1"/>
    <xf borderId="12" fillId="0" fontId="8" numFmtId="0" xfId="0" applyBorder="1" applyFont="1"/>
    <xf borderId="13" fillId="5" fontId="11" numFmtId="0" xfId="0" applyAlignment="1" applyBorder="1" applyFill="1" applyFont="1">
      <alignment horizontal="left" readingOrder="0"/>
    </xf>
    <xf borderId="11" fillId="0" fontId="9" numFmtId="0" xfId="0" applyBorder="1" applyFont="1"/>
    <xf borderId="14" fillId="0" fontId="9" numFmtId="0" xfId="0" applyBorder="1" applyFont="1"/>
    <xf borderId="13" fillId="0" fontId="11" numFmtId="0" xfId="0" applyAlignment="1" applyBorder="1" applyFont="1">
      <alignment horizontal="left" readingOrder="0"/>
    </xf>
    <xf borderId="0" fillId="0" fontId="4" numFmtId="0" xfId="0" applyAlignment="1" applyFont="1">
      <alignment readingOrder="0"/>
    </xf>
    <xf borderId="13" fillId="0" fontId="8" numFmtId="0" xfId="0" applyAlignment="1" applyBorder="1" applyFont="1">
      <alignment horizontal="left"/>
    </xf>
    <xf borderId="13" fillId="5" fontId="11" numFmtId="164" xfId="0" applyAlignment="1" applyBorder="1" applyFont="1" applyNumberFormat="1">
      <alignment horizontal="left" readingOrder="0"/>
    </xf>
    <xf borderId="13" fillId="0" fontId="11" numFmtId="164" xfId="0" applyAlignment="1" applyBorder="1" applyFont="1" applyNumberFormat="1">
      <alignment horizontal="left" readingOrder="0"/>
    </xf>
    <xf borderId="15" fillId="2" fontId="4" numFmtId="0" xfId="0" applyAlignment="1" applyBorder="1" applyFont="1">
      <alignment readingOrder="0" shrinkToFit="0" vertical="bottom" wrapText="0"/>
    </xf>
    <xf borderId="0" fillId="0" fontId="12" numFmtId="0" xfId="0" applyAlignment="1" applyFont="1">
      <alignment vertical="bottom"/>
    </xf>
    <xf quotePrefix="1" borderId="15" fillId="2" fontId="4" numFmtId="0" xfId="0" applyAlignment="1" applyBorder="1" applyFont="1">
      <alignment readingOrder="0" shrinkToFit="0" vertical="bottom" wrapText="0"/>
    </xf>
    <xf borderId="16" fillId="0" fontId="8" numFmtId="0" xfId="0" applyBorder="1" applyFont="1"/>
    <xf borderId="17" fillId="0" fontId="8" numFmtId="0" xfId="0" applyBorder="1" applyFont="1"/>
    <xf borderId="18" fillId="0" fontId="8" numFmtId="0" xfId="0" applyBorder="1" applyFont="1"/>
    <xf borderId="19" fillId="0" fontId="11" numFmtId="0" xfId="0" applyAlignment="1" applyBorder="1" applyFont="1">
      <alignment horizontal="left" readingOrder="0"/>
    </xf>
    <xf borderId="17" fillId="0" fontId="9" numFmtId="0" xfId="0" applyBorder="1" applyFont="1"/>
    <xf borderId="20" fillId="0" fontId="9" numFmtId="0" xfId="0" applyBorder="1" applyFont="1"/>
    <xf borderId="10" fillId="0" fontId="8" numFmtId="0" xfId="0" applyAlignment="1" applyBorder="1" applyFont="1">
      <alignment vertical="bottom"/>
    </xf>
    <xf borderId="12" fillId="0" fontId="9" numFmtId="0" xfId="0" applyBorder="1" applyFont="1"/>
    <xf borderId="13" fillId="5" fontId="8" numFmtId="0" xfId="0" applyAlignment="1" applyBorder="1" applyFont="1">
      <alignment readingOrder="0" shrinkToFit="0" vertical="bottom" wrapText="0"/>
    </xf>
    <xf borderId="13" fillId="0" fontId="8" numFmtId="0" xfId="0" applyAlignment="1" applyBorder="1" applyFont="1">
      <alignment readingOrder="0" shrinkToFit="0" vertical="bottom" wrapText="0"/>
    </xf>
    <xf borderId="0" fillId="0" fontId="13" numFmtId="0" xfId="0" applyAlignment="1" applyFont="1">
      <alignment horizontal="left" readingOrder="0" shrinkToFit="0" wrapText="0"/>
    </xf>
    <xf borderId="21" fillId="0" fontId="8" numFmtId="0" xfId="0" applyAlignment="1" applyBorder="1" applyFont="1">
      <alignment readingOrder="0" vertical="bottom"/>
    </xf>
    <xf borderId="22" fillId="0" fontId="9" numFmtId="0" xfId="0" applyBorder="1" applyFont="1"/>
    <xf borderId="23" fillId="0" fontId="9" numFmtId="0" xfId="0" applyBorder="1" applyFont="1"/>
    <xf borderId="24" fillId="0" fontId="8" numFmtId="0" xfId="0" applyAlignment="1" applyBorder="1" applyFont="1">
      <alignment readingOrder="0" shrinkToFit="0" vertical="bottom" wrapText="0"/>
    </xf>
    <xf borderId="25" fillId="0" fontId="9" numFmtId="0" xfId="0" applyBorder="1" applyFont="1"/>
    <xf borderId="0" fillId="2" fontId="14" numFmtId="0" xfId="0" applyAlignment="1" applyFont="1">
      <alignment readingOrder="0" shrinkToFit="0" vertical="center" wrapText="0"/>
    </xf>
    <xf borderId="0" fillId="2" fontId="9" numFmtId="0" xfId="0" applyFont="1"/>
    <xf borderId="0" fillId="0" fontId="1" numFmtId="0" xfId="0" applyAlignment="1" applyFont="1">
      <alignment readingOrder="0" shrinkToFit="0" vertical="center" wrapText="1"/>
    </xf>
    <xf borderId="0" fillId="0" fontId="15" numFmtId="0" xfId="0" applyAlignment="1" applyFont="1">
      <alignment readingOrder="0"/>
    </xf>
    <xf borderId="0" fillId="0" fontId="15" numFmtId="0" xfId="0" applyAlignment="1" applyFont="1">
      <alignment shrinkToFit="0" vertical="center" wrapText="1"/>
    </xf>
    <xf borderId="0" fillId="0" fontId="15" numFmtId="0" xfId="0" applyFont="1"/>
    <xf borderId="0" fillId="0" fontId="16" numFmtId="0" xfId="0" applyFont="1"/>
    <xf borderId="0" fillId="0" fontId="17" numFmtId="0" xfId="0" applyFont="1"/>
    <xf borderId="0" fillId="0" fontId="17" numFmtId="0" xfId="0" applyAlignment="1" applyFont="1">
      <alignment shrinkToFit="0" vertical="center" wrapText="1"/>
    </xf>
    <xf borderId="0" fillId="3" fontId="18" numFmtId="0" xfId="0" applyAlignment="1" applyFont="1">
      <alignment readingOrder="0"/>
    </xf>
    <xf borderId="0" fillId="3" fontId="3" numFmtId="0" xfId="0" applyFont="1"/>
    <xf borderId="0" fillId="3" fontId="1" numFmtId="0" xfId="0" applyAlignment="1" applyFont="1">
      <alignment shrinkToFit="0" wrapText="1"/>
    </xf>
    <xf borderId="0" fillId="3" fontId="1" numFmtId="0" xfId="0" applyAlignment="1" applyFont="1">
      <alignment shrinkToFit="0" vertical="center" wrapText="1"/>
    </xf>
    <xf borderId="2" fillId="0" fontId="7" numFmtId="0" xfId="0" applyAlignment="1" applyBorder="1" applyFont="1">
      <alignment horizontal="left" readingOrder="0"/>
    </xf>
    <xf borderId="0" fillId="3" fontId="5" numFmtId="0" xfId="0" applyAlignment="1" applyFont="1">
      <alignment horizontal="center"/>
    </xf>
    <xf borderId="0" fillId="3" fontId="5" numFmtId="0" xfId="0" applyFont="1"/>
    <xf borderId="0" fillId="3" fontId="6" numFmtId="0" xfId="0" applyFont="1"/>
    <xf borderId="0" fillId="0" fontId="2" numFmtId="0" xfId="0" applyAlignment="1" applyFont="1">
      <alignment horizontal="center"/>
    </xf>
    <xf borderId="0" fillId="4" fontId="5" numFmtId="0" xfId="0" applyAlignment="1" applyFont="1">
      <alignment vertical="center"/>
    </xf>
    <xf borderId="0" fillId="2" fontId="19" numFmtId="0" xfId="0" applyFont="1"/>
    <xf borderId="26" fillId="0" fontId="1" numFmtId="0" xfId="0" applyAlignment="1" applyBorder="1" applyFont="1">
      <alignment horizontal="center" readingOrder="0"/>
    </xf>
    <xf borderId="4" fillId="0" fontId="1" numFmtId="0" xfId="0" applyBorder="1" applyFont="1"/>
    <xf borderId="27" fillId="0" fontId="1" numFmtId="0" xfId="0" applyAlignment="1" applyBorder="1" applyFont="1">
      <alignment horizontal="center"/>
    </xf>
    <xf borderId="0" fillId="0" fontId="8" numFmtId="0" xfId="0" applyAlignment="1" applyFont="1">
      <alignment horizontal="center" vertical="center"/>
    </xf>
    <xf borderId="0" fillId="0" fontId="10" numFmtId="0" xfId="0" applyAlignment="1" applyFont="1">
      <alignment horizontal="center" readingOrder="0"/>
    </xf>
    <xf borderId="0" fillId="0" fontId="10" numFmtId="0" xfId="0" applyFont="1"/>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0" fontId="20" numFmtId="0" xfId="0" applyFont="1"/>
    <xf borderId="0" fillId="0" fontId="4" numFmtId="0" xfId="0" applyAlignment="1" applyFont="1">
      <alignment horizontal="center"/>
    </xf>
    <xf borderId="0" fillId="0" fontId="3" numFmtId="0" xfId="0" applyAlignment="1" applyFont="1">
      <alignment readingOrder="0" shrinkToFit="0" wrapText="0"/>
    </xf>
    <xf borderId="0" fillId="0" fontId="10" numFmtId="0" xfId="0" applyAlignment="1" applyFont="1">
      <alignment horizontal="left" readingOrder="0" vertical="top"/>
    </xf>
    <xf borderId="0" fillId="0" fontId="10" numFmtId="0" xfId="0" applyAlignment="1" applyFont="1">
      <alignment horizontal="left" vertical="top"/>
    </xf>
    <xf borderId="28" fillId="0" fontId="8" numFmtId="0" xfId="0" applyAlignment="1" applyBorder="1" applyFont="1">
      <alignment readingOrder="0" vertical="center"/>
    </xf>
    <xf borderId="2" fillId="0" fontId="8" numFmtId="0" xfId="0" applyAlignment="1" applyBorder="1" applyFont="1">
      <alignment readingOrder="0" vertical="center"/>
    </xf>
    <xf borderId="2" fillId="0" fontId="1" numFmtId="0" xfId="0" applyAlignment="1" applyBorder="1" applyFont="1">
      <alignment readingOrder="0"/>
    </xf>
    <xf borderId="2" fillId="0" fontId="1" numFmtId="0" xfId="0" applyBorder="1" applyFont="1"/>
    <xf borderId="27" fillId="0" fontId="8" numFmtId="0" xfId="0" applyAlignment="1" applyBorder="1" applyFont="1">
      <alignment horizontal="center" vertical="center"/>
    </xf>
    <xf borderId="27" fillId="0" fontId="1" numFmtId="0" xfId="0" applyBorder="1" applyFont="1"/>
    <xf borderId="0" fillId="4" fontId="5" numFmtId="0" xfId="0" applyAlignment="1" applyFont="1">
      <alignment readingOrder="0"/>
    </xf>
    <xf borderId="28" fillId="0" fontId="9" numFmtId="0" xfId="0" applyAlignment="1" applyBorder="1" applyFont="1">
      <alignment readingOrder="0"/>
    </xf>
    <xf borderId="2" fillId="0" fontId="9" numFmtId="0" xfId="0" applyAlignment="1" applyBorder="1" applyFont="1">
      <alignment readingOrder="0"/>
    </xf>
    <xf borderId="28" fillId="0" fontId="8" numFmtId="0" xfId="0" applyAlignment="1" applyBorder="1" applyFont="1">
      <alignment readingOrder="0"/>
    </xf>
    <xf borderId="28" fillId="0" fontId="8" numFmtId="0" xfId="0" applyBorder="1" applyFont="1"/>
    <xf borderId="28" fillId="0" fontId="1" numFmtId="0" xfId="0" applyBorder="1" applyFont="1"/>
    <xf borderId="28" fillId="0" fontId="1" numFmtId="0" xfId="0" applyAlignment="1" applyBorder="1" applyFont="1">
      <alignment readingOrder="0"/>
    </xf>
    <xf borderId="2" fillId="0" fontId="1" numFmtId="0" xfId="0" applyAlignment="1" applyBorder="1" applyFont="1">
      <alignment horizontal="left"/>
    </xf>
    <xf borderId="4" fillId="0" fontId="8" numFmtId="0" xfId="0" applyBorder="1" applyFont="1"/>
    <xf borderId="0" fillId="0" fontId="21" numFmtId="0" xfId="0" applyFont="1"/>
    <xf borderId="0" fillId="0" fontId="8" numFmtId="0" xfId="0" applyAlignment="1" applyFont="1">
      <alignment readingOrder="0"/>
    </xf>
    <xf borderId="29" fillId="0" fontId="8" numFmtId="0" xfId="0" applyBorder="1" applyFont="1"/>
    <xf borderId="0" fillId="0" fontId="3" numFmtId="0" xfId="0" applyAlignment="1" applyFont="1">
      <alignment horizontal="right" readingOrder="0"/>
    </xf>
    <xf borderId="0" fillId="0" fontId="22" numFmtId="0" xfId="0" applyAlignment="1" applyFont="1">
      <alignment horizontal="left"/>
    </xf>
    <xf borderId="4" fillId="0" fontId="8" numFmtId="0" xfId="0" applyAlignment="1" applyBorder="1" applyFont="1">
      <alignment readingOrder="0" vertical="center"/>
    </xf>
    <xf borderId="2" fillId="0" fontId="1" numFmtId="0" xfId="0" applyAlignment="1" applyBorder="1" applyFont="1">
      <alignment horizontal="left" readingOrder="0"/>
    </xf>
    <xf borderId="0" fillId="0" fontId="8" numFmtId="0" xfId="0" applyAlignment="1" applyFont="1">
      <alignment readingOrder="0" vertical="center"/>
    </xf>
    <xf borderId="0" fillId="0" fontId="8" numFmtId="0" xfId="0" applyAlignment="1" applyFont="1">
      <alignment vertical="center"/>
    </xf>
    <xf borderId="30" fillId="0" fontId="11" numFmtId="0" xfId="0" applyAlignment="1" applyBorder="1" applyFont="1">
      <alignment horizontal="left" readingOrder="0" shrinkToFit="0" vertical="top" wrapText="1"/>
    </xf>
    <xf borderId="31" fillId="0" fontId="9" numFmtId="0" xfId="0" applyBorder="1" applyFont="1"/>
    <xf borderId="32" fillId="0" fontId="9" numFmtId="0" xfId="0" applyBorder="1" applyFont="1"/>
    <xf borderId="33" fillId="0" fontId="9" numFmtId="0" xfId="0" applyBorder="1" applyFont="1"/>
    <xf borderId="1" fillId="0" fontId="9" numFmtId="0" xfId="0" applyBorder="1" applyFont="1"/>
    <xf borderId="34" fillId="0" fontId="9" numFmtId="0" xfId="0" applyBorder="1" applyFont="1"/>
    <xf borderId="0" fillId="0" fontId="10" numFmtId="0" xfId="0" applyAlignment="1" applyFont="1">
      <alignment readingOrder="0"/>
    </xf>
    <xf borderId="13" fillId="0" fontId="1" numFmtId="0" xfId="0" applyAlignment="1" applyBorder="1" applyFont="1">
      <alignment horizontal="center"/>
    </xf>
    <xf borderId="0" fillId="0" fontId="2" numFmtId="0" xfId="0" applyAlignment="1" applyFont="1">
      <alignment readingOrder="0"/>
    </xf>
    <xf borderId="26" fillId="0" fontId="1" numFmtId="0" xfId="0" applyAlignment="1" applyBorder="1" applyFont="1">
      <alignment horizontal="center"/>
    </xf>
    <xf borderId="4" fillId="5" fontId="11" numFmtId="0" xfId="0" applyAlignment="1" applyBorder="1" applyFont="1">
      <alignment readingOrder="0"/>
    </xf>
    <xf borderId="4" fillId="0" fontId="11" numFmtId="0" xfId="0" applyBorder="1" applyFont="1"/>
    <xf borderId="0" fillId="0" fontId="23" numFmtId="0" xfId="0" applyAlignment="1" applyFont="1">
      <alignment horizontal="center"/>
    </xf>
    <xf borderId="0" fillId="2" fontId="8" numFmtId="0" xfId="0" applyAlignment="1" applyFont="1">
      <alignment readingOrder="0"/>
    </xf>
    <xf borderId="0" fillId="0" fontId="1" numFmtId="0" xfId="0" applyAlignment="1" applyFont="1">
      <alignment horizontal="center" readingOrder="0"/>
    </xf>
    <xf borderId="13" fillId="0" fontId="1" numFmtId="0" xfId="0" applyAlignment="1" applyBorder="1" applyFont="1">
      <alignment horizontal="center" readingOrder="0"/>
    </xf>
    <xf borderId="19" fillId="0" fontId="1" numFmtId="0" xfId="0" applyAlignment="1" applyBorder="1" applyFont="1">
      <alignment horizontal="center" readingOrder="0"/>
    </xf>
    <xf borderId="18" fillId="0" fontId="9" numFmtId="0" xfId="0" applyBorder="1" applyFont="1"/>
    <xf borderId="0" fillId="2" fontId="8" numFmtId="0" xfId="0" applyFont="1"/>
    <xf borderId="2" fillId="5" fontId="9" numFmtId="3" xfId="0" applyAlignment="1" applyBorder="1" applyFont="1" applyNumberFormat="1">
      <alignment horizontal="center" readingOrder="0"/>
    </xf>
    <xf borderId="27" fillId="0" fontId="23" numFmtId="0" xfId="0" applyAlignment="1" applyBorder="1" applyFont="1">
      <alignment horizontal="center"/>
    </xf>
    <xf borderId="27" fillId="0" fontId="8" numFmtId="0" xfId="0" applyAlignment="1" applyBorder="1" applyFont="1">
      <alignment horizontal="left"/>
    </xf>
    <xf borderId="0" fillId="0" fontId="10" numFmtId="0" xfId="0" applyAlignment="1" applyFont="1">
      <alignment vertical="center"/>
    </xf>
    <xf borderId="2" fillId="0" fontId="10" numFmtId="0" xfId="0" applyAlignment="1" applyBorder="1" applyFont="1">
      <alignment horizontal="center" vertical="center"/>
    </xf>
    <xf borderId="28" fillId="0" fontId="10" numFmtId="0" xfId="0" applyAlignment="1" applyBorder="1" applyFont="1">
      <alignment horizontal="center" vertical="center"/>
    </xf>
    <xf borderId="30" fillId="0" fontId="10" numFmtId="0" xfId="0" applyAlignment="1" applyBorder="1" applyFont="1">
      <alignment horizontal="center"/>
    </xf>
    <xf borderId="2" fillId="0" fontId="10" numFmtId="0" xfId="0" applyAlignment="1" applyBorder="1" applyFont="1">
      <alignment horizontal="center"/>
    </xf>
    <xf borderId="35" fillId="0" fontId="10" numFmtId="0" xfId="0" applyAlignment="1" applyBorder="1" applyFont="1">
      <alignment horizontal="center" vertical="center"/>
    </xf>
    <xf borderId="30" fillId="0" fontId="8" numFmtId="0" xfId="0" applyBorder="1" applyFont="1"/>
    <xf borderId="36" fillId="0" fontId="10" numFmtId="0" xfId="0" applyAlignment="1" applyBorder="1" applyFont="1">
      <alignment horizontal="center" vertical="center"/>
    </xf>
    <xf borderId="37" fillId="0" fontId="9" numFmtId="0" xfId="0" applyBorder="1" applyFont="1"/>
    <xf borderId="36" fillId="0" fontId="8" numFmtId="0" xfId="0" applyBorder="1" applyFont="1"/>
    <xf borderId="38" fillId="0" fontId="20" numFmtId="0" xfId="0" applyAlignment="1" applyBorder="1" applyFont="1">
      <alignment horizontal="center"/>
    </xf>
    <xf borderId="38" fillId="0" fontId="20" numFmtId="165" xfId="0" applyAlignment="1" applyBorder="1" applyFont="1" applyNumberFormat="1">
      <alignment horizontal="center" vertical="center"/>
    </xf>
    <xf borderId="36" fillId="0" fontId="20" numFmtId="0" xfId="0" applyBorder="1" applyFont="1"/>
    <xf borderId="36" fillId="0" fontId="20" numFmtId="0" xfId="0" applyAlignment="1" applyBorder="1" applyFont="1">
      <alignment horizontal="left" vertical="top"/>
    </xf>
    <xf borderId="36" fillId="0" fontId="11" numFmtId="0" xfId="0" applyBorder="1" applyFont="1"/>
    <xf borderId="39" fillId="0" fontId="24" numFmtId="0" xfId="0" applyAlignment="1" applyBorder="1" applyFont="1">
      <alignment horizontal="center"/>
    </xf>
    <xf borderId="39" fillId="0" fontId="25" numFmtId="165" xfId="0" applyAlignment="1" applyBorder="1" applyFont="1" applyNumberFormat="1">
      <alignment horizontal="center" vertical="center"/>
    </xf>
    <xf borderId="40" fillId="0" fontId="8" numFmtId="0" xfId="0" applyBorder="1" applyFont="1"/>
    <xf borderId="41" fillId="0" fontId="9" numFmtId="0" xfId="0" applyBorder="1" applyFont="1"/>
    <xf borderId="40" fillId="0" fontId="25" numFmtId="0" xfId="0" applyAlignment="1" applyBorder="1" applyFont="1">
      <alignment horizontal="left" vertical="top"/>
    </xf>
    <xf borderId="27" fillId="0" fontId="9" numFmtId="0" xfId="0" applyBorder="1" applyFont="1"/>
    <xf borderId="42" fillId="0" fontId="1" numFmtId="0" xfId="0" applyAlignment="1" applyBorder="1" applyFont="1">
      <alignment horizontal="center" readingOrder="0"/>
    </xf>
    <xf borderId="26" fillId="0" fontId="1" numFmtId="164" xfId="0" applyAlignment="1" applyBorder="1" applyFont="1" applyNumberFormat="1">
      <alignment horizontal="center" readingOrder="0" vertical="bottom"/>
    </xf>
    <xf borderId="13" fillId="0" fontId="1" numFmtId="0" xfId="0" applyAlignment="1" applyBorder="1" applyFont="1">
      <alignment readingOrder="0"/>
    </xf>
    <xf borderId="13" fillId="0" fontId="1" numFmtId="0" xfId="0" applyAlignment="1" applyBorder="1" applyFont="1">
      <alignment horizontal="left" readingOrder="0" vertical="bottom"/>
    </xf>
    <xf borderId="2" fillId="0" fontId="26" numFmtId="0" xfId="0" applyAlignment="1" applyBorder="1" applyFont="1">
      <alignment vertical="bottom"/>
    </xf>
    <xf borderId="2" fillId="0" fontId="26" numFmtId="0" xfId="0" applyAlignment="1" applyBorder="1" applyFont="1">
      <alignment readingOrder="0" shrinkToFit="0" vertical="bottom" wrapText="1"/>
    </xf>
    <xf borderId="42" fillId="0" fontId="1" numFmtId="0" xfId="0" applyAlignment="1" applyBorder="1" applyFont="1">
      <alignment horizontal="center"/>
    </xf>
    <xf borderId="26" fillId="0" fontId="1" numFmtId="164" xfId="0" applyAlignment="1" applyBorder="1" applyFont="1" applyNumberFormat="1">
      <alignment horizontal="center" readingOrder="0" vertical="center"/>
    </xf>
    <xf borderId="13" fillId="0" fontId="1" numFmtId="0" xfId="0" applyAlignment="1" applyBorder="1" applyFont="1">
      <alignment horizontal="left" vertical="center"/>
    </xf>
    <xf borderId="43" fillId="0" fontId="8" numFmtId="0" xfId="0" applyAlignment="1" applyBorder="1" applyFont="1">
      <alignment horizontal="left"/>
    </xf>
    <xf borderId="13" fillId="0" fontId="1" numFmtId="0" xfId="0" applyBorder="1" applyFont="1"/>
    <xf borderId="0" fillId="0" fontId="10" numFmtId="0" xfId="0" applyAlignment="1" applyFont="1">
      <alignment horizontal="left" shrinkToFit="0" wrapText="1"/>
    </xf>
    <xf borderId="37" fillId="0" fontId="4" numFmtId="0" xfId="0" applyBorder="1" applyFont="1"/>
    <xf borderId="12" fillId="0" fontId="1" numFmtId="0" xfId="0" applyAlignment="1" applyBorder="1" applyFont="1">
      <alignment horizontal="center"/>
    </xf>
    <xf borderId="44" fillId="0" fontId="1" numFmtId="0" xfId="0" applyAlignment="1" applyBorder="1" applyFont="1">
      <alignment horizontal="center"/>
    </xf>
    <xf borderId="45" fillId="0" fontId="1" numFmtId="164" xfId="0" applyAlignment="1" applyBorder="1" applyFont="1" applyNumberFormat="1">
      <alignment horizontal="center" readingOrder="0" vertical="center"/>
    </xf>
    <xf borderId="24" fillId="0" fontId="1" numFmtId="0" xfId="0" applyAlignment="1" applyBorder="1" applyFont="1">
      <alignment horizontal="center"/>
    </xf>
    <xf borderId="24" fillId="0" fontId="1" numFmtId="0" xfId="0" applyBorder="1" applyFont="1"/>
    <xf borderId="24" fillId="0" fontId="1" numFmtId="0" xfId="0" applyAlignment="1" applyBorder="1" applyFont="1">
      <alignment horizontal="left" vertical="center"/>
    </xf>
    <xf borderId="24" fillId="0" fontId="8" numFmtId="0" xfId="0" applyAlignment="1" applyBorder="1" applyFont="1">
      <alignment horizontal="left"/>
    </xf>
    <xf borderId="0" fillId="0" fontId="8" numFmtId="0" xfId="0" applyAlignment="1" applyFont="1">
      <alignment horizontal="left"/>
    </xf>
    <xf borderId="0" fillId="0" fontId="27" numFmtId="0" xfId="0" applyFont="1"/>
    <xf borderId="0" fillId="0" fontId="1" numFmtId="0" xfId="0" applyAlignment="1" applyFont="1">
      <alignment vertical="bottom"/>
    </xf>
    <xf borderId="0" fillId="0" fontId="28" numFmtId="0" xfId="0" applyAlignment="1" applyFont="1">
      <alignment shrinkToFit="0" vertical="bottom" wrapText="0"/>
    </xf>
    <xf borderId="15" fillId="0" fontId="28" numFmtId="0" xfId="0" applyAlignment="1" applyBorder="1" applyFont="1">
      <alignment shrinkToFit="0" vertical="bottom" wrapText="0"/>
    </xf>
    <xf borderId="15" fillId="0" fontId="12" numFmtId="0" xfId="0" applyAlignment="1" applyBorder="1" applyFont="1">
      <alignment vertical="bottom"/>
    </xf>
    <xf borderId="0" fillId="0" fontId="8" numFmtId="0" xfId="0" applyAlignment="1" applyFont="1">
      <alignment vertical="bottom"/>
    </xf>
    <xf borderId="15" fillId="0" fontId="28" numFmtId="0" xfId="0" applyAlignment="1" applyBorder="1" applyFont="1">
      <alignment shrinkToFit="0" vertical="bottom" wrapText="0"/>
    </xf>
    <xf borderId="1" fillId="0" fontId="17" numFmtId="0" xfId="0" applyBorder="1" applyFont="1"/>
    <xf borderId="0" fillId="0" fontId="8" numFmtId="0" xfId="0" applyAlignment="1" applyFont="1">
      <alignment horizontal="center"/>
    </xf>
    <xf borderId="0" fillId="2" fontId="2" numFmtId="0" xfId="0" applyFont="1"/>
    <xf borderId="0" fillId="0" fontId="8" numFmtId="0" xfId="0" applyAlignment="1" applyFont="1">
      <alignment horizontal="center" shrinkToFit="0" textRotation="90" wrapText="1"/>
    </xf>
    <xf borderId="35" fillId="0" fontId="10" numFmtId="0" xfId="0" applyAlignment="1" applyBorder="1" applyFont="1">
      <alignment horizontal="center" shrinkToFit="0" textRotation="90" wrapText="1"/>
    </xf>
    <xf borderId="35" fillId="0" fontId="2" numFmtId="0" xfId="0" applyAlignment="1" applyBorder="1" applyFont="1">
      <alignment horizontal="center" shrinkToFit="0" textRotation="90" wrapText="1"/>
    </xf>
    <xf borderId="30" fillId="0" fontId="10" numFmtId="0" xfId="0" applyAlignment="1" applyBorder="1" applyFont="1">
      <alignment horizontal="center" shrinkToFit="0" textRotation="90" wrapText="1"/>
    </xf>
    <xf borderId="30" fillId="0" fontId="10" numFmtId="0" xfId="0" applyAlignment="1" applyBorder="1" applyFont="1">
      <alignment horizontal="center" readingOrder="0" vertical="center"/>
    </xf>
    <xf borderId="31" fillId="0" fontId="2" numFmtId="0" xfId="0" applyAlignment="1" applyBorder="1" applyFont="1">
      <alignment horizontal="center" readingOrder="0" textRotation="90"/>
    </xf>
    <xf borderId="31" fillId="0" fontId="10" numFmtId="0" xfId="0" applyAlignment="1" applyBorder="1" applyFont="1">
      <alignment horizontal="center" shrinkToFit="0" textRotation="90" wrapText="1"/>
    </xf>
    <xf borderId="31" fillId="0" fontId="10" numFmtId="0" xfId="0" applyAlignment="1" applyBorder="1" applyFont="1">
      <alignment horizontal="center"/>
    </xf>
    <xf borderId="32" fillId="0" fontId="10" numFmtId="0" xfId="0" applyAlignment="1" applyBorder="1" applyFont="1">
      <alignment horizontal="center" shrinkToFit="0" wrapText="1"/>
    </xf>
    <xf borderId="0" fillId="0" fontId="10" numFmtId="0" xfId="0" applyAlignment="1" applyFont="1">
      <alignment horizontal="center" shrinkToFit="0" textRotation="90" wrapText="1"/>
    </xf>
    <xf borderId="38" fillId="0" fontId="10" numFmtId="0" xfId="0" applyAlignment="1" applyBorder="1" applyFont="1">
      <alignment horizontal="center" shrinkToFit="0" textRotation="90" wrapText="1"/>
    </xf>
    <xf borderId="36" fillId="0" fontId="1" numFmtId="0" xfId="0" applyAlignment="1" applyBorder="1" applyFont="1">
      <alignment horizontal="center" readingOrder="0" shrinkToFit="0" vertical="top" wrapText="1"/>
    </xf>
    <xf borderId="37" fillId="0" fontId="20" numFmtId="0" xfId="0" applyAlignment="1" applyBorder="1" applyFont="1">
      <alignment vertical="center"/>
    </xf>
    <xf borderId="36" fillId="0" fontId="10" numFmtId="0" xfId="0" applyAlignment="1" applyBorder="1" applyFont="1">
      <alignment horizontal="center" shrinkToFit="0" textRotation="90" wrapText="1"/>
    </xf>
    <xf borderId="46" fillId="0" fontId="10" numFmtId="0" xfId="0" applyAlignment="1" applyBorder="1" applyFont="1">
      <alignment horizontal="center" readingOrder="0" shrinkToFit="0" vertical="center" wrapText="1"/>
    </xf>
    <xf borderId="0" fillId="2" fontId="10" numFmtId="0" xfId="0" applyAlignment="1" applyFont="1">
      <alignment horizontal="center" readingOrder="0" shrinkToFit="0" vertical="center" wrapText="0"/>
    </xf>
    <xf borderId="0" fillId="0" fontId="10" numFmtId="0" xfId="0" applyAlignment="1" applyFont="1">
      <alignment horizontal="center" shrinkToFit="0" wrapText="1"/>
    </xf>
    <xf borderId="37" fillId="0" fontId="10" numFmtId="0" xfId="0" applyAlignment="1" applyBorder="1" applyFont="1">
      <alignment horizontal="center" shrinkToFit="0" wrapText="1"/>
    </xf>
    <xf borderId="36" fillId="0" fontId="9" numFmtId="0" xfId="0" applyBorder="1" applyFont="1"/>
    <xf borderId="37" fillId="0" fontId="10" numFmtId="0" xfId="0" applyAlignment="1" applyBorder="1" applyFont="1">
      <alignment horizontal="center" shrinkToFit="0" textRotation="90" wrapText="1"/>
    </xf>
    <xf borderId="46" fillId="0" fontId="9" numFmtId="0" xfId="0" applyBorder="1" applyFont="1"/>
    <xf borderId="0" fillId="2" fontId="10" numFmtId="0" xfId="0" applyAlignment="1" applyFont="1">
      <alignment horizontal="center" readingOrder="0" shrinkToFit="0" vertical="center" wrapText="1"/>
    </xf>
    <xf borderId="47" fillId="2" fontId="10" numFmtId="0" xfId="0" applyAlignment="1" applyBorder="1" applyFont="1">
      <alignment horizontal="center" readingOrder="0" shrinkToFit="0" vertical="center" wrapText="0"/>
    </xf>
    <xf borderId="48" fillId="0" fontId="10" numFmtId="0" xfId="0" applyAlignment="1" applyBorder="1" applyFont="1">
      <alignment horizontal="center" shrinkToFit="0" textRotation="90" wrapText="1"/>
    </xf>
    <xf borderId="33" fillId="0" fontId="10" numFmtId="0" xfId="0" applyAlignment="1" applyBorder="1" applyFont="1">
      <alignment horizontal="center" shrinkToFit="0" textRotation="90" wrapText="1"/>
    </xf>
    <xf borderId="49" fillId="0" fontId="9" numFmtId="0" xfId="0" applyBorder="1" applyFont="1"/>
    <xf borderId="1" fillId="2" fontId="10" numFmtId="0" xfId="0" applyAlignment="1" applyBorder="1" applyFont="1">
      <alignment horizontal="center" readingOrder="0" shrinkToFit="0" vertical="center" wrapText="1"/>
    </xf>
    <xf borderId="50" fillId="2" fontId="10" numFmtId="0" xfId="0" applyAlignment="1" applyBorder="1" applyFont="1">
      <alignment horizontal="center" readingOrder="0" shrinkToFit="0" vertical="center" wrapText="0"/>
    </xf>
    <xf borderId="1" fillId="0" fontId="10" numFmtId="0" xfId="0" applyAlignment="1" applyBorder="1" applyFont="1">
      <alignment horizontal="center" shrinkToFit="0" textRotation="90" wrapText="1"/>
    </xf>
    <xf borderId="34" fillId="0" fontId="10" numFmtId="0" xfId="0" applyAlignment="1" applyBorder="1" applyFont="1">
      <alignment horizontal="center" shrinkToFit="0" textRotation="90" wrapText="1"/>
    </xf>
    <xf borderId="32" fillId="0" fontId="10" numFmtId="0" xfId="0" applyAlignment="1" applyBorder="1" applyFont="1">
      <alignment horizontal="center" shrinkToFit="0" textRotation="90" wrapText="1"/>
    </xf>
    <xf borderId="51" fillId="0" fontId="8" numFmtId="0" xfId="0" applyBorder="1" applyFont="1"/>
    <xf borderId="52" fillId="2" fontId="8" numFmtId="0" xfId="0" applyBorder="1" applyFont="1"/>
    <xf borderId="36" fillId="0" fontId="20" numFmtId="0" xfId="0" applyAlignment="1" applyBorder="1" applyFont="1">
      <alignment horizontal="center" vertical="center"/>
    </xf>
    <xf borderId="38" fillId="0" fontId="20" numFmtId="0" xfId="0" applyAlignment="1" applyBorder="1" applyFont="1">
      <alignment horizontal="center" vertical="center"/>
    </xf>
    <xf borderId="51" fillId="0" fontId="29" numFmtId="0" xfId="0" applyAlignment="1" applyBorder="1" applyFont="1">
      <alignment horizontal="center" readingOrder="0"/>
    </xf>
    <xf borderId="0" fillId="2" fontId="29" numFmtId="0" xfId="0" applyAlignment="1" applyFont="1">
      <alignment horizontal="center" readingOrder="0"/>
    </xf>
    <xf borderId="52" fillId="2" fontId="29" numFmtId="0" xfId="0" applyAlignment="1" applyBorder="1" applyFont="1">
      <alignment horizontal="center" readingOrder="0"/>
    </xf>
    <xf borderId="0" fillId="0" fontId="20" numFmtId="0" xfId="0" applyAlignment="1" applyFont="1">
      <alignment horizontal="center" vertical="center"/>
    </xf>
    <xf borderId="53" fillId="2" fontId="20" numFmtId="0" xfId="0" applyAlignment="1" applyBorder="1" applyFont="1">
      <alignment horizontal="center" shrinkToFit="0" vertical="top" wrapText="1"/>
    </xf>
    <xf borderId="0" fillId="0" fontId="20" numFmtId="0" xfId="0" applyAlignment="1" applyFont="1">
      <alignment horizontal="center" shrinkToFit="0" vertical="top" wrapText="1"/>
    </xf>
    <xf borderId="0" fillId="0" fontId="1" numFmtId="0" xfId="0" applyAlignment="1" applyFont="1">
      <alignment horizontal="center" vertical="center"/>
    </xf>
    <xf borderId="36" fillId="0" fontId="20" numFmtId="0" xfId="0" applyAlignment="1" applyBorder="1" applyFont="1">
      <alignment vertical="center"/>
    </xf>
    <xf borderId="38" fillId="0" fontId="20" numFmtId="0" xfId="0" applyAlignment="1" applyBorder="1" applyFont="1">
      <alignment vertical="center"/>
    </xf>
    <xf borderId="0" fillId="0" fontId="20" numFmtId="0" xfId="0" applyAlignment="1" applyFont="1">
      <alignment vertical="center"/>
    </xf>
    <xf borderId="54" fillId="0" fontId="9" numFmtId="0" xfId="0" applyBorder="1" applyFont="1"/>
    <xf borderId="36" fillId="0" fontId="8" numFmtId="0" xfId="0" applyAlignment="1" applyBorder="1" applyFont="1">
      <alignment vertical="center"/>
    </xf>
    <xf borderId="40" fillId="0" fontId="20" numFmtId="0" xfId="0" applyAlignment="1" applyBorder="1" applyFont="1">
      <alignment vertical="center"/>
    </xf>
    <xf borderId="39" fillId="0" fontId="20" numFmtId="0" xfId="0" applyAlignment="1" applyBorder="1" applyFont="1">
      <alignment vertical="center"/>
    </xf>
    <xf borderId="41" fillId="0" fontId="20" numFmtId="0" xfId="0" applyAlignment="1" applyBorder="1" applyFont="1">
      <alignment vertical="center"/>
    </xf>
    <xf borderId="27" fillId="0" fontId="20" numFmtId="0" xfId="0" applyAlignment="1" applyBorder="1" applyFont="1">
      <alignment vertical="center"/>
    </xf>
    <xf borderId="40" fillId="0" fontId="8" numFmtId="0" xfId="0" applyAlignment="1" applyBorder="1" applyFont="1">
      <alignment vertical="center"/>
    </xf>
    <xf borderId="27" fillId="0" fontId="8" numFmtId="0" xfId="0" applyAlignment="1" applyBorder="1" applyFont="1">
      <alignment vertical="center"/>
    </xf>
    <xf borderId="55" fillId="0" fontId="9" numFmtId="0" xfId="0" applyBorder="1" applyFont="1"/>
    <xf borderId="0" fillId="0" fontId="20" numFmtId="0" xfId="0" applyAlignment="1" applyFont="1">
      <alignment horizontal="center" vertical="top"/>
    </xf>
    <xf borderId="10" fillId="0" fontId="1" numFmtId="0" xfId="0" applyAlignment="1" applyBorder="1" applyFont="1">
      <alignment horizontal="center"/>
    </xf>
    <xf borderId="39" fillId="0" fontId="1" numFmtId="0" xfId="0" applyAlignment="1" applyBorder="1" applyFont="1">
      <alignment horizontal="center"/>
    </xf>
    <xf borderId="10" fillId="0" fontId="1" numFmtId="0" xfId="0" applyAlignment="1" applyBorder="1" applyFont="1">
      <alignment horizontal="center" readingOrder="0"/>
    </xf>
    <xf borderId="39" fillId="0" fontId="1" numFmtId="0" xfId="0" applyAlignment="1" applyBorder="1" applyFont="1">
      <alignment horizontal="center" readingOrder="0"/>
    </xf>
    <xf borderId="13" fillId="2" fontId="1" numFmtId="0" xfId="0" applyAlignment="1" applyBorder="1" applyFont="1">
      <alignment horizontal="center"/>
    </xf>
    <xf borderId="56" fillId="2" fontId="1" numFmtId="0" xfId="0" applyAlignment="1" applyBorder="1" applyFont="1">
      <alignment horizontal="center"/>
    </xf>
    <xf borderId="57" fillId="0" fontId="1" numFmtId="0" xfId="0" applyAlignment="1" applyBorder="1" applyFont="1">
      <alignment horizontal="center"/>
    </xf>
    <xf borderId="58" fillId="0" fontId="1" numFmtId="0" xfId="0" applyAlignment="1" applyBorder="1" applyFont="1">
      <alignment horizontal="center"/>
    </xf>
    <xf borderId="56" fillId="0" fontId="1" numFmtId="0" xfId="0" applyAlignment="1" applyBorder="1" applyFont="1">
      <alignment horizontal="center"/>
    </xf>
    <xf borderId="57" fillId="0" fontId="23" numFmtId="0" xfId="0" applyAlignment="1" applyBorder="1" applyFont="1">
      <alignment horizontal="center"/>
    </xf>
    <xf borderId="58" fillId="0" fontId="23" numFmtId="0" xfId="0" applyAlignment="1" applyBorder="1" applyFont="1">
      <alignment horizontal="center"/>
    </xf>
    <xf borderId="59" fillId="0" fontId="1" numFmtId="0" xfId="0" applyAlignment="1" applyBorder="1" applyFont="1">
      <alignment horizontal="center"/>
    </xf>
    <xf borderId="59" fillId="0" fontId="1" numFmtId="0" xfId="0" applyAlignment="1" applyBorder="1" applyFont="1">
      <alignment horizontal="center" readingOrder="0"/>
    </xf>
    <xf borderId="26" fillId="0" fontId="1" numFmtId="166" xfId="0" applyAlignment="1" applyBorder="1" applyFont="1" applyNumberFormat="1">
      <alignment horizontal="center" readingOrder="0"/>
    </xf>
    <xf borderId="26" fillId="0" fontId="1" numFmtId="167" xfId="0" applyAlignment="1" applyBorder="1" applyFont="1" applyNumberFormat="1">
      <alignment horizontal="center"/>
    </xf>
    <xf borderId="26" fillId="0" fontId="1" numFmtId="166" xfId="0" applyAlignment="1" applyBorder="1" applyFont="1" applyNumberFormat="1">
      <alignment horizontal="center"/>
    </xf>
    <xf borderId="26" fillId="0" fontId="23" numFmtId="0" xfId="0" applyAlignment="1" applyBorder="1" applyFont="1">
      <alignment horizontal="center"/>
    </xf>
    <xf borderId="21" fillId="0" fontId="1" numFmtId="0" xfId="0" applyBorder="1" applyFont="1"/>
    <xf borderId="60" fillId="0" fontId="1" numFmtId="0" xfId="0" applyAlignment="1" applyBorder="1" applyFont="1">
      <alignment horizontal="center"/>
    </xf>
    <xf borderId="21" fillId="0" fontId="1" numFmtId="0" xfId="0" applyAlignment="1" applyBorder="1" applyFont="1">
      <alignment horizontal="center"/>
    </xf>
    <xf borderId="45" fillId="0" fontId="1" numFmtId="0" xfId="0" applyAlignment="1" applyBorder="1" applyFont="1">
      <alignment horizontal="center" readingOrder="0"/>
    </xf>
    <xf borderId="61" fillId="0" fontId="1" numFmtId="0" xfId="0" applyAlignment="1" applyBorder="1" applyFont="1">
      <alignment horizontal="center"/>
    </xf>
    <xf borderId="23" fillId="0" fontId="1" numFmtId="0" xfId="0" applyAlignment="1" applyBorder="1" applyFont="1">
      <alignment horizontal="center"/>
    </xf>
    <xf borderId="45" fillId="0" fontId="1" numFmtId="0" xfId="0" applyAlignment="1" applyBorder="1" applyFont="1">
      <alignment horizontal="center"/>
    </xf>
    <xf borderId="23" fillId="0" fontId="23" numFmtId="0" xfId="0" applyAlignment="1" applyBorder="1" applyFont="1">
      <alignment horizontal="center"/>
    </xf>
    <xf borderId="45" fillId="0" fontId="23" numFmtId="0" xfId="0" applyAlignment="1" applyBorder="1" applyFont="1">
      <alignment horizontal="center"/>
    </xf>
    <xf borderId="4" fillId="0" fontId="30" numFmtId="0" xfId="0" applyBorder="1" applyFont="1"/>
    <xf borderId="26" fillId="0" fontId="17" numFmtId="0" xfId="0" applyAlignment="1" applyBorder="1" applyFont="1">
      <alignment horizontal="center"/>
    </xf>
    <xf borderId="0" fillId="0" fontId="1" numFmtId="168" xfId="0" applyFont="1" applyNumberFormat="1"/>
    <xf borderId="0" fillId="0" fontId="8" numFmtId="168" xfId="0" applyFont="1" applyNumberFormat="1"/>
    <xf borderId="0" fillId="0" fontId="31" numFmtId="0" xfId="0" applyFont="1"/>
    <xf borderId="62" fillId="0" fontId="9" numFmtId="0" xfId="0" applyBorder="1" applyFont="1"/>
    <xf borderId="63" fillId="0" fontId="9" numFmtId="0" xfId="0" applyAlignment="1" applyBorder="1" applyFont="1">
      <alignment horizontal="center" readingOrder="0"/>
    </xf>
    <xf borderId="64" fillId="0" fontId="9" numFmtId="0" xfId="0" applyBorder="1" applyFont="1"/>
    <xf borderId="63" fillId="0" fontId="12" numFmtId="0" xfId="0" applyAlignment="1" applyBorder="1" applyFont="1">
      <alignment horizontal="center" readingOrder="0" vertical="bottom"/>
    </xf>
    <xf borderId="65" fillId="0" fontId="9" numFmtId="0" xfId="0" applyBorder="1" applyFont="1"/>
    <xf borderId="0" fillId="6" fontId="32" numFmtId="169" xfId="0" applyAlignment="1" applyFill="1" applyFont="1" applyNumberFormat="1">
      <alignment horizontal="center" vertical="center"/>
    </xf>
    <xf borderId="0" fillId="6" fontId="33" numFmtId="0" xfId="0" applyAlignment="1" applyFont="1">
      <alignment horizontal="center" vertical="center"/>
    </xf>
    <xf borderId="0" fillId="6" fontId="33" numFmtId="0" xfId="0" applyAlignment="1" applyFont="1">
      <alignment vertical="center"/>
    </xf>
    <xf borderId="0" fillId="6" fontId="32" numFmtId="0" xfId="0" applyAlignment="1" applyFont="1">
      <alignment vertical="center"/>
    </xf>
    <xf borderId="36" fillId="6" fontId="21" numFmtId="0" xfId="0" applyAlignment="1" applyBorder="1" applyFont="1">
      <alignment vertical="center"/>
    </xf>
    <xf borderId="37" fillId="6" fontId="21" numFmtId="0" xfId="0" applyAlignment="1" applyBorder="1" applyFont="1">
      <alignment vertical="center"/>
    </xf>
    <xf borderId="36" fillId="6" fontId="12" numFmtId="0" xfId="0" applyBorder="1" applyFont="1"/>
    <xf borderId="37" fillId="6" fontId="12" numFmtId="0" xfId="0" applyBorder="1" applyFont="1"/>
    <xf borderId="0" fillId="7" fontId="1" numFmtId="169" xfId="0" applyAlignment="1" applyFill="1" applyFont="1" applyNumberFormat="1">
      <alignment horizontal="center" vertical="center"/>
    </xf>
    <xf borderId="0" fillId="7" fontId="2" numFmtId="0" xfId="0" applyAlignment="1" applyFont="1">
      <alignment horizontal="center" vertical="center"/>
    </xf>
    <xf borderId="0" fillId="7" fontId="2" numFmtId="0" xfId="0" applyAlignment="1" applyFont="1">
      <alignment vertical="center"/>
    </xf>
    <xf borderId="36" fillId="7" fontId="1" numFmtId="0" xfId="0" applyAlignment="1" applyBorder="1" applyFont="1">
      <alignment vertical="center"/>
    </xf>
    <xf borderId="37" fillId="7" fontId="1" numFmtId="0" xfId="0" applyAlignment="1" applyBorder="1" applyFont="1">
      <alignment vertical="center"/>
    </xf>
    <xf borderId="36" fillId="7" fontId="12" numFmtId="0" xfId="0" applyBorder="1" applyFont="1"/>
    <xf borderId="37" fillId="7" fontId="12" numFmtId="0" xfId="0" applyBorder="1" applyFont="1"/>
    <xf borderId="0" fillId="2" fontId="1" numFmtId="169" xfId="0" applyAlignment="1" applyFont="1" applyNumberFormat="1">
      <alignment horizontal="center" readingOrder="0" vertical="center"/>
    </xf>
    <xf borderId="0" fillId="2" fontId="1" numFmtId="0" xfId="0" applyAlignment="1" applyFont="1">
      <alignment horizontal="center" readingOrder="0" vertical="center"/>
    </xf>
    <xf borderId="0" fillId="2" fontId="1" numFmtId="0" xfId="0" applyAlignment="1" applyFont="1">
      <alignment readingOrder="0" vertical="center"/>
    </xf>
    <xf borderId="36" fillId="2" fontId="21" numFmtId="0" xfId="0" applyAlignment="1" applyBorder="1" applyFont="1">
      <alignment vertical="center"/>
    </xf>
    <xf borderId="37" fillId="2" fontId="21" numFmtId="0" xfId="0" applyAlignment="1" applyBorder="1" applyFont="1">
      <alignment vertical="center"/>
    </xf>
    <xf borderId="36" fillId="2" fontId="12" numFmtId="0" xfId="0" applyBorder="1" applyFont="1"/>
    <xf borderId="37" fillId="2" fontId="12" numFmtId="0" xfId="0" applyBorder="1" applyFont="1"/>
    <xf borderId="0" fillId="8" fontId="1" numFmtId="169" xfId="0" applyAlignment="1" applyFill="1" applyFont="1" applyNumberFormat="1">
      <alignment horizontal="center" vertical="center"/>
    </xf>
    <xf borderId="0" fillId="8" fontId="1" numFmtId="0" xfId="0" applyAlignment="1" applyFont="1">
      <alignment horizontal="center" vertical="center"/>
    </xf>
    <xf borderId="0" fillId="8" fontId="1" numFmtId="0" xfId="0" applyAlignment="1" applyFont="1">
      <alignment vertical="center"/>
    </xf>
    <xf borderId="36" fillId="8" fontId="1" numFmtId="0" xfId="0" applyAlignment="1" applyBorder="1" applyFont="1">
      <alignment vertical="center"/>
    </xf>
    <xf borderId="37" fillId="8" fontId="1" numFmtId="0" xfId="0" applyAlignment="1" applyBorder="1" applyFont="1">
      <alignment vertical="center"/>
    </xf>
    <xf borderId="36" fillId="8" fontId="12" numFmtId="0" xfId="0" applyBorder="1" applyFont="1"/>
    <xf borderId="37" fillId="8" fontId="12" numFmtId="0" xfId="0" applyBorder="1" applyFont="1"/>
    <xf borderId="0" fillId="6" fontId="33" numFmtId="0" xfId="0" applyAlignment="1" applyFont="1">
      <alignment readingOrder="0" vertical="center"/>
    </xf>
    <xf borderId="0" fillId="0" fontId="32" numFmtId="169" xfId="0" applyAlignment="1" applyFont="1" applyNumberFormat="1">
      <alignment horizontal="center" vertical="center"/>
    </xf>
    <xf borderId="0" fillId="0" fontId="33" numFmtId="0" xfId="0" applyAlignment="1" applyFont="1">
      <alignment horizontal="center" vertical="center"/>
    </xf>
    <xf borderId="0" fillId="0" fontId="33" numFmtId="0" xfId="0" applyAlignment="1" applyFont="1">
      <alignment horizontal="center" vertical="center"/>
    </xf>
    <xf borderId="0" fillId="0" fontId="32" numFmtId="0" xfId="0" applyAlignment="1" applyFont="1">
      <alignment horizontal="center" vertical="center"/>
    </xf>
    <xf borderId="36" fillId="0" fontId="34" numFmtId="0" xfId="0" applyAlignment="1" applyBorder="1" applyFont="1">
      <alignment horizontal="center" readingOrder="0" vertical="center"/>
    </xf>
    <xf borderId="37" fillId="0" fontId="34" numFmtId="0" xfId="0" applyAlignment="1" applyBorder="1" applyFont="1">
      <alignment horizontal="center" readingOrder="0" vertical="center"/>
    </xf>
    <xf borderId="36" fillId="0" fontId="2" numFmtId="0" xfId="0" applyAlignment="1" applyBorder="1" applyFont="1">
      <alignment horizontal="center"/>
    </xf>
    <xf borderId="37" fillId="0" fontId="2" numFmtId="0" xfId="0" applyAlignment="1" applyBorder="1" applyFont="1">
      <alignment horizontal="center"/>
    </xf>
    <xf borderId="0" fillId="7" fontId="1" numFmtId="0" xfId="0" applyAlignment="1" applyFont="1">
      <alignment vertical="center"/>
    </xf>
    <xf borderId="0" fillId="7" fontId="2" numFmtId="0" xfId="0" applyAlignment="1" applyFont="1">
      <alignment readingOrder="0" vertical="center"/>
    </xf>
    <xf borderId="36" fillId="7" fontId="21" numFmtId="0" xfId="0" applyAlignment="1" applyBorder="1" applyFont="1">
      <alignment vertical="center"/>
    </xf>
    <xf borderId="37" fillId="7" fontId="21" numFmtId="0" xfId="0" applyAlignment="1" applyBorder="1" applyFont="1">
      <alignment vertical="center"/>
    </xf>
    <xf borderId="0" fillId="2" fontId="1" numFmtId="0" xfId="0" applyAlignment="1" applyFont="1">
      <alignment vertical="center"/>
    </xf>
    <xf borderId="36" fillId="2" fontId="21" numFmtId="0" xfId="0" applyAlignment="1" applyBorder="1" applyFont="1">
      <alignment horizontal="center" readingOrder="0" vertical="center"/>
    </xf>
    <xf borderId="37" fillId="2" fontId="21" numFmtId="0" xfId="0" applyAlignment="1" applyBorder="1" applyFont="1">
      <alignment horizontal="center" readingOrder="0" vertical="center"/>
    </xf>
    <xf borderId="36" fillId="2" fontId="1" numFmtId="0" xfId="0" applyAlignment="1" applyBorder="1" applyFont="1">
      <alignment horizontal="center"/>
    </xf>
    <xf borderId="37" fillId="2" fontId="1" numFmtId="0" xfId="0" applyAlignment="1" applyBorder="1" applyFont="1">
      <alignment horizontal="center"/>
    </xf>
    <xf borderId="0" fillId="8" fontId="1" numFmtId="0" xfId="0" applyAlignment="1" applyFont="1">
      <alignment readingOrder="0" vertical="center"/>
    </xf>
    <xf borderId="36" fillId="8" fontId="21" numFmtId="0" xfId="0" applyAlignment="1" applyBorder="1" applyFont="1">
      <alignment horizontal="center" readingOrder="0" vertical="center"/>
    </xf>
    <xf borderId="37" fillId="8" fontId="21" numFmtId="0" xfId="0" applyAlignment="1" applyBorder="1" applyFont="1">
      <alignment horizontal="center" readingOrder="0" vertical="center"/>
    </xf>
    <xf borderId="36" fillId="8" fontId="1" numFmtId="0" xfId="0" applyAlignment="1" applyBorder="1" applyFont="1">
      <alignment horizontal="center"/>
    </xf>
    <xf borderId="37" fillId="8" fontId="1" numFmtId="0" xfId="0" applyAlignment="1" applyBorder="1" applyFont="1">
      <alignment horizontal="center"/>
    </xf>
    <xf borderId="0" fillId="2" fontId="1" numFmtId="169" xfId="0" applyAlignment="1" applyFont="1" applyNumberFormat="1">
      <alignment horizontal="center" vertical="center"/>
    </xf>
    <xf borderId="0" fillId="7" fontId="2" numFmtId="0" xfId="0" applyAlignment="1" applyFont="1">
      <alignment horizontal="center" readingOrder="0" vertical="center"/>
    </xf>
    <xf borderId="0" fillId="7" fontId="2" numFmtId="0" xfId="0" applyAlignment="1" applyFont="1">
      <alignment horizontal="left" readingOrder="0" vertical="center"/>
    </xf>
    <xf borderId="36" fillId="7" fontId="21" numFmtId="0" xfId="0" applyAlignment="1" applyBorder="1" applyFont="1">
      <alignment vertical="center"/>
    </xf>
    <xf borderId="37" fillId="7" fontId="21" numFmtId="0" xfId="0" applyAlignment="1" applyBorder="1" applyFont="1">
      <alignment vertical="center"/>
    </xf>
    <xf borderId="0" fillId="2" fontId="3" numFmtId="0" xfId="0" applyAlignment="1" applyFont="1">
      <alignment vertical="center"/>
    </xf>
    <xf borderId="0" fillId="2" fontId="1" numFmtId="0" xfId="0" applyAlignment="1" applyFont="1">
      <alignment horizontal="left" readingOrder="0" shrinkToFit="0" vertical="center" wrapText="0"/>
    </xf>
    <xf borderId="0" fillId="8" fontId="3" numFmtId="0" xfId="0" applyAlignment="1" applyFont="1">
      <alignment vertical="center"/>
    </xf>
    <xf borderId="0" fillId="8" fontId="1" numFmtId="0" xfId="0" applyAlignment="1" applyFont="1">
      <alignment horizontal="left" readingOrder="0" shrinkToFit="0" vertical="center" wrapText="0"/>
    </xf>
    <xf borderId="0" fillId="2" fontId="2" numFmtId="0" xfId="0" applyAlignment="1" applyFont="1">
      <alignment horizontal="center" vertical="center"/>
    </xf>
    <xf borderId="0" fillId="2" fontId="1" numFmtId="0" xfId="0" applyAlignment="1" applyFont="1">
      <alignment horizontal="left" readingOrder="0" shrinkToFit="0" vertical="center" wrapText="0"/>
    </xf>
    <xf borderId="0" fillId="2" fontId="1" numFmtId="0" xfId="0" applyAlignment="1" applyFont="1">
      <alignment readingOrder="0" vertical="center"/>
    </xf>
    <xf borderId="0" fillId="0" fontId="33" numFmtId="169" xfId="0" applyAlignment="1" applyFont="1" applyNumberFormat="1">
      <alignment horizontal="center" vertical="center"/>
    </xf>
    <xf borderId="0" fillId="0" fontId="33" numFmtId="0" xfId="0" applyAlignment="1" applyFont="1">
      <alignment horizontal="center" readingOrder="0" vertical="center"/>
    </xf>
    <xf borderId="0" fillId="2" fontId="1" numFmtId="0" xfId="0" applyAlignment="1" applyFont="1">
      <alignment readingOrder="0" vertical="center"/>
    </xf>
    <xf borderId="36" fillId="2" fontId="21" numFmtId="0" xfId="0" applyAlignment="1" applyBorder="1" applyFont="1">
      <alignment readingOrder="0" vertical="center"/>
    </xf>
    <xf borderId="37" fillId="2" fontId="21" numFmtId="0" xfId="0" applyAlignment="1" applyBorder="1" applyFont="1">
      <alignment readingOrder="0" vertical="center"/>
    </xf>
    <xf borderId="0" fillId="8" fontId="1" numFmtId="169" xfId="0" applyAlignment="1" applyFont="1" applyNumberFormat="1">
      <alignment horizontal="center" readingOrder="0" vertical="center"/>
    </xf>
    <xf borderId="0" fillId="8" fontId="1" numFmtId="0" xfId="0" applyAlignment="1" applyFont="1">
      <alignment horizontal="center" readingOrder="0" vertical="center"/>
    </xf>
    <xf borderId="36" fillId="8" fontId="21" numFmtId="0" xfId="0" applyAlignment="1" applyBorder="1" applyFont="1">
      <alignment readingOrder="0" vertical="center"/>
    </xf>
    <xf borderId="37" fillId="8" fontId="21" numFmtId="0" xfId="0" applyAlignment="1" applyBorder="1" applyFont="1">
      <alignment readingOrder="0" vertical="center"/>
    </xf>
    <xf borderId="37" fillId="8" fontId="21" numFmtId="0" xfId="0" applyAlignment="1" applyBorder="1" applyFont="1">
      <alignment vertical="center"/>
    </xf>
    <xf borderId="37" fillId="2" fontId="21" numFmtId="0" xfId="0" applyAlignment="1" applyBorder="1" applyFont="1">
      <alignment vertical="center"/>
    </xf>
    <xf borderId="0" fillId="8" fontId="2" numFmtId="0" xfId="0" applyAlignment="1" applyFont="1">
      <alignment horizontal="center" readingOrder="0" vertical="center"/>
    </xf>
    <xf borderId="0" fillId="8" fontId="2" numFmtId="0" xfId="0" applyAlignment="1" applyFont="1">
      <alignment readingOrder="0" vertical="center"/>
    </xf>
    <xf borderId="36" fillId="8" fontId="21" numFmtId="0" xfId="0" applyAlignment="1" applyBorder="1" applyFont="1">
      <alignment vertical="center"/>
    </xf>
    <xf borderId="37" fillId="8" fontId="21" numFmtId="0" xfId="0" applyAlignment="1" applyBorder="1" applyFont="1">
      <alignment vertical="center"/>
    </xf>
    <xf borderId="0" fillId="2" fontId="33" numFmtId="169" xfId="0" applyAlignment="1" applyFont="1" applyNumberFormat="1">
      <alignment horizontal="center" vertical="center"/>
    </xf>
    <xf borderId="0" fillId="2" fontId="33" numFmtId="0" xfId="0" applyAlignment="1" applyFont="1">
      <alignment horizontal="center" vertical="center"/>
    </xf>
    <xf borderId="0" fillId="2" fontId="33" numFmtId="0" xfId="0" applyAlignment="1" applyFont="1">
      <alignment horizontal="center" readingOrder="0" vertical="center"/>
    </xf>
    <xf borderId="36" fillId="2" fontId="34" numFmtId="0" xfId="0" applyAlignment="1" applyBorder="1" applyFont="1">
      <alignment horizontal="center" readingOrder="0" vertical="center"/>
    </xf>
    <xf borderId="37" fillId="2" fontId="34" numFmtId="0" xfId="0" applyAlignment="1" applyBorder="1" applyFont="1">
      <alignment horizontal="center" readingOrder="0" vertical="center"/>
    </xf>
    <xf borderId="0" fillId="2" fontId="35" numFmtId="0" xfId="0" applyAlignment="1" applyFont="1">
      <alignment readingOrder="0" vertical="center"/>
    </xf>
    <xf borderId="0" fillId="8" fontId="1" numFmtId="0" xfId="0" applyAlignment="1" applyFont="1">
      <alignment readingOrder="0" vertical="center"/>
    </xf>
    <xf borderId="0" fillId="2" fontId="1" numFmtId="0" xfId="0" applyAlignment="1" applyFont="1">
      <alignment readingOrder="0" vertical="center"/>
    </xf>
    <xf borderId="0" fillId="8" fontId="2" numFmtId="169" xfId="0" applyAlignment="1" applyFont="1" applyNumberFormat="1">
      <alignment horizontal="center" vertical="center"/>
    </xf>
    <xf borderId="0" fillId="8" fontId="1" numFmtId="0" xfId="0" applyAlignment="1" applyFont="1">
      <alignment vertical="center"/>
    </xf>
    <xf borderId="0" fillId="7" fontId="2" numFmtId="169" xfId="0" applyAlignment="1" applyFont="1" applyNumberFormat="1">
      <alignment horizontal="center" vertical="center"/>
    </xf>
    <xf borderId="0" fillId="7" fontId="3" numFmtId="0" xfId="0" applyAlignment="1" applyFont="1">
      <alignment vertical="center"/>
    </xf>
    <xf borderId="62" fillId="0" fontId="9" numFmtId="0" xfId="0" applyAlignment="1" applyBorder="1" applyFont="1">
      <alignment readingOrder="0"/>
    </xf>
    <xf borderId="62" fillId="2" fontId="9" numFmtId="0" xfId="0" applyBorder="1" applyFont="1"/>
    <xf borderId="62" fillId="5" fontId="9" numFmtId="0" xfId="0" applyBorder="1" applyFont="1"/>
    <xf borderId="62" fillId="0" fontId="9" numFmtId="170" xfId="0" applyAlignment="1" applyBorder="1" applyFont="1" applyNumberFormat="1">
      <alignment readingOrder="0"/>
    </xf>
    <xf borderId="66" fillId="0" fontId="9" numFmtId="0" xfId="0" applyAlignment="1" applyBorder="1" applyFont="1">
      <alignment readingOrder="0"/>
    </xf>
    <xf borderId="66" fillId="0" fontId="9" numFmtId="0" xfId="0" applyBorder="1" applyFont="1"/>
    <xf borderId="66" fillId="2" fontId="9" numFmtId="0" xfId="0" applyBorder="1" applyFont="1"/>
    <xf borderId="2" fillId="0" fontId="36" numFmtId="0" xfId="0" applyAlignment="1" applyBorder="1" applyFont="1">
      <alignment readingOrder="0" shrinkToFit="0" vertical="top" wrapText="1"/>
    </xf>
    <xf borderId="67" fillId="0" fontId="9" numFmtId="0" xfId="0" applyAlignment="1" applyBorder="1" applyFont="1">
      <alignment readingOrder="0"/>
    </xf>
    <xf borderId="67" fillId="0" fontId="9" numFmtId="0" xfId="0" applyBorder="1" applyFont="1"/>
    <xf borderId="67" fillId="2" fontId="9" numFmtId="0" xfId="0" applyBorder="1" applyFont="1"/>
    <xf borderId="68" fillId="2" fontId="9" numFmtId="0" xfId="0" applyBorder="1" applyFont="1"/>
    <xf borderId="68" fillId="0" fontId="9" numFmtId="0" xfId="0" applyBorder="1" applyFont="1"/>
    <xf borderId="69" fillId="0" fontId="9" numFmtId="0" xfId="0" applyBorder="1" applyFont="1"/>
    <xf borderId="69" fillId="0" fontId="9" numFmtId="0" xfId="0" applyAlignment="1" applyBorder="1" applyFont="1">
      <alignment readingOrder="0" vertical="center"/>
    </xf>
    <xf borderId="69" fillId="5" fontId="9" numFmtId="0" xfId="0" applyAlignment="1" applyBorder="1" applyFont="1">
      <alignment horizontal="center"/>
    </xf>
    <xf borderId="69" fillId="2" fontId="9" numFmtId="0" xfId="0" applyAlignment="1" applyBorder="1" applyFont="1">
      <alignment horizontal="center"/>
    </xf>
    <xf borderId="65" fillId="2" fontId="9" numFmtId="0" xfId="0" applyAlignment="1" applyBorder="1" applyFont="1">
      <alignment horizontal="center"/>
    </xf>
    <xf borderId="70" fillId="0" fontId="9" numFmtId="0" xfId="0" applyAlignment="1" applyBorder="1" applyFont="1">
      <alignment readingOrder="0" vertical="center"/>
    </xf>
    <xf borderId="71" fillId="0" fontId="9" numFmtId="0" xfId="0" applyBorder="1" applyFont="1"/>
    <xf borderId="72" fillId="0" fontId="9" numFmtId="0" xfId="0" applyBorder="1" applyFont="1"/>
    <xf borderId="73" fillId="0" fontId="12" numFmtId="0" xfId="0" applyAlignment="1" applyBorder="1" applyFont="1">
      <alignment vertical="center"/>
    </xf>
    <xf borderId="73" fillId="0" fontId="9" numFmtId="0" xfId="0" applyBorder="1" applyFont="1"/>
    <xf borderId="74" fillId="0" fontId="9" numFmtId="0" xfId="0" applyBorder="1" applyFont="1"/>
    <xf borderId="68" fillId="0" fontId="9" numFmtId="0" xfId="0" applyAlignment="1" applyBorder="1" applyFont="1">
      <alignment readingOrder="0"/>
    </xf>
    <xf borderId="0" fillId="6" fontId="37" numFmtId="0" xfId="0" applyAlignment="1" applyFont="1">
      <alignment vertical="center"/>
    </xf>
    <xf borderId="0" fillId="6" fontId="21" numFmtId="0" xfId="0" applyAlignment="1" applyFont="1">
      <alignment vertical="center"/>
    </xf>
    <xf borderId="0" fillId="0" fontId="1" numFmtId="169" xfId="0" applyAlignment="1" applyFont="1" applyNumberFormat="1">
      <alignment horizontal="center" vertical="center"/>
    </xf>
    <xf borderId="0" fillId="0" fontId="1" numFmtId="0" xfId="0" applyAlignment="1" applyFont="1">
      <alignment vertical="center"/>
    </xf>
    <xf borderId="0" fillId="0" fontId="21" numFmtId="0" xfId="0" applyAlignment="1" applyFont="1">
      <alignment vertical="center"/>
    </xf>
    <xf borderId="0" fillId="0" fontId="2" numFmtId="0" xfId="0" applyAlignment="1" applyFont="1">
      <alignment vertical="center"/>
    </xf>
    <xf borderId="0" fillId="0" fontId="2" numFmtId="0" xfId="0" applyAlignment="1" applyFont="1">
      <alignment readingOrder="0" shrinkToFit="0" vertical="center" wrapText="0"/>
    </xf>
    <xf borderId="0" fillId="0" fontId="1" numFmtId="0" xfId="0" applyAlignment="1" applyFont="1">
      <alignment readingOrder="0" vertical="center"/>
    </xf>
    <xf borderId="1" fillId="0" fontId="1" numFmtId="0" xfId="0" applyAlignment="1" applyBorder="1" applyFont="1">
      <alignment vertical="center"/>
    </xf>
    <xf borderId="0" fillId="0" fontId="38" numFmtId="0" xfId="0" applyAlignment="1" applyFont="1">
      <alignment readingOrder="0" vertical="center"/>
    </xf>
    <xf borderId="1" fillId="0" fontId="2" numFmtId="169" xfId="0" applyAlignment="1" applyBorder="1" applyFont="1" applyNumberFormat="1">
      <alignment horizontal="center" readingOrder="0" vertical="center"/>
    </xf>
    <xf borderId="0" fillId="2" fontId="1" numFmtId="0" xfId="0" applyAlignment="1" applyFont="1">
      <alignment horizontal="left" readingOrder="0" vertical="center"/>
    </xf>
    <xf borderId="0" fillId="2" fontId="21" numFmtId="0" xfId="0" applyAlignment="1" applyFont="1">
      <alignment horizontal="left" vertical="center"/>
    </xf>
    <xf borderId="0" fillId="2" fontId="21" numFmtId="0" xfId="0" applyAlignment="1" applyFont="1">
      <alignment vertical="center"/>
    </xf>
    <xf borderId="0" fillId="8" fontId="2" numFmtId="0" xfId="0" applyAlignment="1" applyFont="1">
      <alignment horizontal="center" vertical="center"/>
    </xf>
    <xf borderId="0" fillId="8" fontId="1" numFmtId="0" xfId="0" applyAlignment="1" applyFont="1">
      <alignment horizontal="left" readingOrder="0" vertical="center"/>
    </xf>
    <xf borderId="0" fillId="8" fontId="39" numFmtId="0" xfId="0" applyAlignment="1" applyFont="1">
      <alignment horizontal="left" readingOrder="0" vertical="center"/>
    </xf>
    <xf borderId="0" fillId="8" fontId="21" numFmtId="0" xfId="0" applyAlignment="1" applyFont="1">
      <alignment horizontal="left" vertical="center"/>
    </xf>
    <xf borderId="0" fillId="8" fontId="21" numFmtId="0" xfId="0" applyAlignment="1" applyFont="1">
      <alignment vertical="center"/>
    </xf>
    <xf borderId="0" fillId="2" fontId="1" numFmtId="0" xfId="0" applyAlignment="1" applyFont="1">
      <alignment horizontal="left" readingOrder="0" shrinkToFit="0" vertical="center" wrapText="1"/>
    </xf>
    <xf borderId="0" fillId="2" fontId="40" numFmtId="0" xfId="0" applyAlignment="1" applyFont="1">
      <alignment horizontal="left" readingOrder="0" vertical="center"/>
    </xf>
    <xf borderId="0" fillId="2" fontId="41" numFmtId="0" xfId="0" applyAlignment="1" applyFont="1">
      <alignment horizontal="left" vertical="center"/>
    </xf>
    <xf borderId="0" fillId="5" fontId="21" numFmtId="0" xfId="0" applyAlignment="1" applyFont="1">
      <alignment horizontal="left" vertical="center"/>
    </xf>
    <xf borderId="0" fillId="5" fontId="21" numFmtId="0" xfId="0" applyAlignment="1" applyFont="1">
      <alignment vertical="center"/>
    </xf>
    <xf borderId="0" fillId="8" fontId="42" numFmtId="0" xfId="0" applyAlignment="1" applyFont="1">
      <alignment readingOrder="0" vertical="center"/>
    </xf>
    <xf borderId="0" fillId="8" fontId="23" numFmtId="0" xfId="0" applyAlignment="1" applyFont="1">
      <alignment horizontal="left" readingOrder="0" vertical="center"/>
    </xf>
    <xf borderId="0" fillId="8" fontId="43" numFmtId="0" xfId="0" applyAlignment="1" applyFont="1">
      <alignment readingOrder="0"/>
    </xf>
    <xf borderId="0" fillId="8" fontId="44" numFmtId="0" xfId="0" applyAlignment="1" applyFont="1">
      <alignment horizontal="left" readingOrder="0" vertical="center"/>
    </xf>
    <xf borderId="0" fillId="2" fontId="23" numFmtId="0" xfId="0" applyAlignment="1" applyFont="1">
      <alignment horizontal="left" readingOrder="0" vertical="center"/>
    </xf>
    <xf borderId="0" fillId="8" fontId="45" numFmtId="169" xfId="0" applyAlignment="1" applyFont="1" applyNumberFormat="1">
      <alignment horizontal="center"/>
    </xf>
    <xf borderId="0" fillId="8" fontId="12" numFmtId="0" xfId="0" applyFont="1"/>
    <xf borderId="0" fillId="8" fontId="45" numFmtId="0" xfId="0" applyFont="1"/>
    <xf borderId="0" fillId="8" fontId="45" numFmtId="171" xfId="0" applyAlignment="1" applyFont="1" applyNumberFormat="1">
      <alignment horizontal="center" readingOrder="0"/>
    </xf>
    <xf borderId="0" fillId="8" fontId="46" numFmtId="172" xfId="0" applyFont="1" applyNumberFormat="1"/>
    <xf borderId="0" fillId="8" fontId="12" numFmtId="172" xfId="0" applyFont="1" applyNumberFormat="1"/>
    <xf borderId="0" fillId="8" fontId="47" numFmtId="172" xfId="0" applyAlignment="1" applyFont="1" applyNumberFormat="1">
      <alignment horizontal="left" vertical="center"/>
    </xf>
    <xf borderId="0" fillId="2" fontId="45" numFmtId="169" xfId="0" applyAlignment="1" applyFont="1" applyNumberFormat="1">
      <alignment horizontal="center"/>
    </xf>
    <xf borderId="0" fillId="2" fontId="12" numFmtId="0" xfId="0" applyFont="1"/>
    <xf borderId="0" fillId="2" fontId="45" numFmtId="0" xfId="0" applyFont="1"/>
    <xf borderId="0" fillId="2" fontId="45" numFmtId="171" xfId="0" applyAlignment="1" applyFont="1" applyNumberFormat="1">
      <alignment horizontal="center" readingOrder="0"/>
    </xf>
    <xf borderId="0" fillId="2" fontId="46" numFmtId="172" xfId="0" applyFont="1" applyNumberFormat="1"/>
    <xf borderId="0" fillId="2" fontId="12" numFmtId="172" xfId="0" applyFont="1" applyNumberFormat="1"/>
    <xf borderId="0" fillId="2" fontId="47" numFmtId="172" xfId="0" applyAlignment="1" applyFont="1" applyNumberFormat="1">
      <alignment horizontal="left" vertical="center"/>
    </xf>
    <xf borderId="0" fillId="8" fontId="45" numFmtId="0" xfId="0" applyAlignment="1" applyFont="1">
      <alignment horizontal="center"/>
    </xf>
    <xf borderId="0" fillId="8" fontId="1" numFmtId="0" xfId="0" applyAlignment="1" applyFont="1">
      <alignment horizontal="left" vertical="center"/>
    </xf>
    <xf borderId="0" fillId="2" fontId="48" numFmtId="0" xfId="0" applyAlignment="1" applyFont="1">
      <alignment horizontal="center" readingOrder="0"/>
    </xf>
    <xf borderId="0" fillId="2" fontId="1" numFmtId="0" xfId="0" applyAlignment="1" applyFont="1">
      <alignment horizontal="left" vertical="center"/>
    </xf>
    <xf borderId="0" fillId="8" fontId="48" numFmtId="0" xfId="0" applyAlignment="1" applyFont="1">
      <alignment horizontal="center"/>
    </xf>
    <xf borderId="0" fillId="8" fontId="49" numFmtId="0" xfId="0" applyAlignment="1" applyFont="1">
      <alignment shrinkToFit="0" vertical="bottom" wrapText="0"/>
    </xf>
    <xf borderId="0" fillId="2" fontId="45" numFmtId="0" xfId="0" applyAlignment="1" applyFont="1">
      <alignment horizontal="center"/>
    </xf>
    <xf borderId="0" fillId="2" fontId="50" numFmtId="0" xfId="0" applyFont="1"/>
    <xf borderId="0" fillId="2" fontId="23" numFmtId="0" xfId="0" applyAlignment="1" applyFont="1">
      <alignment horizontal="left" readingOrder="0" vertical="center"/>
    </xf>
    <xf borderId="0" fillId="8" fontId="45" numFmtId="0" xfId="0" applyAlignment="1" applyFont="1">
      <alignment horizontal="center" readingOrder="0"/>
    </xf>
    <xf borderId="0" fillId="8" fontId="50" numFmtId="0" xfId="0" applyAlignment="1" applyFont="1">
      <alignment readingOrder="0"/>
    </xf>
    <xf borderId="0" fillId="2" fontId="45" numFmtId="0" xfId="0" applyAlignment="1" applyFont="1">
      <alignment horizontal="center" readingOrder="0"/>
    </xf>
    <xf borderId="0" fillId="8" fontId="12" numFmtId="0" xfId="0" applyAlignment="1" applyFont="1">
      <alignment vertical="bottom"/>
    </xf>
    <xf borderId="0" fillId="8" fontId="9" numFmtId="0" xfId="0" applyFont="1"/>
    <xf borderId="0" fillId="2" fontId="9" numFmtId="0" xfId="0" applyFont="1"/>
    <xf borderId="0" fillId="8" fontId="51" numFmtId="0" xfId="0" applyAlignment="1" applyFont="1">
      <alignment readingOrder="0"/>
    </xf>
    <xf borderId="0" fillId="2" fontId="23" numFmtId="0" xfId="0" applyAlignment="1" applyFont="1">
      <alignment readingOrder="0" vertical="center"/>
    </xf>
    <xf borderId="0" fillId="8" fontId="1" numFmtId="168" xfId="0" applyAlignment="1" applyFont="1" applyNumberFormat="1">
      <alignment vertical="center"/>
    </xf>
    <xf borderId="0" fillId="2" fontId="52" numFmtId="168" xfId="0" applyAlignment="1" applyFont="1" applyNumberFormat="1">
      <alignment readingOrder="0"/>
    </xf>
    <xf borderId="0" fillId="9" fontId="21" numFmtId="0" xfId="0" applyAlignment="1" applyFill="1" applyFont="1">
      <alignment vertical="center"/>
    </xf>
    <xf borderId="0" fillId="9" fontId="21" numFmtId="0" xfId="0" applyAlignment="1" applyFont="1">
      <alignment readingOrder="0" vertical="center"/>
    </xf>
    <xf borderId="0" fillId="0" fontId="32" numFmtId="169" xfId="0" applyAlignment="1" applyFont="1" applyNumberFormat="1">
      <alignment horizontal="center" shrinkToFit="0" vertical="center" wrapText="1"/>
    </xf>
    <xf borderId="0" fillId="0" fontId="33" numFmtId="0" xfId="0" applyAlignment="1" applyFont="1">
      <alignment horizontal="center" shrinkToFit="0" vertical="center" wrapText="1"/>
    </xf>
    <xf borderId="0" fillId="0" fontId="33" numFmtId="0" xfId="0" applyAlignment="1" applyFont="1">
      <alignment horizontal="center" shrinkToFit="0" vertical="center" wrapText="1"/>
    </xf>
    <xf borderId="0" fillId="0" fontId="32" numFmtId="0" xfId="0" applyAlignment="1" applyFont="1">
      <alignment horizontal="center" shrinkToFit="0" vertical="center" wrapText="1"/>
    </xf>
    <xf borderId="0" fillId="0" fontId="37" numFmtId="0" xfId="0" applyAlignment="1" applyFont="1">
      <alignment horizontal="center" shrinkToFit="0" vertical="center" wrapText="1"/>
    </xf>
    <xf borderId="0" fillId="0" fontId="34" numFmtId="0" xfId="0" applyAlignment="1" applyFont="1">
      <alignment horizontal="center" readingOrder="0" shrinkToFit="0" vertical="center" wrapText="1"/>
    </xf>
    <xf borderId="0" fillId="7" fontId="14" numFmtId="0" xfId="0" applyAlignment="1" applyFont="1">
      <alignment readingOrder="0" shrinkToFit="0" vertical="center" wrapText="1"/>
    </xf>
    <xf borderId="0" fillId="7" fontId="53" numFmtId="0" xfId="0" applyAlignment="1" applyFont="1">
      <alignment readingOrder="0" vertical="center"/>
    </xf>
    <xf borderId="0" fillId="7" fontId="21" numFmtId="0" xfId="0" applyAlignment="1" applyFont="1">
      <alignment vertical="center"/>
    </xf>
    <xf borderId="0" fillId="2" fontId="54" numFmtId="0" xfId="0" applyAlignment="1" applyFont="1">
      <alignment readingOrder="0"/>
    </xf>
    <xf borderId="0" fillId="2" fontId="21" numFmtId="0" xfId="0" applyAlignment="1" applyFont="1">
      <alignment horizontal="center" readingOrder="0" vertical="center"/>
    </xf>
    <xf borderId="0" fillId="8" fontId="55" numFmtId="0" xfId="0" applyAlignment="1" applyFont="1">
      <alignment readingOrder="0" vertical="center"/>
    </xf>
    <xf borderId="0" fillId="8" fontId="21" numFmtId="0" xfId="0" applyAlignment="1" applyFont="1">
      <alignment horizontal="center" readingOrder="0" vertical="center"/>
    </xf>
    <xf borderId="0" fillId="7" fontId="21" numFmtId="0" xfId="0" applyAlignment="1" applyFont="1">
      <alignment horizontal="center" vertical="center"/>
    </xf>
    <xf borderId="0" fillId="7" fontId="21" numFmtId="0" xfId="0" applyAlignment="1" applyFont="1">
      <alignment vertical="center"/>
    </xf>
    <xf borderId="0" fillId="2" fontId="55" numFmtId="0" xfId="0" applyAlignment="1" applyFont="1">
      <alignment horizontal="left" readingOrder="0" shrinkToFit="0" vertical="center" wrapText="0"/>
    </xf>
    <xf borderId="0" fillId="2" fontId="1" numFmtId="0" xfId="0" applyAlignment="1" applyFont="1">
      <alignment horizontal="center" readingOrder="0" shrinkToFit="0" vertical="center" wrapText="0"/>
    </xf>
    <xf borderId="0" fillId="8" fontId="55" numFmtId="0" xfId="0" applyAlignment="1" applyFont="1">
      <alignment horizontal="left" readingOrder="0" shrinkToFit="0" vertical="center" wrapText="0"/>
    </xf>
    <xf borderId="0" fillId="8" fontId="55" numFmtId="0" xfId="0" applyAlignment="1" applyFont="1">
      <alignment horizontal="center" readingOrder="0" shrinkToFit="0" vertical="center" wrapText="0"/>
    </xf>
    <xf borderId="0" fillId="8" fontId="1" numFmtId="0" xfId="0" applyAlignment="1" applyFont="1">
      <alignment horizontal="center" readingOrder="0" shrinkToFit="0" vertical="center" wrapText="0"/>
    </xf>
    <xf borderId="0" fillId="2" fontId="55" numFmtId="0" xfId="0" applyAlignment="1" applyFont="1">
      <alignment horizontal="center" readingOrder="0" shrinkToFit="0" vertical="center" wrapText="0"/>
    </xf>
    <xf borderId="0" fillId="6" fontId="56" numFmtId="0" xfId="0" applyAlignment="1" applyFont="1">
      <alignment readingOrder="0" vertical="center"/>
    </xf>
    <xf borderId="0" fillId="0" fontId="57" numFmtId="0" xfId="0" applyAlignment="1" applyFont="1">
      <alignment horizontal="center" vertical="center"/>
    </xf>
    <xf borderId="0" fillId="0" fontId="34" numFmtId="0" xfId="0" applyAlignment="1" applyFont="1">
      <alignment horizontal="center" vertical="center"/>
    </xf>
    <xf borderId="0" fillId="2" fontId="57" numFmtId="0" xfId="0" applyAlignment="1" applyFont="1">
      <alignment horizontal="center" vertical="center"/>
    </xf>
    <xf borderId="0" fillId="2" fontId="34" numFmtId="0" xfId="0" applyAlignment="1" applyFont="1">
      <alignment horizontal="center" vertical="center"/>
    </xf>
    <xf borderId="0" fillId="8" fontId="21" numFmtId="0" xfId="0" applyAlignment="1" applyFont="1">
      <alignment readingOrder="0" vertical="center"/>
    </xf>
    <xf borderId="0" fillId="2" fontId="1" numFmtId="0" xfId="0" applyAlignment="1" applyFont="1">
      <alignment readingOrder="0" shrinkToFit="0" vertical="center" wrapText="1"/>
    </xf>
    <xf borderId="0" fillId="2" fontId="2" numFmtId="169" xfId="0" applyAlignment="1" applyFont="1" applyNumberFormat="1">
      <alignment horizontal="center" vertical="center"/>
    </xf>
    <xf borderId="0" fillId="2" fontId="21" numFmtId="0" xfId="0" applyAlignment="1" applyFont="1">
      <alignment readingOrder="0" vertical="center"/>
    </xf>
    <xf borderId="0" fillId="0" fontId="2" numFmtId="0" xfId="0" applyAlignment="1" applyFont="1">
      <alignment horizontal="center" vertical="center"/>
    </xf>
    <xf borderId="0" fillId="0" fontId="21" numFmtId="0" xfId="0" applyAlignment="1" applyFont="1">
      <alignment readingOrder="0" vertical="center"/>
    </xf>
    <xf borderId="0" fillId="2" fontId="1" numFmtId="0" xfId="0" applyAlignment="1" applyFont="1">
      <alignment horizontal="center" vertical="center"/>
    </xf>
    <xf borderId="0" fillId="2" fontId="23" numFmtId="0" xfId="0" applyAlignment="1" applyFont="1">
      <alignment readingOrder="0" vertical="center"/>
    </xf>
    <xf borderId="0" fillId="8" fontId="23" numFmtId="0" xfId="0" applyAlignment="1" applyFont="1">
      <alignment readingOrder="0" vertical="center"/>
    </xf>
    <xf borderId="0" fillId="8" fontId="1" numFmtId="0" xfId="0" applyAlignment="1" applyFont="1">
      <alignment readingOrder="0" vertical="center"/>
    </xf>
    <xf borderId="0" fillId="8" fontId="21" numFmtId="0" xfId="0" applyAlignment="1" applyFont="1">
      <alignment vertical="center"/>
    </xf>
    <xf borderId="0" fillId="7" fontId="1" numFmtId="169" xfId="0" applyAlignment="1" applyFont="1" applyNumberFormat="1">
      <alignment horizontal="center" readingOrder="0" vertical="center"/>
    </xf>
    <xf borderId="0" fillId="7" fontId="1" numFmtId="0" xfId="0" applyAlignment="1" applyFont="1">
      <alignment horizontal="center" vertical="center"/>
    </xf>
    <xf borderId="0" fillId="7" fontId="1" numFmtId="0" xfId="0" applyAlignment="1" applyFont="1">
      <alignment readingOrder="0" vertical="center"/>
    </xf>
    <xf borderId="0" fillId="8" fontId="23" numFmtId="0" xfId="0" applyAlignment="1" applyFont="1">
      <alignment readingOrder="0" vertical="center"/>
    </xf>
    <xf borderId="0" fillId="8" fontId="32" numFmtId="169" xfId="0" applyAlignment="1" applyFont="1" applyNumberFormat="1">
      <alignment horizontal="center" vertical="center"/>
    </xf>
    <xf borderId="0" fillId="8" fontId="33" numFmtId="0" xfId="0" applyAlignment="1" applyFont="1">
      <alignment horizontal="center" vertical="center"/>
    </xf>
    <xf borderId="0" fillId="8" fontId="33" numFmtId="0" xfId="0" applyAlignment="1" applyFont="1">
      <alignment readingOrder="0" vertical="center"/>
    </xf>
    <xf borderId="0" fillId="8" fontId="32" numFmtId="0" xfId="0" applyAlignment="1" applyFont="1">
      <alignment vertical="center"/>
    </xf>
    <xf borderId="0" fillId="8" fontId="37" numFmtId="0" xfId="0" applyAlignment="1" applyFont="1">
      <alignment vertical="center"/>
    </xf>
    <xf borderId="0" fillId="2" fontId="58" numFmtId="0" xfId="0" applyAlignment="1" applyFont="1">
      <alignment readingOrder="0" vertical="center"/>
    </xf>
    <xf borderId="0" fillId="2" fontId="2" numFmtId="0" xfId="0" applyAlignment="1" applyFont="1">
      <alignment readingOrder="0" vertical="center"/>
    </xf>
    <xf borderId="0" fillId="7" fontId="1" numFmtId="0" xfId="0" applyAlignment="1" applyFont="1">
      <alignment horizontal="center" readingOrder="0" vertical="center"/>
    </xf>
    <xf borderId="0" fillId="2" fontId="2" numFmtId="0" xfId="0" applyAlignment="1" applyFont="1">
      <alignment readingOrder="0" vertical="center"/>
    </xf>
    <xf borderId="0" fillId="2" fontId="2" numFmtId="0" xfId="0" applyAlignment="1" applyFont="1">
      <alignment horizontal="left" readingOrder="0" vertical="center"/>
    </xf>
    <xf borderId="0" fillId="2" fontId="45" numFmtId="0" xfId="0" applyAlignment="1" applyFont="1">
      <alignment shrinkToFit="0" vertical="bottom" wrapText="1"/>
    </xf>
    <xf borderId="0" fillId="2" fontId="0" numFmtId="0" xfId="0" applyAlignment="1" applyFont="1">
      <alignment horizontal="right" vertical="bottom"/>
    </xf>
    <xf borderId="0" fillId="2" fontId="50" numFmtId="0" xfId="0" applyAlignment="1" applyFont="1">
      <alignment readingOrder="0"/>
    </xf>
    <xf borderId="0" fillId="8" fontId="45" numFmtId="0" xfId="0" applyAlignment="1" applyFont="1">
      <alignment shrinkToFit="0" vertical="bottom" wrapText="1"/>
    </xf>
    <xf borderId="0" fillId="8" fontId="45" numFmtId="0" xfId="0" applyAlignment="1" applyFont="1">
      <alignment horizontal="right" shrinkToFit="0" vertical="bottom" wrapText="1"/>
    </xf>
    <xf borderId="0" fillId="2" fontId="50" numFmtId="0" xfId="0" applyAlignment="1" applyFont="1">
      <alignment readingOrder="0" shrinkToFit="0" vertical="center" wrapText="0"/>
    </xf>
    <xf borderId="0" fillId="8" fontId="12" numFmtId="0" xfId="0" applyFont="1"/>
    <xf borderId="0" fillId="2" fontId="59" numFmtId="0" xfId="0" applyAlignment="1" applyFont="1">
      <alignment readingOrder="0"/>
    </xf>
    <xf borderId="0" fillId="2" fontId="60" numFmtId="0" xfId="0" applyAlignment="1" applyFont="1">
      <alignment horizontal="right" readingOrder="0"/>
    </xf>
    <xf borderId="0" fillId="8" fontId="50" numFmtId="0" xfId="0" applyAlignment="1" applyFont="1">
      <alignment readingOrder="0" shrinkToFit="0" vertical="center" wrapText="0"/>
    </xf>
    <xf borderId="0" fillId="8" fontId="61" numFmtId="0" xfId="0" applyAlignment="1" applyFont="1">
      <alignment readingOrder="0" vertical="center"/>
    </xf>
    <xf borderId="0" fillId="8" fontId="0" numFmtId="0" xfId="0" applyAlignment="1" applyFont="1">
      <alignment vertical="center"/>
    </xf>
    <xf borderId="0" fillId="2" fontId="52" numFmtId="0" xfId="0" applyAlignment="1" applyFont="1">
      <alignment readingOrder="0" shrinkToFit="0" vertical="bottom" wrapText="1"/>
    </xf>
    <xf borderId="0" fillId="2" fontId="1" numFmtId="0" xfId="0" applyAlignment="1" applyFont="1">
      <alignment horizontal="right" shrinkToFit="0" vertical="bottom" wrapText="1"/>
    </xf>
    <xf borderId="0" fillId="2" fontId="23" numFmtId="0" xfId="0" applyAlignment="1" applyFont="1">
      <alignment vertical="bottom"/>
    </xf>
    <xf borderId="0" fillId="2" fontId="61" numFmtId="0" xfId="0" applyAlignment="1" applyFont="1">
      <alignment readingOrder="0" vertical="center"/>
    </xf>
    <xf borderId="0" fillId="2" fontId="0" numFmtId="0" xfId="0" applyAlignment="1" applyFont="1">
      <alignment vertical="center"/>
    </xf>
    <xf borderId="0" fillId="8" fontId="52" numFmtId="0" xfId="0" applyAlignment="1" applyFont="1">
      <alignment readingOrder="0" shrinkToFit="0" vertical="bottom" wrapText="1"/>
    </xf>
    <xf borderId="0" fillId="8" fontId="1" numFmtId="0" xfId="0" applyAlignment="1" applyFont="1">
      <alignment horizontal="right" shrinkToFit="0" vertical="bottom" wrapText="1"/>
    </xf>
    <xf borderId="0" fillId="8" fontId="23" numFmtId="0" xfId="0" applyAlignment="1" applyFont="1">
      <alignment vertical="bottom"/>
    </xf>
    <xf borderId="0" fillId="2" fontId="62" numFmtId="0" xfId="0" applyFont="1"/>
    <xf borderId="0" fillId="2" fontId="63" numFmtId="0" xfId="0" applyAlignment="1" applyFont="1">
      <alignment horizontal="left" readingOrder="0"/>
    </xf>
    <xf borderId="0" fillId="8" fontId="64" numFmtId="0" xfId="0" applyAlignment="1" applyFont="1">
      <alignment horizontal="left" readingOrder="0" vertical="center"/>
    </xf>
    <xf borderId="0" fillId="2" fontId="45" numFmtId="0" xfId="0" applyFont="1"/>
    <xf borderId="0" fillId="8" fontId="65" numFmtId="0" xfId="0" applyFont="1"/>
    <xf borderId="0" fillId="2" fontId="55" numFmtId="0" xfId="0" applyAlignment="1" applyFont="1">
      <alignment readingOrder="0" vertical="center"/>
    </xf>
    <xf borderId="0" fillId="2" fontId="66" numFmtId="0" xfId="0" applyAlignment="1" applyFont="1">
      <alignment horizontal="left" readingOrder="0"/>
    </xf>
    <xf borderId="0" fillId="2" fontId="3" numFmtId="169" xfId="0" applyAlignment="1" applyFont="1" applyNumberFormat="1">
      <alignment horizontal="center" readingOrder="0" vertical="center"/>
    </xf>
    <xf borderId="0" fillId="2" fontId="67" numFmtId="0" xfId="0" applyAlignment="1" applyFont="1">
      <alignment readingOrder="0" vertical="center"/>
    </xf>
    <xf borderId="0" fillId="8" fontId="3" numFmtId="169" xfId="0" applyAlignment="1" applyFont="1" applyNumberFormat="1">
      <alignment horizontal="center" vertical="center"/>
    </xf>
    <xf borderId="0" fillId="8" fontId="68" numFmtId="0" xfId="0" applyAlignment="1" applyFont="1">
      <alignment readingOrder="0" vertical="center"/>
    </xf>
    <xf borderId="0" fillId="8" fontId="67" numFmtId="0" xfId="0" applyAlignment="1" applyFont="1">
      <alignment readingOrder="0" vertical="center"/>
    </xf>
    <xf borderId="0" fillId="2" fontId="3" numFmtId="169" xfId="0" applyAlignment="1" applyFont="1" applyNumberFormat="1">
      <alignment horizontal="center" vertical="center"/>
    </xf>
    <xf borderId="0" fillId="2" fontId="26" numFmtId="0" xfId="0" applyAlignment="1" applyFont="1">
      <alignment readingOrder="0"/>
    </xf>
    <xf borderId="0" fillId="2" fontId="12" numFmtId="0" xfId="0" applyAlignment="1" applyFont="1">
      <alignment vertical="bottom"/>
    </xf>
    <xf borderId="0" fillId="2" fontId="3" numFmtId="0" xfId="0" applyAlignment="1" applyFont="1">
      <alignment readingOrder="0" vertical="center"/>
    </xf>
    <xf borderId="0" fillId="8" fontId="12" numFmtId="0" xfId="0" applyAlignment="1" applyFont="1">
      <alignment readingOrder="0" vertical="bottom"/>
    </xf>
    <xf borderId="0" fillId="8" fontId="3" numFmtId="0" xfId="0" applyAlignment="1" applyFont="1">
      <alignment readingOrder="0" vertical="center"/>
    </xf>
    <xf borderId="0" fillId="2" fontId="12" numFmtId="0" xfId="0" applyAlignment="1" applyFont="1">
      <alignment vertical="bottom"/>
    </xf>
    <xf borderId="0" fillId="2" fontId="69" numFmtId="0" xfId="0" applyAlignment="1" applyFont="1">
      <alignment vertical="bottom"/>
    </xf>
    <xf borderId="0" fillId="10" fontId="12" numFmtId="0" xfId="0" applyFill="1" applyFont="1"/>
    <xf borderId="0" fillId="10" fontId="69" numFmtId="0" xfId="0" applyAlignment="1" applyFont="1">
      <alignment vertical="bottom"/>
    </xf>
    <xf borderId="0" fillId="2" fontId="12" numFmtId="0" xfId="0" applyFont="1"/>
    <xf borderId="0" fillId="2" fontId="70" numFmtId="0" xfId="0" applyAlignment="1" applyFont="1">
      <alignment readingOrder="0" shrinkToFit="0" vertical="bottom" wrapText="1"/>
    </xf>
    <xf borderId="0" fillId="6" fontId="71" numFmtId="0" xfId="0" applyAlignment="1" applyFont="1">
      <alignment readingOrder="0" vertical="bottom"/>
    </xf>
    <xf borderId="0" fillId="6" fontId="71" numFmtId="0" xfId="0" applyAlignment="1" applyFont="1">
      <alignment readingOrder="0" shrinkToFit="0" vertical="bottom" wrapText="0"/>
    </xf>
    <xf borderId="0" fillId="8" fontId="12" numFmtId="0" xfId="0" applyAlignment="1" applyFont="1">
      <alignment vertical="bottom"/>
    </xf>
    <xf borderId="0" fillId="2" fontId="72" numFmtId="0" xfId="0" applyAlignment="1" applyFont="1">
      <alignment readingOrder="0" vertical="center"/>
    </xf>
    <xf borderId="30" fillId="11" fontId="1" numFmtId="169" xfId="0" applyAlignment="1" applyBorder="1" applyFill="1" applyFont="1" applyNumberFormat="1">
      <alignment horizontal="center" readingOrder="0" vertical="center"/>
    </xf>
    <xf borderId="31" fillId="11" fontId="3" numFmtId="0" xfId="0" applyAlignment="1" applyBorder="1" applyFont="1">
      <alignment readingOrder="0" vertical="center"/>
    </xf>
    <xf borderId="31" fillId="11" fontId="72" numFmtId="49" xfId="0" applyAlignment="1" applyBorder="1" applyFont="1" applyNumberFormat="1">
      <alignment horizontal="left" readingOrder="0" vertical="center"/>
    </xf>
    <xf borderId="31" fillId="11" fontId="72" numFmtId="49" xfId="0" applyAlignment="1" applyBorder="1" applyFont="1" applyNumberFormat="1">
      <alignment horizontal="center" readingOrder="0" vertical="center"/>
    </xf>
    <xf borderId="31" fillId="7" fontId="2" numFmtId="49" xfId="0" applyAlignment="1" applyBorder="1" applyFont="1" applyNumberFormat="1">
      <alignment horizontal="center" readingOrder="0" vertical="center"/>
    </xf>
    <xf borderId="31" fillId="7" fontId="72" numFmtId="49" xfId="0" applyAlignment="1" applyBorder="1" applyFont="1" applyNumberFormat="1">
      <alignment horizontal="left" readingOrder="0" vertical="center"/>
    </xf>
    <xf borderId="31" fillId="7" fontId="9" numFmtId="0" xfId="0" applyBorder="1" applyFont="1"/>
    <xf borderId="31" fillId="7" fontId="1" numFmtId="0" xfId="0" applyAlignment="1" applyBorder="1" applyFont="1">
      <alignment vertical="center"/>
    </xf>
    <xf borderId="31" fillId="7" fontId="21" numFmtId="0" xfId="0" applyAlignment="1" applyBorder="1" applyFont="1">
      <alignment vertical="center"/>
    </xf>
    <xf borderId="32" fillId="7" fontId="21" numFmtId="0" xfId="0" applyAlignment="1" applyBorder="1" applyFont="1">
      <alignment vertical="center"/>
    </xf>
    <xf borderId="36" fillId="11" fontId="45" numFmtId="169" xfId="0" applyAlignment="1" applyBorder="1" applyFont="1" applyNumberFormat="1">
      <alignment horizontal="center" vertical="center"/>
    </xf>
    <xf borderId="0" fillId="11" fontId="12" numFmtId="0" xfId="0" applyAlignment="1" applyFont="1">
      <alignment horizontal="center" vertical="center"/>
    </xf>
    <xf borderId="0" fillId="11" fontId="26" numFmtId="0" xfId="0" applyAlignment="1" applyFont="1">
      <alignment shrinkToFit="0" vertical="center" wrapText="1"/>
    </xf>
    <xf borderId="31" fillId="12" fontId="45" numFmtId="3" xfId="0" applyAlignment="1" applyBorder="1" applyFill="1" applyFont="1" applyNumberFormat="1">
      <alignment horizontal="center" shrinkToFit="0" vertical="center" wrapText="1"/>
    </xf>
    <xf borderId="36" fillId="12" fontId="73" numFmtId="3" xfId="0" applyAlignment="1" applyBorder="1" applyFont="1" applyNumberFormat="1">
      <alignment readingOrder="0" shrinkToFit="0" vertical="top" wrapText="1"/>
    </xf>
    <xf borderId="37" fillId="2" fontId="9" numFmtId="0" xfId="0" applyBorder="1" applyFont="1"/>
    <xf borderId="0" fillId="11" fontId="26" numFmtId="0" xfId="0" applyAlignment="1" applyFont="1">
      <alignment vertical="center"/>
    </xf>
    <xf borderId="36" fillId="12" fontId="73" numFmtId="3" xfId="0" applyAlignment="1" applyBorder="1" applyFont="1" applyNumberFormat="1">
      <alignment readingOrder="0" vertical="bottom"/>
    </xf>
    <xf borderId="37" fillId="8" fontId="9" numFmtId="0" xfId="0" applyBorder="1" applyFont="1"/>
    <xf borderId="0" fillId="8" fontId="3" numFmtId="3" xfId="0" applyAlignment="1" applyFont="1" applyNumberFormat="1">
      <alignment horizontal="left" readingOrder="0" vertical="center"/>
    </xf>
    <xf borderId="33" fillId="11" fontId="45" numFmtId="169" xfId="0" applyAlignment="1" applyBorder="1" applyFont="1" applyNumberFormat="1">
      <alignment horizontal="center" vertical="center"/>
    </xf>
    <xf borderId="1" fillId="11" fontId="12" numFmtId="0" xfId="0" applyAlignment="1" applyBorder="1" applyFont="1">
      <alignment horizontal="center" vertical="center"/>
    </xf>
    <xf borderId="1" fillId="11" fontId="26" numFmtId="0" xfId="0" applyAlignment="1" applyBorder="1" applyFont="1">
      <alignment shrinkToFit="0" vertical="center" wrapText="1"/>
    </xf>
    <xf borderId="1" fillId="2" fontId="9" numFmtId="0" xfId="0" applyBorder="1" applyFont="1"/>
    <xf borderId="36" fillId="12" fontId="73" numFmtId="3" xfId="0" applyAlignment="1" applyBorder="1" applyFont="1" applyNumberFormat="1">
      <alignment readingOrder="0" shrinkToFit="0" vertical="bottom" wrapText="1"/>
    </xf>
    <xf borderId="0" fillId="13" fontId="26" numFmtId="169" xfId="0" applyAlignment="1" applyFill="1" applyFont="1" applyNumberFormat="1">
      <alignment horizontal="center" shrinkToFit="0" vertical="center" wrapText="1"/>
    </xf>
    <xf borderId="0" fillId="13" fontId="26" numFmtId="0" xfId="0" applyAlignment="1" applyFont="1">
      <alignment shrinkToFit="0" vertical="center" wrapText="1"/>
    </xf>
    <xf borderId="0" fillId="12" fontId="45" numFmtId="3" xfId="0" applyAlignment="1" applyFont="1" applyNumberFormat="1">
      <alignment horizontal="center" readingOrder="0" vertical="center"/>
    </xf>
    <xf borderId="0" fillId="8" fontId="1" numFmtId="0" xfId="0" applyAlignment="1" applyFont="1">
      <alignment horizontal="left" readingOrder="0" shrinkToFit="0" vertical="center" wrapText="1"/>
    </xf>
    <xf borderId="0" fillId="13" fontId="45" numFmtId="169" xfId="0" applyAlignment="1" applyFont="1" applyNumberFormat="1">
      <alignment horizontal="center" vertical="center"/>
    </xf>
    <xf borderId="0" fillId="13" fontId="12" numFmtId="0" xfId="0" applyAlignment="1" applyFont="1">
      <alignment horizontal="center" vertical="center"/>
    </xf>
    <xf borderId="0" fillId="13" fontId="26" numFmtId="0" xfId="0" applyAlignment="1" applyFont="1">
      <alignment vertical="center"/>
    </xf>
    <xf borderId="1" fillId="8" fontId="9" numFmtId="0" xfId="0" applyBorder="1" applyFont="1"/>
    <xf borderId="33" fillId="12" fontId="73" numFmtId="3" xfId="0" applyAlignment="1" applyBorder="1" applyFont="1" applyNumberFormat="1">
      <alignment readingOrder="0" shrinkToFit="0" vertical="bottom" wrapText="1"/>
    </xf>
    <xf borderId="34" fillId="8" fontId="9" numFmtId="0" xfId="0" applyBorder="1" applyFont="1"/>
    <xf borderId="0" fillId="12" fontId="12" numFmtId="169" xfId="0" applyAlignment="1" applyFont="1" applyNumberFormat="1">
      <alignment vertical="bottom"/>
    </xf>
    <xf borderId="0" fillId="12" fontId="12" numFmtId="0" xfId="0" applyAlignment="1" applyFont="1">
      <alignment vertical="bottom"/>
    </xf>
    <xf borderId="0" fillId="12" fontId="12" numFmtId="3" xfId="0" applyAlignment="1" applyFont="1" applyNumberFormat="1">
      <alignment vertical="bottom"/>
    </xf>
    <xf borderId="0" fillId="12" fontId="74" numFmtId="3" xfId="0" applyAlignment="1" applyFont="1" applyNumberFormat="1">
      <alignment shrinkToFit="0" vertical="bottom" wrapText="1"/>
    </xf>
    <xf borderId="0" fillId="8" fontId="12" numFmtId="169" xfId="0" applyAlignment="1" applyFont="1" applyNumberFormat="1">
      <alignment vertical="bottom"/>
    </xf>
    <xf borderId="0" fillId="8" fontId="12" numFmtId="3" xfId="0" applyAlignment="1" applyFont="1" applyNumberFormat="1">
      <alignment vertical="bottom"/>
    </xf>
    <xf borderId="0" fillId="8" fontId="75" numFmtId="3" xfId="0" applyAlignment="1" applyFont="1" applyNumberFormat="1">
      <alignment readingOrder="0" shrinkToFit="0" vertical="bottom" wrapText="1"/>
    </xf>
    <xf borderId="0" fillId="8" fontId="76" numFmtId="3" xfId="0" applyAlignment="1" applyFont="1" applyNumberFormat="1">
      <alignment shrinkToFit="0" vertical="bottom" wrapText="1"/>
    </xf>
    <xf borderId="0" fillId="14" fontId="1" numFmtId="0" xfId="0" applyAlignment="1" applyFill="1" applyFont="1">
      <alignment horizontal="center" vertical="center"/>
    </xf>
    <xf borderId="0" fillId="14" fontId="1" numFmtId="0" xfId="0" applyAlignment="1" applyFont="1">
      <alignment horizontal="left" readingOrder="0" vertical="center"/>
    </xf>
    <xf borderId="0" fillId="14" fontId="2" numFmtId="0" xfId="0" applyAlignment="1" applyFont="1">
      <alignment horizontal="left" readingOrder="0" vertical="center"/>
    </xf>
    <xf borderId="0" fillId="14" fontId="2" numFmtId="0" xfId="0" applyAlignment="1" applyFont="1">
      <alignment horizontal="center" readingOrder="0" vertical="center"/>
    </xf>
    <xf borderId="0" fillId="14" fontId="3" numFmtId="0" xfId="0" applyAlignment="1" applyFont="1">
      <alignment horizontal="left" vertical="center"/>
    </xf>
    <xf borderId="0" fillId="14" fontId="21" numFmtId="0" xfId="0" applyAlignment="1" applyFont="1">
      <alignment vertical="center"/>
    </xf>
    <xf borderId="0" fillId="14" fontId="1" numFmtId="0" xfId="0" applyAlignment="1" applyFont="1">
      <alignment vertical="center"/>
    </xf>
    <xf borderId="0" fillId="2" fontId="2" numFmtId="0" xfId="0" applyAlignment="1" applyFont="1">
      <alignment horizontal="center" readingOrder="0" vertical="center"/>
    </xf>
    <xf borderId="28" fillId="14" fontId="2" numFmtId="0" xfId="0" applyAlignment="1" applyBorder="1" applyFont="1">
      <alignment horizontal="center" readingOrder="0" vertical="center"/>
    </xf>
    <xf borderId="28" fillId="2" fontId="77" numFmtId="0" xfId="0" applyAlignment="1" applyBorder="1" applyFont="1">
      <alignment horizontal="center" vertical="bottom"/>
    </xf>
    <xf borderId="3" fillId="2" fontId="77" numFmtId="0" xfId="0" applyAlignment="1" applyBorder="1" applyFont="1">
      <alignment horizontal="center" vertical="bottom"/>
    </xf>
    <xf borderId="3" fillId="2" fontId="50" numFmtId="164" xfId="0" applyAlignment="1" applyBorder="1" applyFont="1" applyNumberFormat="1">
      <alignment horizontal="center" readingOrder="0" vertical="bottom"/>
    </xf>
    <xf borderId="36" fillId="2" fontId="70" numFmtId="0" xfId="0" applyAlignment="1" applyBorder="1" applyFont="1">
      <alignment readingOrder="0" shrinkToFit="0" vertical="bottom" wrapText="0"/>
    </xf>
    <xf borderId="48" fillId="8" fontId="77" numFmtId="0" xfId="0" applyAlignment="1" applyBorder="1" applyFont="1">
      <alignment horizontal="center" vertical="bottom"/>
    </xf>
    <xf borderId="34" fillId="8" fontId="77" numFmtId="0" xfId="0" applyAlignment="1" applyBorder="1" applyFont="1">
      <alignment horizontal="center" vertical="bottom"/>
    </xf>
    <xf borderId="34" fillId="8" fontId="12" numFmtId="164" xfId="0" applyAlignment="1" applyBorder="1" applyFont="1" applyNumberFormat="1">
      <alignment vertical="bottom"/>
    </xf>
    <xf borderId="0" fillId="2" fontId="37" numFmtId="0" xfId="0" applyAlignment="1" applyFont="1">
      <alignment horizontal="left" vertical="center"/>
    </xf>
    <xf borderId="48" fillId="2" fontId="77" numFmtId="0" xfId="0" applyAlignment="1" applyBorder="1" applyFont="1">
      <alignment horizontal="center" vertical="bottom"/>
    </xf>
    <xf borderId="34" fillId="2" fontId="77" numFmtId="0" xfId="0" applyAlignment="1" applyBorder="1" applyFont="1">
      <alignment horizontal="center" vertical="bottom"/>
    </xf>
    <xf borderId="34" fillId="2" fontId="12" numFmtId="164" xfId="0" applyAlignment="1" applyBorder="1" applyFont="1" applyNumberFormat="1">
      <alignment vertical="bottom"/>
    </xf>
    <xf borderId="2" fillId="2" fontId="3" numFmtId="0" xfId="0" applyAlignment="1" applyBorder="1" applyFont="1">
      <alignment horizontal="left" readingOrder="0" vertical="center"/>
    </xf>
    <xf borderId="28" fillId="2" fontId="1" numFmtId="164" xfId="0" applyAlignment="1" applyBorder="1" applyFont="1" applyNumberFormat="1">
      <alignment horizontal="center" readingOrder="0" vertical="center"/>
    </xf>
    <xf borderId="0" fillId="2" fontId="32" numFmtId="0" xfId="0" applyAlignment="1" applyFont="1">
      <alignment horizontal="left" vertical="center"/>
    </xf>
    <xf borderId="2" fillId="8" fontId="3" numFmtId="0" xfId="0" applyAlignment="1" applyBorder="1" applyFont="1">
      <alignment horizontal="left" readingOrder="0" vertical="center"/>
    </xf>
    <xf borderId="28" fillId="8" fontId="1" numFmtId="164" xfId="0" applyAlignment="1" applyBorder="1" applyFont="1" applyNumberFormat="1">
      <alignment horizontal="center" readingOrder="0" vertical="center"/>
    </xf>
    <xf borderId="0" fillId="8" fontId="32" numFmtId="0" xfId="0" applyAlignment="1" applyFont="1">
      <alignment horizontal="left" vertical="center"/>
    </xf>
    <xf borderId="0" fillId="8" fontId="37" numFmtId="0" xfId="0" applyAlignment="1" applyFont="1">
      <alignment horizontal="left" vertical="center"/>
    </xf>
    <xf borderId="0" fillId="0" fontId="33" numFmtId="0" xfId="0" applyAlignment="1" applyFont="1">
      <alignment readingOrder="0" vertical="center"/>
    </xf>
    <xf borderId="0" fillId="0" fontId="32" numFmtId="0" xfId="0" applyAlignment="1" applyFont="1">
      <alignment vertical="center"/>
    </xf>
    <xf borderId="0" fillId="0" fontId="37" numFmtId="0" xfId="0" applyAlignment="1" applyFont="1">
      <alignment vertical="center"/>
    </xf>
    <xf borderId="0" fillId="14" fontId="1" numFmtId="169" xfId="0" applyAlignment="1" applyFont="1" applyNumberFormat="1">
      <alignment horizontal="center" vertical="center"/>
    </xf>
    <xf borderId="0" fillId="14" fontId="2" numFmtId="0" xfId="0" applyAlignment="1" applyFont="1">
      <alignment horizontal="center" vertical="center"/>
    </xf>
    <xf borderId="0" fillId="14" fontId="2" numFmtId="0" xfId="0" applyAlignment="1" applyFont="1">
      <alignment horizontal="left" vertical="center"/>
    </xf>
    <xf borderId="28" fillId="14" fontId="2" numFmtId="0" xfId="0" applyAlignment="1" applyBorder="1" applyFont="1">
      <alignment horizontal="center" vertical="center"/>
    </xf>
    <xf borderId="2" fillId="14" fontId="2" numFmtId="0" xfId="0" applyAlignment="1" applyBorder="1" applyFont="1">
      <alignment horizontal="center" vertical="center"/>
    </xf>
    <xf borderId="4" fillId="2" fontId="9" numFmtId="0" xfId="0" applyBorder="1" applyFont="1"/>
    <xf borderId="3" fillId="2" fontId="9" numFmtId="0" xfId="0" applyBorder="1" applyFont="1"/>
    <xf borderId="2" fillId="14" fontId="2" numFmtId="0" xfId="0" applyAlignment="1" applyBorder="1" applyFont="1">
      <alignment horizontal="left" vertical="center"/>
    </xf>
    <xf borderId="28" fillId="8" fontId="1" numFmtId="0" xfId="0" applyAlignment="1" applyBorder="1" applyFont="1">
      <alignment horizontal="center" readingOrder="0" vertical="center"/>
    </xf>
    <xf borderId="28" fillId="8" fontId="1" numFmtId="0" xfId="0" applyAlignment="1" applyBorder="1" applyFont="1">
      <alignment readingOrder="0" vertical="center"/>
    </xf>
    <xf borderId="2" fillId="8" fontId="3" numFmtId="0" xfId="0" applyAlignment="1" applyBorder="1" applyFont="1">
      <alignment horizontal="left" readingOrder="0" vertical="center"/>
    </xf>
    <xf borderId="4" fillId="8" fontId="3" numFmtId="0" xfId="0" applyAlignment="1" applyBorder="1" applyFont="1">
      <alignment horizontal="left" readingOrder="0" vertical="center"/>
    </xf>
    <xf borderId="3" fillId="8" fontId="3" numFmtId="0" xfId="0" applyAlignment="1" applyBorder="1" applyFont="1">
      <alignment horizontal="left" readingOrder="0" vertical="center"/>
    </xf>
    <xf borderId="28" fillId="8" fontId="3" numFmtId="0" xfId="0" applyAlignment="1" applyBorder="1" applyFont="1">
      <alignment horizontal="left" readingOrder="0" vertical="center"/>
    </xf>
    <xf borderId="4" fillId="8" fontId="9" numFmtId="0" xfId="0" applyBorder="1" applyFont="1"/>
    <xf borderId="3" fillId="8" fontId="9" numFmtId="0" xfId="0" applyBorder="1" applyFont="1"/>
    <xf borderId="0" fillId="8" fontId="3" numFmtId="0" xfId="0" applyAlignment="1" applyFont="1">
      <alignment horizontal="left" readingOrder="0" vertical="center"/>
    </xf>
    <xf borderId="28" fillId="2" fontId="1" numFmtId="0" xfId="0" applyAlignment="1" applyBorder="1" applyFont="1">
      <alignment horizontal="center" readingOrder="0" vertical="center"/>
    </xf>
    <xf borderId="28" fillId="2" fontId="1" numFmtId="0" xfId="0" applyAlignment="1" applyBorder="1" applyFont="1">
      <alignment readingOrder="0" vertical="center"/>
    </xf>
    <xf borderId="2" fillId="2" fontId="3" numFmtId="0" xfId="0" applyAlignment="1" applyBorder="1" applyFont="1">
      <alignment horizontal="left" readingOrder="0" vertical="center"/>
    </xf>
    <xf borderId="4" fillId="2" fontId="3" numFmtId="0" xfId="0" applyAlignment="1" applyBorder="1" applyFont="1">
      <alignment horizontal="left" readingOrder="0" vertical="center"/>
    </xf>
    <xf borderId="3" fillId="2" fontId="3" numFmtId="0" xfId="0" applyAlignment="1" applyBorder="1" applyFont="1">
      <alignment horizontal="left" readingOrder="0" vertical="center"/>
    </xf>
    <xf borderId="28" fillId="2" fontId="3" numFmtId="0" xfId="0" applyAlignment="1" applyBorder="1" applyFont="1">
      <alignment horizontal="left" readingOrder="0" vertical="center"/>
    </xf>
    <xf borderId="0" fillId="2" fontId="3" numFmtId="0" xfId="0" applyAlignment="1" applyFont="1">
      <alignment horizontal="left" readingOrder="0" vertical="center"/>
    </xf>
    <xf borderId="0" fillId="14" fontId="2" numFmtId="0" xfId="0" applyAlignment="1" applyFont="1">
      <alignment horizontal="center" readingOrder="0" shrinkToFit="0" textRotation="0" vertical="center" wrapText="1"/>
    </xf>
    <xf borderId="0" fillId="14" fontId="2" numFmtId="0" xfId="0" applyAlignment="1" applyFont="1">
      <alignment horizontal="left" readingOrder="0" shrinkToFit="0" textRotation="0" vertical="center" wrapText="0"/>
    </xf>
    <xf borderId="28" fillId="14" fontId="2" numFmtId="0" xfId="0" applyAlignment="1" applyBorder="1" applyFont="1">
      <alignment horizontal="center" readingOrder="0" shrinkToFit="0" textRotation="0" vertical="center" wrapText="1"/>
    </xf>
    <xf borderId="2" fillId="14" fontId="2" numFmtId="0" xfId="0" applyAlignment="1" applyBorder="1" applyFont="1">
      <alignment horizontal="center" readingOrder="0" shrinkToFit="0" textRotation="0" vertical="center" wrapText="1"/>
    </xf>
    <xf borderId="0" fillId="10" fontId="1" numFmtId="169" xfId="0" applyAlignment="1" applyFont="1" applyNumberFormat="1">
      <alignment horizontal="center" vertical="center"/>
    </xf>
    <xf borderId="0" fillId="10" fontId="1" numFmtId="0" xfId="0" applyAlignment="1" applyFont="1">
      <alignment vertical="center"/>
    </xf>
    <xf borderId="28" fillId="0" fontId="23" numFmtId="0" xfId="0" applyAlignment="1" applyBorder="1" applyFont="1">
      <alignment horizontal="center" readingOrder="0" vertical="center"/>
    </xf>
    <xf borderId="2" fillId="0" fontId="23"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8" fontId="23" numFmtId="0" xfId="0" applyAlignment="1" applyBorder="1" applyFont="1">
      <alignment horizontal="center" readingOrder="0" vertical="center"/>
    </xf>
    <xf borderId="0" fillId="8" fontId="12" numFmtId="169" xfId="0" applyFont="1" applyNumberFormat="1"/>
    <xf borderId="32" fillId="7" fontId="78" numFmtId="0" xfId="0" applyAlignment="1" applyBorder="1" applyFont="1">
      <alignment horizontal="center" shrinkToFit="0" wrapText="1"/>
    </xf>
    <xf borderId="3" fillId="7" fontId="78" numFmtId="0" xfId="0" applyAlignment="1" applyBorder="1" applyFont="1">
      <alignment horizontal="center" readingOrder="0" shrinkToFit="0" wrapText="1"/>
    </xf>
    <xf borderId="2" fillId="7" fontId="78" numFmtId="0" xfId="0" applyAlignment="1" applyBorder="1" applyFont="1">
      <alignment horizontal="center" readingOrder="0" shrinkToFit="0" vertical="bottom" wrapText="1"/>
    </xf>
    <xf borderId="4" fillId="7" fontId="78" numFmtId="0" xfId="0" applyAlignment="1" applyBorder="1" applyFont="1">
      <alignment horizontal="center" shrinkToFit="0" wrapText="1"/>
    </xf>
    <xf borderId="32" fillId="7" fontId="79" numFmtId="0" xfId="0" applyAlignment="1" applyBorder="1" applyFont="1">
      <alignment horizontal="center" vertical="top"/>
    </xf>
    <xf borderId="32" fillId="7" fontId="78" numFmtId="0" xfId="0" applyAlignment="1" applyBorder="1" applyFont="1">
      <alignment horizontal="center" shrinkToFit="0" vertical="bottom" wrapText="1"/>
    </xf>
    <xf borderId="37" fillId="7" fontId="78" numFmtId="0" xfId="0" applyAlignment="1" applyBorder="1" applyFont="1">
      <alignment horizontal="center" shrinkToFit="0" vertical="bottom" wrapText="1"/>
    </xf>
    <xf borderId="37" fillId="7" fontId="78" numFmtId="0" xfId="0" applyAlignment="1" applyBorder="1" applyFont="1">
      <alignment horizontal="center" readingOrder="0" shrinkToFit="0" vertical="bottom" wrapText="1"/>
    </xf>
    <xf borderId="32" fillId="7" fontId="78" numFmtId="0" xfId="0" applyAlignment="1" applyBorder="1" applyFont="1">
      <alignment horizontal="center" readingOrder="0" shrinkToFit="0" vertical="bottom" wrapText="1"/>
    </xf>
    <xf borderId="32" fillId="7" fontId="79" numFmtId="0" xfId="0" applyAlignment="1" applyBorder="1" applyFont="1">
      <alignment horizontal="center"/>
    </xf>
    <xf borderId="0" fillId="2" fontId="12" numFmtId="169" xfId="0" applyFont="1" applyNumberFormat="1"/>
    <xf borderId="34" fillId="2" fontId="45" numFmtId="0" xfId="0" applyAlignment="1" applyBorder="1" applyFont="1">
      <alignment horizontal="center" readingOrder="0"/>
    </xf>
    <xf borderId="33" fillId="2" fontId="45" numFmtId="0" xfId="0" applyAlignment="1" applyBorder="1" applyFont="1">
      <alignment horizontal="center" vertical="bottom"/>
    </xf>
    <xf borderId="34" fillId="2" fontId="9" numFmtId="0" xfId="0" applyBorder="1" applyFont="1"/>
    <xf borderId="1" fillId="2" fontId="45" numFmtId="0" xfId="0" applyAlignment="1" applyBorder="1" applyFont="1">
      <alignment horizontal="center"/>
    </xf>
    <xf borderId="0" fillId="8" fontId="45" numFmtId="169" xfId="0" applyAlignment="1" applyFont="1" applyNumberFormat="1">
      <alignment horizontal="center" vertical="center"/>
    </xf>
    <xf borderId="37" fillId="8" fontId="12" numFmtId="0" xfId="0" applyAlignment="1" applyBorder="1" applyFont="1">
      <alignment vertical="center"/>
    </xf>
    <xf borderId="34" fillId="8" fontId="45" numFmtId="1" xfId="0" applyAlignment="1" applyBorder="1" applyFont="1" applyNumberFormat="1">
      <alignment horizontal="center" vertical="center"/>
    </xf>
    <xf borderId="28" fillId="15" fontId="50" numFmtId="0" xfId="0" applyAlignment="1" applyBorder="1" applyFill="1" applyFont="1">
      <alignment horizontal="center" readingOrder="0" shrinkToFit="0" vertical="center" wrapText="1"/>
    </xf>
    <xf borderId="33" fillId="8" fontId="80" numFmtId="0" xfId="0" applyAlignment="1" applyBorder="1" applyFont="1">
      <alignment horizontal="center" readingOrder="0" vertical="center"/>
    </xf>
    <xf borderId="34" fillId="8" fontId="81" numFmtId="0" xfId="0" applyAlignment="1" applyBorder="1" applyFont="1">
      <alignment horizontal="center" readingOrder="0" vertical="center"/>
    </xf>
    <xf borderId="1" fillId="8" fontId="2" numFmtId="0" xfId="0" applyAlignment="1" applyBorder="1" applyFont="1">
      <alignment horizontal="center" readingOrder="0" shrinkToFit="0" textRotation="0" vertical="center" wrapText="1"/>
    </xf>
    <xf borderId="1" fillId="8" fontId="1" numFmtId="0" xfId="0" applyAlignment="1" applyBorder="1" applyFont="1">
      <alignment vertical="center"/>
    </xf>
    <xf borderId="35" fillId="15" fontId="45" numFmtId="173" xfId="0" applyAlignment="1" applyBorder="1" applyFont="1" applyNumberFormat="1">
      <alignment horizontal="center" readingOrder="0" vertical="center"/>
    </xf>
    <xf borderId="35" fillId="8" fontId="45" numFmtId="0" xfId="0" applyAlignment="1" applyBorder="1" applyFont="1">
      <alignment horizontal="center" vertical="center"/>
    </xf>
    <xf borderId="32" fillId="8" fontId="45" numFmtId="3" xfId="0" applyAlignment="1" applyBorder="1" applyFont="1" applyNumberFormat="1">
      <alignment horizontal="center" readingOrder="0" vertical="center"/>
    </xf>
    <xf borderId="35" fillId="8" fontId="12" numFmtId="174" xfId="0" applyAlignment="1" applyBorder="1" applyFont="1" applyNumberFormat="1">
      <alignment readingOrder="0" vertical="center"/>
    </xf>
    <xf borderId="35" fillId="8" fontId="12" numFmtId="0" xfId="0" applyAlignment="1" applyBorder="1" applyFont="1">
      <alignment vertical="center"/>
    </xf>
    <xf borderId="0" fillId="8" fontId="12" numFmtId="0" xfId="0" applyAlignment="1" applyFont="1">
      <alignment vertical="center"/>
    </xf>
    <xf borderId="0" fillId="8" fontId="12" numFmtId="174" xfId="0" applyAlignment="1" applyFont="1" applyNumberFormat="1">
      <alignment vertical="center"/>
    </xf>
    <xf borderId="0" fillId="8" fontId="9" numFmtId="0" xfId="0" applyAlignment="1" applyFont="1">
      <alignment vertical="center"/>
    </xf>
    <xf borderId="34" fillId="0" fontId="45" numFmtId="1" xfId="0" applyAlignment="1" applyBorder="1" applyFont="1" applyNumberFormat="1">
      <alignment horizontal="center" readingOrder="0" vertical="center"/>
    </xf>
    <xf borderId="48" fillId="11" fontId="50" numFmtId="0" xfId="0" applyAlignment="1" applyBorder="1" applyFont="1">
      <alignment horizontal="center" readingOrder="0" shrinkToFit="0" vertical="center" wrapText="1"/>
    </xf>
    <xf borderId="48" fillId="2" fontId="12" numFmtId="0" xfId="0" applyAlignment="1" applyBorder="1" applyFont="1">
      <alignment vertical="center"/>
    </xf>
    <xf borderId="33" fillId="2" fontId="80" numFmtId="0" xfId="0" applyAlignment="1" applyBorder="1" applyFont="1">
      <alignment horizontal="center" readingOrder="0" vertical="center"/>
    </xf>
    <xf borderId="1" fillId="2" fontId="2" numFmtId="0" xfId="0" applyAlignment="1" applyBorder="1" applyFont="1">
      <alignment horizontal="center" readingOrder="0" shrinkToFit="0" textRotation="0" vertical="center" wrapText="1"/>
    </xf>
    <xf borderId="1" fillId="2" fontId="1" numFmtId="0" xfId="0" applyAlignment="1" applyBorder="1" applyFont="1">
      <alignment vertical="center"/>
    </xf>
    <xf borderId="38" fillId="2" fontId="9" numFmtId="0" xfId="0" applyBorder="1" applyFont="1"/>
    <xf borderId="0" fillId="2" fontId="9" numFmtId="0" xfId="0" applyAlignment="1" applyFont="1">
      <alignment vertical="center"/>
    </xf>
    <xf borderId="0" fillId="2" fontId="45" numFmtId="169" xfId="0" applyAlignment="1" applyFont="1" applyNumberFormat="1">
      <alignment horizontal="center" vertical="center"/>
    </xf>
    <xf borderId="37" fillId="2" fontId="12" numFmtId="0" xfId="0" applyAlignment="1" applyBorder="1" applyFont="1">
      <alignment vertical="center"/>
    </xf>
    <xf borderId="34" fillId="8" fontId="45" numFmtId="1" xfId="0" applyAlignment="1" applyBorder="1" applyFont="1" applyNumberFormat="1">
      <alignment horizontal="center" readingOrder="0" vertical="center"/>
    </xf>
    <xf borderId="28" fillId="16" fontId="50" numFmtId="0" xfId="0" applyAlignment="1" applyBorder="1" applyFill="1" applyFont="1">
      <alignment horizontal="center" vertical="center"/>
    </xf>
    <xf borderId="28" fillId="8" fontId="12" numFmtId="0" xfId="0" applyAlignment="1" applyBorder="1" applyFont="1">
      <alignment vertical="center"/>
    </xf>
    <xf borderId="48" fillId="8" fontId="9" numFmtId="0" xfId="0" applyBorder="1" applyFont="1"/>
    <xf borderId="0" fillId="2" fontId="12" numFmtId="0" xfId="0" applyAlignment="1" applyFont="1">
      <alignment vertical="center"/>
    </xf>
    <xf borderId="0" fillId="0" fontId="45" numFmtId="1" xfId="0" applyAlignment="1" applyFont="1" applyNumberFormat="1">
      <alignment horizontal="center"/>
    </xf>
    <xf borderId="0" fillId="0" fontId="12" numFmtId="0" xfId="0" applyFont="1"/>
    <xf borderId="0" fillId="0" fontId="50" numFmtId="0" xfId="0" applyAlignment="1" applyFont="1">
      <alignment horizontal="center" vertical="bottom"/>
    </xf>
    <xf borderId="0" fillId="2" fontId="50" numFmtId="0" xfId="0" applyAlignment="1" applyFont="1">
      <alignment horizontal="center" vertical="bottom"/>
    </xf>
    <xf borderId="0" fillId="2" fontId="2" numFmtId="0" xfId="0" applyAlignment="1" applyFont="1">
      <alignment horizontal="center" readingOrder="0" shrinkToFit="0" textRotation="0" vertical="center" wrapText="1"/>
    </xf>
    <xf borderId="0" fillId="7" fontId="79" numFmtId="0" xfId="0" applyAlignment="1" applyFont="1">
      <alignment horizontal="center" vertical="top"/>
    </xf>
    <xf borderId="0" fillId="2" fontId="82" numFmtId="0" xfId="0" applyAlignment="1" applyFont="1">
      <alignment vertical="bottom"/>
    </xf>
    <xf borderId="0" fillId="7" fontId="79" numFmtId="0" xfId="0" applyAlignment="1" applyFont="1">
      <alignment horizontal="center"/>
    </xf>
    <xf borderId="0" fillId="8" fontId="50" numFmtId="0" xfId="0" applyAlignment="1" applyFont="1">
      <alignment horizontal="center" vertical="bottom"/>
    </xf>
    <xf borderId="0" fillId="8" fontId="2" numFmtId="0" xfId="0" applyAlignment="1" applyFont="1">
      <alignment horizontal="center" readingOrder="0" shrinkToFit="0" textRotation="0" vertical="center" wrapText="1"/>
    </xf>
    <xf borderId="0" fillId="2" fontId="41" numFmtId="0" xfId="0" applyAlignment="1" applyFont="1">
      <alignment horizontal="left" readingOrder="0" vertical="center"/>
    </xf>
    <xf borderId="0" fillId="8" fontId="1" numFmtId="171" xfId="0" applyAlignment="1" applyFont="1" applyNumberFormat="1">
      <alignment horizontal="left" readingOrder="0" vertical="center"/>
    </xf>
    <xf borderId="0" fillId="2" fontId="1" numFmtId="171" xfId="0" applyAlignment="1" applyFont="1" applyNumberFormat="1">
      <alignment horizontal="left" readingOrder="0" vertical="center"/>
    </xf>
    <xf borderId="0" fillId="2" fontId="1" numFmtId="0" xfId="0" applyAlignment="1" applyFont="1">
      <alignment vertical="center"/>
    </xf>
    <xf borderId="0" fillId="0" fontId="23" numFmtId="0" xfId="0" applyAlignment="1" applyFont="1">
      <alignment vertical="center"/>
    </xf>
    <xf borderId="0" fillId="8" fontId="2" numFmtId="0" xfId="0" applyAlignment="1" applyFont="1">
      <alignment readingOrder="0" vertical="center"/>
    </xf>
    <xf borderId="0" fillId="2" fontId="1" numFmtId="0" xfId="0" applyAlignment="1" applyFont="1">
      <alignment readingOrder="0" vertical="center"/>
    </xf>
    <xf borderId="0" fillId="2" fontId="1" numFmtId="0" xfId="0" applyAlignment="1" applyFont="1">
      <alignment horizontal="left" vertical="center"/>
    </xf>
    <xf borderId="0" fillId="8" fontId="1" numFmtId="0" xfId="0" applyAlignment="1" applyFont="1">
      <alignment readingOrder="0" vertical="center"/>
    </xf>
    <xf borderId="0" fillId="7" fontId="3" numFmtId="0" xfId="0" applyAlignment="1" applyFont="1">
      <alignment readingOrder="0" vertical="center"/>
    </xf>
    <xf borderId="0" fillId="7" fontId="72" numFmtId="49" xfId="0" applyAlignment="1" applyFont="1" applyNumberFormat="1">
      <alignment horizontal="center" readingOrder="0" vertical="center"/>
    </xf>
    <xf borderId="0" fillId="7" fontId="2" numFmtId="49" xfId="0" applyAlignment="1" applyFont="1" applyNumberFormat="1">
      <alignment horizontal="center" readingOrder="0" vertical="center"/>
    </xf>
    <xf borderId="0" fillId="7" fontId="72" numFmtId="49" xfId="0" applyAlignment="1" applyFont="1" applyNumberFormat="1">
      <alignment horizontal="left" readingOrder="0" vertical="center"/>
    </xf>
    <xf borderId="0" fillId="2" fontId="1" numFmtId="3" xfId="0" applyAlignment="1" applyFont="1" applyNumberFormat="1">
      <alignment horizontal="center" readingOrder="0" vertical="center"/>
    </xf>
    <xf borderId="0" fillId="2" fontId="1" numFmtId="3" xfId="0" applyAlignment="1" applyFont="1" applyNumberFormat="1">
      <alignment horizontal="left" readingOrder="0" vertical="center"/>
    </xf>
    <xf borderId="0" fillId="2" fontId="3" numFmtId="0" xfId="0" applyAlignment="1" applyFont="1">
      <alignment horizontal="left" readingOrder="0" vertical="center"/>
    </xf>
    <xf borderId="0" fillId="8" fontId="3" numFmtId="0" xfId="0" applyFont="1"/>
    <xf borderId="0" fillId="8" fontId="1" numFmtId="3" xfId="0" applyAlignment="1" applyFont="1" applyNumberFormat="1">
      <alignment horizontal="center" readingOrder="0" vertical="center"/>
    </xf>
    <xf borderId="0" fillId="8" fontId="3" numFmtId="0" xfId="0" applyAlignment="1" applyFont="1">
      <alignment horizontal="left" readingOrder="0" vertical="center"/>
    </xf>
    <xf borderId="0" fillId="8" fontId="1" numFmtId="3" xfId="0" applyAlignment="1" applyFont="1" applyNumberFormat="1">
      <alignment readingOrder="0" vertical="center"/>
    </xf>
    <xf borderId="0" fillId="2" fontId="1" numFmtId="3" xfId="0" applyAlignment="1" applyFont="1" applyNumberFormat="1">
      <alignment readingOrder="0" vertical="center"/>
    </xf>
    <xf borderId="2" fillId="2" fontId="67" numFmtId="0" xfId="0" applyAlignment="1" applyBorder="1" applyFont="1">
      <alignment horizontal="center" readingOrder="0" vertical="center"/>
    </xf>
    <xf borderId="28" fillId="2" fontId="23" numFmtId="164" xfId="0" applyAlignment="1" applyBorder="1" applyFont="1" applyNumberFormat="1">
      <alignment horizontal="center" readingOrder="0" vertical="center"/>
    </xf>
    <xf borderId="2" fillId="8" fontId="67" numFmtId="0" xfId="0" applyAlignment="1" applyBorder="1" applyFont="1">
      <alignment horizontal="center" readingOrder="0" vertical="center"/>
    </xf>
    <xf borderId="28" fillId="8" fontId="23" numFmtId="164" xfId="0" applyAlignment="1" applyBorder="1" applyFont="1" applyNumberFormat="1">
      <alignment horizontal="center" readingOrder="0" vertical="center"/>
    </xf>
    <xf borderId="2" fillId="8" fontId="3" numFmtId="0" xfId="0" applyAlignment="1" applyBorder="1" applyFont="1">
      <alignment horizontal="left" vertical="center"/>
    </xf>
    <xf borderId="0" fillId="6" fontId="1" numFmtId="0" xfId="0" applyAlignment="1" applyFont="1">
      <alignment vertical="center"/>
    </xf>
    <xf borderId="0" fillId="8" fontId="1" numFmtId="169" xfId="0" applyAlignment="1" applyFont="1" applyNumberFormat="1">
      <alignment horizontal="center" shrinkToFit="0" textRotation="0" vertical="center" wrapText="1"/>
    </xf>
    <xf borderId="0" fillId="8" fontId="1" numFmtId="0" xfId="0" applyAlignment="1" applyFont="1">
      <alignment horizontal="center" shrinkToFit="0" textRotation="0" vertical="center" wrapText="1"/>
    </xf>
    <xf borderId="30" fillId="7" fontId="2" numFmtId="0" xfId="0" applyAlignment="1" applyBorder="1" applyFont="1">
      <alignment horizontal="center" readingOrder="0" shrinkToFit="0" textRotation="0" vertical="center" wrapText="1"/>
    </xf>
    <xf borderId="32" fillId="7" fontId="9" numFmtId="0" xfId="0" applyBorder="1" applyFont="1"/>
    <xf borderId="35" fillId="7" fontId="2" numFmtId="0" xfId="0" applyAlignment="1" applyBorder="1" applyFont="1">
      <alignment horizontal="center" readingOrder="0" shrinkToFit="0" textRotation="0" vertical="center" wrapText="1"/>
    </xf>
    <xf borderId="28" fillId="7" fontId="2" numFmtId="0" xfId="0" applyAlignment="1" applyBorder="1" applyFont="1">
      <alignment horizontal="center" readingOrder="0" shrinkToFit="0" textRotation="0" vertical="center" wrapText="1"/>
    </xf>
    <xf borderId="2" fillId="7" fontId="2" numFmtId="0" xfId="0" applyAlignment="1" applyBorder="1" applyFont="1">
      <alignment horizontal="center" readingOrder="0" shrinkToFit="0" textRotation="0" vertical="center" wrapText="1"/>
    </xf>
    <xf borderId="3" fillId="7" fontId="9" numFmtId="0" xfId="0" applyBorder="1" applyFont="1"/>
    <xf borderId="35" fillId="7" fontId="72" numFmtId="0" xfId="0" applyAlignment="1" applyBorder="1" applyFont="1">
      <alignment horizontal="center" readingOrder="0" textRotation="90" vertical="center"/>
    </xf>
    <xf borderId="2" fillId="7" fontId="72" numFmtId="0" xfId="0" applyAlignment="1" applyBorder="1" applyFont="1">
      <alignment horizontal="center" readingOrder="0" textRotation="90" vertical="center"/>
    </xf>
    <xf borderId="33" fillId="2" fontId="9" numFmtId="0" xfId="0" applyBorder="1" applyFont="1"/>
    <xf borderId="48" fillId="2" fontId="9" numFmtId="0" xfId="0" applyBorder="1" applyFont="1"/>
    <xf borderId="2" fillId="2" fontId="1" numFmtId="0" xfId="0" applyAlignment="1" applyBorder="1" applyFont="1">
      <alignment horizontal="center" readingOrder="0" vertical="center"/>
    </xf>
    <xf borderId="2" fillId="2" fontId="72" numFmtId="0" xfId="0" applyAlignment="1" applyBorder="1" applyFont="1">
      <alignment horizontal="center" readingOrder="0" textRotation="90" vertical="center"/>
    </xf>
    <xf borderId="2" fillId="8" fontId="1" numFmtId="0" xfId="0" applyAlignment="1" applyBorder="1" applyFont="1">
      <alignment horizontal="center" vertical="center"/>
    </xf>
    <xf borderId="28" fillId="8" fontId="1" numFmtId="1" xfId="0" applyAlignment="1" applyBorder="1" applyFont="1" applyNumberFormat="1">
      <alignment horizontal="center" readingOrder="0" vertical="center"/>
    </xf>
    <xf borderId="28" fillId="8" fontId="23" numFmtId="0" xfId="0" applyAlignment="1" applyBorder="1" applyFont="1">
      <alignment horizontal="center" readingOrder="0" vertical="center"/>
    </xf>
    <xf borderId="38" fillId="8" fontId="9" numFmtId="0" xfId="0" applyBorder="1" applyFont="1"/>
    <xf borderId="2" fillId="8" fontId="72" numFmtId="0" xfId="0" applyAlignment="1" applyBorder="1" applyFont="1">
      <alignment horizontal="center" readingOrder="0" textRotation="90" vertical="center"/>
    </xf>
    <xf borderId="2" fillId="2" fontId="1" numFmtId="0" xfId="0" applyAlignment="1" applyBorder="1" applyFont="1">
      <alignment horizontal="center" vertical="center"/>
    </xf>
    <xf borderId="28" fillId="2" fontId="1" numFmtId="1" xfId="0" applyAlignment="1" applyBorder="1" applyFont="1" applyNumberFormat="1">
      <alignment horizontal="center" readingOrder="0" vertical="center"/>
    </xf>
    <xf borderId="28" fillId="2" fontId="23" numFmtId="0" xfId="0" applyAlignment="1" applyBorder="1" applyFont="1">
      <alignment horizontal="center" readingOrder="0" vertical="center"/>
    </xf>
    <xf borderId="2" fillId="8" fontId="1" numFmtId="0" xfId="0" applyAlignment="1" applyBorder="1" applyFont="1">
      <alignment horizontal="center" readingOrder="0" vertical="center"/>
    </xf>
    <xf borderId="0" fillId="6" fontId="33" numFmtId="0" xfId="0" applyAlignment="1" applyFont="1">
      <alignment horizontal="center" readingOrder="0" vertical="center"/>
    </xf>
    <xf borderId="0" fillId="0" fontId="2" numFmtId="0" xfId="0" applyAlignment="1" applyFont="1">
      <alignment horizontal="center" readingOrder="0" vertical="center"/>
    </xf>
    <xf borderId="0" fillId="2" fontId="26" numFmtId="0" xfId="0" applyFont="1"/>
    <xf borderId="0" fillId="2" fontId="26" numFmtId="0" xfId="0" applyAlignment="1" applyFont="1">
      <alignment horizontal="left"/>
    </xf>
    <xf borderId="0" fillId="2" fontId="12" numFmtId="0" xfId="0" applyAlignment="1" applyFont="1">
      <alignment horizontal="left"/>
    </xf>
    <xf borderId="0" fillId="2" fontId="2" numFmtId="0" xfId="0" applyAlignment="1" applyFont="1">
      <alignment horizontal="center" readingOrder="0" vertical="center"/>
    </xf>
    <xf borderId="0" fillId="8" fontId="26" numFmtId="0" xfId="0" applyFont="1"/>
    <xf borderId="0" fillId="8" fontId="26" numFmtId="0" xfId="0" applyAlignment="1" applyFont="1">
      <alignment horizontal="left"/>
    </xf>
    <xf borderId="0" fillId="8" fontId="12" numFmtId="0" xfId="0" applyAlignment="1" applyFont="1">
      <alignment horizontal="left"/>
    </xf>
    <xf borderId="0" fillId="8" fontId="12" numFmtId="0" xfId="0" applyAlignment="1" applyFont="1">
      <alignment horizontal="left"/>
    </xf>
    <xf borderId="0" fillId="8" fontId="2" numFmtId="0" xfId="0" applyAlignment="1" applyFont="1">
      <alignment horizontal="center" readingOrder="0" vertical="center"/>
    </xf>
    <xf borderId="15" fillId="2" fontId="26" numFmtId="0" xfId="0" applyAlignment="1" applyBorder="1" applyFont="1">
      <alignment shrinkToFit="0" wrapText="0"/>
    </xf>
    <xf borderId="15" fillId="2" fontId="26" numFmtId="0" xfId="0" applyBorder="1" applyFont="1"/>
    <xf borderId="0" fillId="2" fontId="12" numFmtId="0" xfId="0" applyAlignment="1" applyFont="1">
      <alignment horizontal="left"/>
    </xf>
    <xf borderId="0" fillId="8" fontId="83" numFmtId="0" xfId="0" applyFont="1"/>
    <xf borderId="0" fillId="8" fontId="77" numFmtId="0" xfId="0" applyAlignment="1" applyFont="1">
      <alignment horizontal="left"/>
    </xf>
    <xf borderId="0" fillId="2" fontId="77" numFmtId="0" xfId="0" applyAlignment="1" applyFont="1">
      <alignment horizontal="left"/>
    </xf>
    <xf borderId="0" fillId="8" fontId="26" numFmtId="171" xfId="0" applyAlignment="1" applyFont="1" applyNumberFormat="1">
      <alignment horizontal="left"/>
    </xf>
    <xf borderId="0" fillId="8" fontId="46" numFmtId="172" xfId="0" applyAlignment="1" applyFont="1" applyNumberFormat="1">
      <alignment horizontal="left"/>
    </xf>
    <xf borderId="0" fillId="2" fontId="26" numFmtId="171" xfId="0" applyAlignment="1" applyFont="1" applyNumberFormat="1">
      <alignment horizontal="left"/>
    </xf>
    <xf borderId="0" fillId="2" fontId="46" numFmtId="172" xfId="0" applyAlignment="1" applyFont="1" applyNumberFormat="1">
      <alignment horizontal="left"/>
    </xf>
    <xf borderId="0" fillId="8" fontId="26" numFmtId="0" xfId="0" applyAlignment="1" applyFont="1">
      <alignment horizontal="left"/>
    </xf>
    <xf borderId="0" fillId="2" fontId="26" numFmtId="0" xfId="0" applyAlignment="1" applyFont="1">
      <alignment horizontal="left"/>
    </xf>
    <xf borderId="0" fillId="2" fontId="43" numFmtId="0" xfId="0" applyAlignment="1" applyFont="1">
      <alignment horizontal="left" readingOrder="0"/>
    </xf>
    <xf borderId="0" fillId="8" fontId="9" numFmtId="0" xfId="0" applyAlignment="1" applyFont="1">
      <alignment readingOrder="0"/>
    </xf>
    <xf borderId="0" fillId="5" fontId="1" numFmtId="0" xfId="0" applyAlignment="1" applyFont="1">
      <alignment horizontal="left" shrinkToFit="0" vertical="center" wrapText="1"/>
    </xf>
    <xf borderId="0" fillId="0" fontId="37" numFmtId="0" xfId="0" applyAlignment="1" applyFont="1">
      <alignment horizontal="center" vertical="center"/>
    </xf>
    <xf borderId="0" fillId="0" fontId="34" numFmtId="0" xfId="0" applyAlignment="1" applyFont="1">
      <alignment horizontal="center" readingOrder="0" vertical="center"/>
    </xf>
    <xf borderId="0" fillId="2" fontId="21" numFmtId="0" xfId="0" applyAlignment="1" applyFont="1">
      <alignment vertical="center"/>
    </xf>
    <xf borderId="0" fillId="7" fontId="45" numFmtId="169" xfId="0" applyAlignment="1" applyFont="1" applyNumberFormat="1">
      <alignment horizontal="center" shrinkToFit="0" wrapText="0"/>
    </xf>
    <xf borderId="0" fillId="7" fontId="45" numFmtId="0" xfId="0" applyAlignment="1" applyFont="1">
      <alignment horizontal="center" shrinkToFit="0" wrapText="0"/>
    </xf>
    <xf borderId="0" fillId="7" fontId="78" numFmtId="0" xfId="0" applyAlignment="1" applyFont="1">
      <alignment readingOrder="0" shrinkToFit="0" wrapText="0"/>
    </xf>
    <xf borderId="0" fillId="7" fontId="45" numFmtId="0" xfId="0" applyAlignment="1" applyFont="1">
      <alignment shrinkToFit="0" wrapText="0"/>
    </xf>
    <xf borderId="0" fillId="7" fontId="0" numFmtId="0" xfId="0" applyAlignment="1" applyFont="1">
      <alignment shrinkToFit="0" vertical="bottom" wrapText="0"/>
    </xf>
    <xf borderId="0" fillId="2" fontId="45" numFmtId="169" xfId="0" applyAlignment="1" applyFont="1" applyNumberFormat="1">
      <alignment horizontal="center" readingOrder="0" shrinkToFit="0" wrapText="0"/>
    </xf>
    <xf borderId="0" fillId="2" fontId="45" numFmtId="0" xfId="0" applyAlignment="1" applyFont="1">
      <alignment horizontal="center" shrinkToFit="0" wrapText="0"/>
    </xf>
    <xf borderId="0" fillId="2" fontId="45" numFmtId="0" xfId="0" applyAlignment="1" applyFont="1">
      <alignment shrinkToFit="0" wrapText="0"/>
    </xf>
    <xf borderId="0" fillId="2" fontId="0" numFmtId="0" xfId="0" applyAlignment="1" applyFont="1">
      <alignment shrinkToFit="0" vertical="bottom" wrapText="0"/>
    </xf>
    <xf borderId="0" fillId="8" fontId="45" numFmtId="169" xfId="0" applyAlignment="1" applyFont="1" applyNumberFormat="1">
      <alignment horizontal="center" readingOrder="0" shrinkToFit="0" wrapText="0"/>
    </xf>
    <xf borderId="0" fillId="8" fontId="78" numFmtId="0" xfId="0" applyAlignment="1" applyFont="1">
      <alignment horizontal="center" shrinkToFit="0" wrapText="0"/>
    </xf>
    <xf borderId="0" fillId="8" fontId="84" numFmtId="0" xfId="0" applyAlignment="1" applyFont="1">
      <alignment readingOrder="0"/>
    </xf>
    <xf borderId="0" fillId="8" fontId="45" numFmtId="0" xfId="0" applyAlignment="1" applyFont="1">
      <alignment shrinkToFit="0" wrapText="0"/>
    </xf>
    <xf borderId="0" fillId="8" fontId="45" numFmtId="0" xfId="0" applyAlignment="1" applyFont="1">
      <alignment shrinkToFit="0" wrapText="0"/>
    </xf>
    <xf borderId="0" fillId="8" fontId="0" numFmtId="0" xfId="0" applyAlignment="1" applyFont="1">
      <alignment shrinkToFit="0" vertical="bottom" wrapText="0"/>
    </xf>
    <xf borderId="0" fillId="2" fontId="78" numFmtId="0" xfId="0" applyAlignment="1" applyFont="1">
      <alignment horizontal="center" shrinkToFit="0" wrapText="0"/>
    </xf>
    <xf borderId="0" fillId="2" fontId="85" numFmtId="0" xfId="0" applyAlignment="1" applyFont="1">
      <alignment readingOrder="0" shrinkToFit="0" wrapText="0"/>
    </xf>
    <xf borderId="0" fillId="2" fontId="45" numFmtId="0" xfId="0" applyAlignment="1" applyFont="1">
      <alignment shrinkToFit="0" wrapText="0"/>
    </xf>
    <xf borderId="0" fillId="8" fontId="86" numFmtId="0" xfId="0" applyAlignment="1" applyFont="1">
      <alignment horizontal="center" shrinkToFit="0" wrapText="0"/>
    </xf>
    <xf borderId="0" fillId="8" fontId="45" numFmtId="0" xfId="0" applyAlignment="1" applyFont="1">
      <alignment readingOrder="0" shrinkToFit="0" wrapText="0"/>
    </xf>
    <xf borderId="0" fillId="8" fontId="87" numFmtId="0" xfId="0" applyAlignment="1" applyFont="1">
      <alignment shrinkToFit="0" wrapText="0"/>
    </xf>
    <xf borderId="0" fillId="8" fontId="33" numFmtId="0" xfId="0" applyAlignment="1" applyFont="1">
      <alignment horizontal="center" readingOrder="0" vertical="center"/>
    </xf>
    <xf borderId="0" fillId="2" fontId="2" numFmtId="0" xfId="0" applyAlignment="1" applyFont="1">
      <alignment readingOrder="0" vertical="center"/>
    </xf>
    <xf borderId="0" fillId="13" fontId="23" numFmtId="0" xfId="0" applyAlignment="1" applyFont="1">
      <alignment horizontal="left" readingOrder="0" vertical="center"/>
    </xf>
    <xf borderId="0" fillId="13" fontId="23" numFmtId="0" xfId="0" applyAlignment="1" applyFont="1">
      <alignment readingOrder="0" vertical="center"/>
    </xf>
    <xf borderId="0" fillId="13" fontId="2" numFmtId="0" xfId="0" applyAlignment="1" applyFont="1">
      <alignment horizontal="left" readingOrder="0" vertical="center"/>
    </xf>
    <xf borderId="0" fillId="2" fontId="45" numFmtId="169" xfId="0" applyAlignment="1" applyFont="1" applyNumberFormat="1">
      <alignment horizontal="center" shrinkToFit="0" wrapText="0"/>
    </xf>
    <xf borderId="0" fillId="2" fontId="50" numFmtId="0" xfId="0" applyAlignment="1" applyFont="1">
      <alignment readingOrder="0" shrinkToFit="0" wrapText="0"/>
    </xf>
    <xf borderId="0" fillId="8" fontId="45" numFmtId="169" xfId="0" applyAlignment="1" applyFont="1" applyNumberFormat="1">
      <alignment horizontal="center" shrinkToFit="0" wrapText="0"/>
    </xf>
    <xf borderId="0" fillId="8" fontId="88" numFmtId="0" xfId="0" applyAlignment="1" applyFont="1">
      <alignment readingOrder="0" shrinkToFit="0" vertical="bottom" wrapText="0"/>
    </xf>
    <xf borderId="0" fillId="8" fontId="85" numFmtId="0" xfId="0" applyAlignment="1" applyFont="1">
      <alignment shrinkToFit="0" wrapText="0"/>
    </xf>
    <xf borderId="0" fillId="8" fontId="50" numFmtId="0" xfId="0" applyAlignment="1" applyFont="1">
      <alignment shrinkToFit="0" wrapText="0"/>
    </xf>
    <xf borderId="0" fillId="8" fontId="50" numFmtId="0" xfId="0" applyAlignment="1" applyFont="1">
      <alignment shrinkToFit="0" wrapText="0"/>
    </xf>
    <xf borderId="0" fillId="2" fontId="61" numFmtId="0" xfId="0" applyAlignment="1" applyFont="1">
      <alignment readingOrder="0" shrinkToFit="0" vertical="bottom" wrapText="0"/>
    </xf>
    <xf borderId="0" fillId="2" fontId="50" numFmtId="0" xfId="0" applyAlignment="1" applyFont="1">
      <alignment shrinkToFit="0" wrapText="0"/>
    </xf>
    <xf borderId="0" fillId="2" fontId="50" numFmtId="0" xfId="0" applyAlignment="1" applyFont="1">
      <alignment shrinkToFit="0" wrapText="0"/>
    </xf>
    <xf borderId="0" fillId="8" fontId="0" numFmtId="0" xfId="0" applyAlignment="1" applyFont="1">
      <alignment readingOrder="0" shrinkToFit="0" vertical="bottom" wrapText="0"/>
    </xf>
    <xf borderId="0" fillId="2" fontId="0" numFmtId="0" xfId="0" applyAlignment="1" applyFont="1">
      <alignment shrinkToFit="0" vertical="bottom" wrapText="0"/>
    </xf>
    <xf borderId="0" fillId="2" fontId="0" numFmtId="0" xfId="0" applyAlignment="1" applyFont="1">
      <alignment readingOrder="0" shrinkToFit="0" vertical="bottom" wrapText="0"/>
    </xf>
    <xf borderId="0" fillId="8" fontId="89" numFmtId="0" xfId="0" applyAlignment="1" applyFont="1">
      <alignment shrinkToFit="0" vertical="bottom" wrapText="0"/>
    </xf>
    <xf borderId="0" fillId="8" fontId="61" numFmtId="0" xfId="0" applyAlignment="1" applyFont="1">
      <alignment shrinkToFit="0" vertical="bottom" wrapText="0"/>
    </xf>
    <xf borderId="0" fillId="2" fontId="61" numFmtId="0" xfId="0" applyAlignment="1" applyFont="1">
      <alignment shrinkToFit="0" vertical="bottom" wrapText="0"/>
    </xf>
    <xf borderId="0" fillId="8" fontId="90" numFmtId="0" xfId="0" applyAlignment="1" applyFont="1">
      <alignment vertical="bottom"/>
    </xf>
    <xf borderId="0" fillId="8" fontId="91" numFmtId="0" xfId="0" applyAlignment="1" applyFont="1">
      <alignment shrinkToFit="0" vertical="bottom" wrapText="0"/>
    </xf>
    <xf borderId="15" fillId="2" fontId="90" numFmtId="0" xfId="0" applyAlignment="1" applyBorder="1" applyFont="1">
      <alignment shrinkToFit="0" vertical="bottom" wrapText="0"/>
    </xf>
    <xf borderId="15" fillId="2" fontId="90" numFmtId="0" xfId="0" applyAlignment="1" applyBorder="1" applyFont="1">
      <alignment vertical="bottom"/>
    </xf>
    <xf borderId="15" fillId="8" fontId="12" numFmtId="0" xfId="0" applyAlignment="1" applyBorder="1" applyFont="1">
      <alignment shrinkToFit="0" vertical="bottom" wrapText="0"/>
    </xf>
    <xf borderId="15" fillId="2" fontId="12" numFmtId="0" xfId="0" applyAlignment="1" applyBorder="1" applyFont="1">
      <alignment shrinkToFit="0" vertical="bottom" wrapText="0"/>
    </xf>
    <xf borderId="0" fillId="2" fontId="90" numFmtId="0" xfId="0" applyAlignment="1" applyFont="1">
      <alignment vertical="bottom"/>
    </xf>
    <xf borderId="0" fillId="2" fontId="34" numFmtId="0" xfId="0" applyAlignment="1" applyFont="1">
      <alignment horizontal="center" readingOrder="0" vertical="center"/>
    </xf>
    <xf borderId="0" fillId="8" fontId="26" numFmtId="3" xfId="0" applyFont="1" applyNumberFormat="1"/>
    <xf borderId="0" fillId="8" fontId="34" numFmtId="0" xfId="0" applyAlignment="1" applyFont="1">
      <alignment horizontal="center" readingOrder="0" vertical="center"/>
    </xf>
    <xf borderId="0" fillId="2" fontId="12" numFmtId="3" xfId="0" applyAlignment="1" applyFont="1" applyNumberFormat="1">
      <alignment vertical="bottom"/>
    </xf>
    <xf borderId="15" fillId="8" fontId="12" numFmtId="3" xfId="0" applyAlignment="1" applyBorder="1" applyFont="1" applyNumberFormat="1">
      <alignment shrinkToFit="0" vertical="bottom" wrapText="0"/>
    </xf>
    <xf borderId="0" fillId="6" fontId="32" numFmtId="0" xfId="0" applyAlignment="1" applyFont="1">
      <alignment horizontal="center" readingOrder="0" vertical="center"/>
    </xf>
    <xf borderId="0" fillId="0" fontId="32" numFmtId="0" xfId="0" applyAlignment="1" applyFont="1">
      <alignment horizontal="center" readingOrder="0" vertical="center"/>
    </xf>
    <xf borderId="0" fillId="8" fontId="3" numFmtId="0" xfId="0" applyAlignment="1" applyFont="1">
      <alignment horizontal="left" vertical="center"/>
    </xf>
    <xf borderId="0" fillId="2" fontId="3" numFmtId="0" xfId="0" applyAlignment="1" applyFont="1">
      <alignment horizontal="left" vertical="center"/>
    </xf>
    <xf borderId="4" fillId="8" fontId="3" numFmtId="0" xfId="0" applyAlignment="1" applyBorder="1" applyFont="1">
      <alignment horizontal="left" vertical="center"/>
    </xf>
    <xf borderId="3" fillId="8" fontId="3" numFmtId="0" xfId="0" applyAlignment="1" applyBorder="1" applyFont="1">
      <alignment horizontal="left" vertical="center"/>
    </xf>
    <xf borderId="0" fillId="10" fontId="1" numFmtId="0" xfId="0" applyAlignment="1" applyFont="1">
      <alignment horizontal="center" vertical="center"/>
    </xf>
    <xf borderId="0" fillId="6" fontId="32" numFmtId="0" xfId="0" applyAlignment="1" applyFont="1">
      <alignment horizontal="center" readingOrder="0" vertical="center"/>
    </xf>
    <xf borderId="0" fillId="6" fontId="32" numFmtId="0" xfId="0" applyAlignment="1" applyFont="1">
      <alignment vertical="center"/>
    </xf>
    <xf borderId="2" fillId="7" fontId="79" numFmtId="0" xfId="0" applyAlignment="1" applyBorder="1" applyFont="1">
      <alignment horizontal="center" readingOrder="0" shrinkToFit="0" wrapText="1"/>
    </xf>
    <xf borderId="2" fillId="5" fontId="79" numFmtId="0" xfId="0" applyAlignment="1" applyBorder="1" applyFont="1">
      <alignment horizontal="center" readingOrder="0" shrinkToFit="0" wrapText="1"/>
    </xf>
    <xf borderId="2" fillId="7" fontId="10" numFmtId="0" xfId="0" applyAlignment="1" applyBorder="1" applyFont="1">
      <alignment horizontal="center" readingOrder="0" shrinkToFit="0" vertical="bottom" wrapText="1"/>
    </xf>
    <xf borderId="2" fillId="2" fontId="26" numFmtId="0" xfId="0" applyAlignment="1" applyBorder="1" applyFont="1">
      <alignment horizontal="center"/>
    </xf>
    <xf borderId="2" fillId="2" fontId="26" numFmtId="0" xfId="0" applyAlignment="1" applyBorder="1" applyFont="1">
      <alignment horizontal="center" readingOrder="0"/>
    </xf>
    <xf borderId="2" fillId="8" fontId="12" numFmtId="0" xfId="0" applyAlignment="1" applyBorder="1" applyFont="1">
      <alignment horizontal="center"/>
    </xf>
    <xf borderId="2" fillId="8" fontId="26" numFmtId="0" xfId="0" applyAlignment="1" applyBorder="1" applyFont="1">
      <alignment horizontal="center"/>
    </xf>
    <xf borderId="33" fillId="8" fontId="8" numFmtId="0" xfId="0" applyAlignment="1" applyBorder="1" applyFont="1">
      <alignment horizontal="center" vertical="bottom"/>
    </xf>
    <xf borderId="2" fillId="2" fontId="12" numFmtId="0" xfId="0" applyAlignment="1" applyBorder="1" applyFont="1">
      <alignment horizontal="center"/>
    </xf>
    <xf borderId="33" fillId="2" fontId="8" numFmtId="0" xfId="0" applyAlignment="1" applyBorder="1" applyFont="1">
      <alignment horizontal="center" vertical="bottom"/>
    </xf>
    <xf borderId="1" fillId="8" fontId="92" numFmtId="0" xfId="0" applyAlignment="1" applyBorder="1" applyFont="1">
      <alignment horizontal="center"/>
    </xf>
    <xf borderId="1" fillId="8" fontId="92" numFmtId="0" xfId="0" applyAlignment="1" applyBorder="1" applyFont="1">
      <alignment horizontal="center"/>
    </xf>
    <xf borderId="1" fillId="0" fontId="1" numFmtId="0" xfId="0" applyAlignment="1" applyBorder="1" applyFont="1">
      <alignment horizontal="center" vertical="center"/>
    </xf>
    <xf borderId="0" fillId="12" fontId="93" numFmtId="0" xfId="0" applyAlignment="1" applyFont="1">
      <alignment readingOrder="0"/>
    </xf>
    <xf borderId="0" fillId="0" fontId="9" numFmtId="0" xfId="0" applyAlignment="1" applyFont="1">
      <alignment readingOrder="0"/>
    </xf>
    <xf borderId="0" fillId="0" fontId="9" numFmtId="0" xfId="0" applyAlignment="1" applyFont="1">
      <alignment readingOrder="0"/>
    </xf>
    <xf borderId="0" fillId="0" fontId="94" numFmtId="0" xfId="0" applyFont="1"/>
    <xf borderId="0" fillId="0" fontId="94" numFmtId="0" xfId="0" applyAlignment="1" applyFont="1">
      <alignment readingOrder="0"/>
    </xf>
    <xf borderId="0" fillId="0" fontId="94" numFmtId="0" xfId="0" applyFont="1"/>
    <xf borderId="0" fillId="0" fontId="95" numFmtId="0" xfId="0" applyAlignment="1" applyFont="1">
      <alignment readingOrder="0" vertical="bottom"/>
    </xf>
    <xf borderId="0" fillId="0" fontId="95" numFmtId="0" xfId="0" applyAlignment="1" applyFont="1">
      <alignment vertical="bottom"/>
    </xf>
    <xf borderId="0" fillId="17" fontId="96" numFmtId="0" xfId="0" applyAlignment="1" applyFill="1" applyFont="1">
      <alignment readingOrder="0"/>
    </xf>
    <xf borderId="31" fillId="0" fontId="9" numFmtId="0" xfId="0" applyAlignment="1" applyBorder="1" applyFont="1">
      <alignment readingOrder="0"/>
    </xf>
    <xf borderId="36" fillId="0" fontId="9" numFmtId="0" xfId="0" applyAlignment="1" applyBorder="1" applyFont="1">
      <alignment readingOrder="0"/>
    </xf>
    <xf borderId="1" fillId="0" fontId="9" numFmtId="0" xfId="0" applyAlignment="1" applyBorder="1" applyFont="1">
      <alignment readingOrder="0"/>
    </xf>
    <xf borderId="31" fillId="13" fontId="9" numFmtId="0" xfId="0" applyAlignment="1" applyBorder="1" applyFont="1">
      <alignment readingOrder="0"/>
    </xf>
    <xf borderId="0" fillId="13" fontId="9" numFmtId="0" xfId="0" applyAlignment="1" applyFont="1">
      <alignment readingOrder="0"/>
    </xf>
    <xf borderId="1" fillId="13" fontId="9" numFmtId="0" xfId="0" applyAlignment="1" applyBorder="1" applyFont="1">
      <alignment readingOrder="0"/>
    </xf>
    <xf borderId="0" fillId="0" fontId="59" numFmtId="0" xfId="0" applyAlignment="1" applyFont="1">
      <alignment readingOrder="0"/>
    </xf>
    <xf borderId="0" fillId="18" fontId="9" numFmtId="0" xfId="0" applyAlignment="1" applyFill="1" applyFont="1">
      <alignment readingOrder="0"/>
    </xf>
    <xf borderId="0" fillId="18" fontId="9" numFmtId="0" xfId="0" applyFont="1"/>
    <xf borderId="0" fillId="2" fontId="97" numFmtId="0" xfId="0" applyAlignment="1" applyFont="1">
      <alignment readingOrder="0"/>
    </xf>
    <xf borderId="0" fillId="0" fontId="9" numFmtId="0" xfId="0" applyAlignment="1" applyFont="1">
      <alignment horizontal="center"/>
    </xf>
    <xf borderId="0" fillId="0" fontId="98" numFmtId="0" xfId="0" applyFont="1"/>
    <xf borderId="0" fillId="0" fontId="98" numFmtId="0" xfId="0" applyAlignment="1" applyFont="1">
      <alignment horizontal="center" readingOrder="0"/>
    </xf>
    <xf borderId="0" fillId="0" fontId="9" numFmtId="0" xfId="0" applyAlignment="1" applyFont="1">
      <alignment horizontal="center" readingOrder="0"/>
    </xf>
    <xf borderId="0" fillId="0" fontId="9" numFmtId="175" xfId="0" applyAlignment="1" applyFont="1" applyNumberFormat="1">
      <alignment horizontal="center" readingOrder="0"/>
    </xf>
    <xf borderId="0" fillId="0" fontId="9" numFmtId="176" xfId="0" applyAlignment="1" applyFont="1" applyNumberFormat="1">
      <alignment horizontal="center" readingOrder="0"/>
    </xf>
    <xf borderId="0" fillId="0" fontId="9" numFmtId="177" xfId="0" applyAlignment="1" applyFont="1" applyNumberFormat="1">
      <alignment horizontal="center" readingOrder="0"/>
    </xf>
    <xf borderId="0" fillId="0" fontId="9" numFmtId="178" xfId="0" applyAlignment="1" applyFont="1" applyNumberFormat="1">
      <alignment horizontal="center" readingOrder="0"/>
    </xf>
    <xf borderId="0" fillId="0" fontId="9" numFmtId="179" xfId="0" applyAlignment="1" applyFont="1" applyNumberFormat="1">
      <alignment horizontal="center" readingOrder="0"/>
    </xf>
    <xf borderId="0" fillId="0" fontId="0" numFmtId="0" xfId="0" applyFont="1"/>
    <xf borderId="0" fillId="0" fontId="99" numFmtId="0" xfId="0" applyFont="1"/>
    <xf borderId="0" fillId="0" fontId="100" numFmtId="0" xfId="0" applyFont="1"/>
    <xf borderId="0" fillId="0" fontId="101" numFmtId="0" xfId="0" applyFont="1"/>
    <xf borderId="1" fillId="0" fontId="0" numFmtId="0" xfId="0" applyBorder="1" applyFont="1"/>
    <xf borderId="0" fillId="0" fontId="61" numFmtId="0" xfId="0" applyFont="1"/>
    <xf borderId="0" fillId="0" fontId="0" numFmtId="0" xfId="0" applyAlignment="1" applyFont="1">
      <alignment shrinkToFit="0" vertical="center" wrapText="1"/>
    </xf>
    <xf borderId="75" fillId="2" fontId="99" numFmtId="0" xfId="0" applyAlignment="1" applyBorder="1" applyFont="1">
      <alignment shrinkToFit="0" vertical="top" wrapText="1"/>
    </xf>
    <xf borderId="76" fillId="0" fontId="9" numFmtId="0" xfId="0" applyBorder="1" applyFont="1"/>
    <xf borderId="0" fillId="0" fontId="70" numFmtId="0" xfId="0" applyAlignment="1" applyFont="1">
      <alignment shrinkToFit="0" vertical="center" wrapText="1"/>
    </xf>
    <xf borderId="0" fillId="0" fontId="70" numFmtId="0" xfId="0" applyFont="1"/>
    <xf borderId="77" fillId="0" fontId="9" numFmtId="0" xfId="0" applyBorder="1" applyFont="1"/>
    <xf borderId="0" fillId="0" fontId="0" numFmtId="0" xfId="0" applyAlignment="1" applyFont="1">
      <alignment shrinkToFit="0" wrapText="1"/>
    </xf>
    <xf borderId="2" fillId="0" fontId="102" numFmtId="0" xfId="0" applyBorder="1" applyFont="1"/>
    <xf borderId="3" fillId="0" fontId="0" numFmtId="0" xfId="0" applyBorder="1" applyFont="1"/>
    <xf borderId="0" fillId="0" fontId="90" numFmtId="0" xfId="0" applyAlignment="1" applyFont="1">
      <alignment horizontal="center"/>
    </xf>
    <xf borderId="0" fillId="0" fontId="90" numFmtId="0" xfId="0" applyFont="1"/>
    <xf borderId="0" fillId="0" fontId="70" numFmtId="0" xfId="0" applyAlignment="1" applyFont="1">
      <alignment shrinkToFit="0" wrapText="1"/>
    </xf>
    <xf borderId="0" fillId="0" fontId="99" numFmtId="0" xfId="0" applyAlignment="1" applyFont="1">
      <alignment horizontal="center"/>
    </xf>
    <xf borderId="0" fillId="0" fontId="61" numFmtId="0" xfId="0" applyAlignment="1" applyFont="1">
      <alignment horizontal="center"/>
    </xf>
    <xf borderId="0" fillId="0" fontId="12" numFmtId="0" xfId="0" applyAlignment="1" applyFont="1">
      <alignment vertical="center"/>
    </xf>
    <xf borderId="0" fillId="0" fontId="103" numFmtId="0" xfId="0" applyFont="1"/>
    <xf borderId="1" fillId="0" fontId="99" numFmtId="0" xfId="0" applyBorder="1" applyFont="1"/>
    <xf borderId="0" fillId="0" fontId="90" numFmtId="0" xfId="0" applyAlignment="1" applyFont="1">
      <alignment vertical="center"/>
    </xf>
    <xf borderId="0" fillId="0" fontId="104" numFmtId="0" xfId="0" applyFont="1"/>
    <xf borderId="0" fillId="0" fontId="0" numFmtId="0" xfId="0" applyAlignment="1" applyFont="1">
      <alignment horizontal="center"/>
    </xf>
    <xf borderId="27" fillId="0" fontId="99" numFmtId="0" xfId="0" applyAlignment="1" applyBorder="1" applyFont="1">
      <alignment vertical="top"/>
    </xf>
    <xf borderId="27" fillId="0" fontId="0" numFmtId="0" xfId="0" applyAlignment="1" applyBorder="1" applyFont="1">
      <alignment horizontal="center"/>
    </xf>
    <xf borderId="27" fillId="0" fontId="12" numFmtId="0" xfId="0" applyAlignment="1" applyBorder="1" applyFont="1">
      <alignment horizontal="center" vertical="center"/>
    </xf>
    <xf borderId="27" fillId="0" fontId="0" numFmtId="0" xfId="0" applyBorder="1" applyFont="1"/>
    <xf borderId="0" fillId="0" fontId="99" numFmtId="0" xfId="0" applyAlignment="1" applyFont="1">
      <alignment vertical="top"/>
    </xf>
    <xf borderId="0" fillId="0" fontId="12" numFmtId="0" xfId="0" applyAlignment="1" applyFont="1">
      <alignment horizontal="center" vertical="center"/>
    </xf>
    <xf quotePrefix="1" borderId="0" fillId="0" fontId="0" numFmtId="0" xfId="0" applyAlignment="1" applyFont="1">
      <alignment horizontal="center"/>
    </xf>
    <xf borderId="0" fillId="0" fontId="61" numFmtId="0" xfId="0" applyAlignment="1" applyFont="1">
      <alignment horizontal="center" vertical="center"/>
    </xf>
    <xf borderId="28" fillId="0" fontId="99" numFmtId="0" xfId="0" applyAlignment="1" applyBorder="1" applyFont="1">
      <alignment horizontal="center"/>
    </xf>
    <xf borderId="0" fillId="0" fontId="105" numFmtId="0" xfId="0" applyFont="1"/>
    <xf borderId="0" fillId="0" fontId="99" numFmtId="0" xfId="0" applyAlignment="1" applyFont="1">
      <alignment horizontal="left" shrinkToFit="0" vertical="top" wrapText="1"/>
    </xf>
    <xf borderId="28" fillId="0" fontId="0" numFmtId="0" xfId="0" applyBorder="1" applyFont="1"/>
    <xf borderId="0" fillId="0" fontId="106" numFmtId="0" xfId="0" applyFont="1"/>
    <xf borderId="0" fillId="0" fontId="107" numFmtId="0" xfId="0" applyFont="1"/>
    <xf borderId="0" fillId="0" fontId="99" numFmtId="0" xfId="0" applyAlignment="1" applyFont="1">
      <alignment horizontal="left" readingOrder="0" shrinkToFit="0" vertical="top" wrapText="1"/>
    </xf>
    <xf borderId="0" fillId="0" fontId="90" numFmtId="0" xfId="0" applyAlignment="1" applyFont="1">
      <alignment horizontal="left" vertical="top"/>
    </xf>
    <xf borderId="0" fillId="0" fontId="89" numFmtId="0" xfId="0" applyAlignment="1" applyFont="1">
      <alignment horizontal="center"/>
    </xf>
    <xf borderId="2" fillId="0" fontId="99" numFmtId="0" xfId="0" applyAlignment="1" applyBorder="1" applyFont="1">
      <alignment horizontal="center"/>
    </xf>
    <xf borderId="0" fillId="0" fontId="89" numFmtId="0" xfId="0" applyFont="1"/>
    <xf borderId="28" fillId="0" fontId="12" numFmtId="0" xfId="0" applyBorder="1" applyFont="1"/>
    <xf borderId="0" fillId="0" fontId="90" numFmtId="0" xfId="0" applyAlignment="1" applyFont="1">
      <alignment horizontal="left" vertical="center"/>
    </xf>
    <xf borderId="0" fillId="0" fontId="0" numFmtId="0" xfId="0" applyAlignment="1" applyFont="1">
      <alignment horizontal="left" shrinkToFit="0" vertical="top" wrapText="1"/>
    </xf>
    <xf borderId="0" fillId="0" fontId="99" numFmtId="0" xfId="0" applyAlignment="1" applyFont="1">
      <alignment readingOrder="0" vertical="top"/>
    </xf>
    <xf borderId="0" fillId="0" fontId="0" numFmtId="0" xfId="0" applyAlignment="1" applyFont="1">
      <alignment horizontal="left"/>
    </xf>
    <xf borderId="0" fillId="0" fontId="12" numFmtId="0" xfId="0" applyAlignment="1" applyFont="1">
      <alignment horizontal="left"/>
    </xf>
    <xf borderId="30" fillId="0" fontId="105" numFmtId="0" xfId="0" applyBorder="1" applyFont="1"/>
    <xf borderId="31" fillId="0" fontId="0" numFmtId="0" xfId="0" applyBorder="1" applyFont="1"/>
    <xf borderId="32" fillId="0" fontId="0" numFmtId="0" xfId="0" applyBorder="1" applyFont="1"/>
    <xf borderId="33" fillId="0" fontId="105" numFmtId="0" xfId="0" applyBorder="1" applyFont="1"/>
    <xf borderId="34" fillId="0" fontId="0" numFmtId="0" xfId="0" applyBorder="1" applyFont="1"/>
    <xf borderId="2" fillId="0" fontId="105" numFmtId="0" xfId="0" applyBorder="1" applyFont="1"/>
    <xf borderId="4" fillId="0" fontId="105" numFmtId="0" xfId="0" applyBorder="1" applyFont="1"/>
    <xf borderId="4" fillId="0" fontId="0" numFmtId="0" xfId="0" applyBorder="1" applyFont="1"/>
    <xf borderId="2" fillId="0" fontId="80" numFmtId="0" xfId="0" applyBorder="1" applyFont="1"/>
    <xf borderId="0" fillId="0" fontId="99" numFmtId="0" xfId="0" applyAlignment="1" applyFont="1">
      <alignment shrinkToFit="0" vertical="top" wrapText="1"/>
    </xf>
    <xf borderId="0" fillId="0" fontId="108" numFmtId="0" xfId="0" applyAlignment="1" applyFont="1">
      <alignment vertical="center"/>
    </xf>
    <xf borderId="0" fillId="0" fontId="109" numFmtId="0" xfId="0" applyFont="1"/>
    <xf borderId="0" fillId="0" fontId="110" numFmtId="0" xfId="0" applyAlignment="1" applyFont="1">
      <alignment vertical="center"/>
    </xf>
    <xf borderId="0" fillId="0" fontId="110" numFmtId="0" xfId="0" applyFont="1"/>
    <xf borderId="30" fillId="0" fontId="80" numFmtId="0" xfId="0" applyBorder="1" applyFont="1"/>
    <xf borderId="32" fillId="0" fontId="12" numFmtId="0" xfId="0" applyAlignment="1" applyBorder="1" applyFont="1">
      <alignment horizontal="left"/>
    </xf>
    <xf borderId="33" fillId="0" fontId="80" numFmtId="0" xfId="0" applyBorder="1" applyFont="1"/>
    <xf borderId="34" fillId="0" fontId="12" numFmtId="0" xfId="0" applyAlignment="1" applyBorder="1" applyFont="1">
      <alignment horizontal="left"/>
    </xf>
    <xf borderId="2" fillId="0" fontId="0" numFmtId="0" xfId="0" applyBorder="1" applyFont="1"/>
    <xf borderId="37" fillId="0" fontId="0" numFmtId="0" xfId="0" applyAlignment="1" applyBorder="1" applyFont="1">
      <alignment horizontal="center"/>
    </xf>
    <xf borderId="78" fillId="9" fontId="0" numFmtId="0" xfId="0" applyBorder="1" applyFont="1"/>
    <xf borderId="78" fillId="9" fontId="12" numFmtId="0" xfId="0" applyAlignment="1" applyBorder="1" applyFont="1">
      <alignment horizontal="left"/>
    </xf>
    <xf borderId="0" fillId="0" fontId="70" numFmtId="0" xfId="0" applyAlignment="1" applyFont="1">
      <alignment horizontal="left"/>
    </xf>
    <xf borderId="78" fillId="9" fontId="12" numFmtId="0" xfId="0" applyBorder="1" applyFont="1"/>
    <xf borderId="1" fillId="0" fontId="70" numFmtId="0" xfId="0" applyBorder="1" applyFont="1"/>
    <xf borderId="0" fillId="0" fontId="111" numFmtId="0" xfId="0" applyFont="1"/>
    <xf borderId="0" fillId="0" fontId="12" numFmtId="0" xfId="0" applyAlignment="1" applyFont="1">
      <alignment horizontal="center"/>
    </xf>
    <xf quotePrefix="1" borderId="0" fillId="0" fontId="110" numFmtId="0" xfId="0" applyAlignment="1" applyFont="1">
      <alignment horizontal="center"/>
    </xf>
    <xf borderId="0" fillId="0" fontId="110" numFmtId="0" xfId="0" applyAlignment="1" applyFont="1">
      <alignment horizontal="center"/>
    </xf>
    <xf borderId="0" fillId="0" fontId="99" numFmtId="0" xfId="0" applyAlignment="1" applyFont="1">
      <alignment horizontal="left"/>
    </xf>
    <xf borderId="36" fillId="0" fontId="80" numFmtId="0" xfId="0" applyBorder="1" applyFont="1"/>
    <xf borderId="37" fillId="0" fontId="12" numFmtId="0" xfId="0" applyAlignment="1" applyBorder="1" applyFont="1">
      <alignment horizontal="left"/>
    </xf>
    <xf borderId="27" fillId="0" fontId="99" numFmtId="0" xfId="0" applyBorder="1" applyFont="1"/>
    <xf borderId="27" fillId="0" fontId="80" numFmtId="0" xfId="0" applyAlignment="1" applyBorder="1" applyFont="1">
      <alignment horizontal="center"/>
    </xf>
    <xf borderId="27" fillId="0" fontId="12" numFmtId="0" xfId="0" applyAlignment="1" applyBorder="1" applyFont="1">
      <alignment horizontal="left"/>
    </xf>
    <xf borderId="2" fillId="0" fontId="90" numFmtId="0" xfId="0" applyAlignment="1" applyBorder="1" applyFont="1">
      <alignment horizontal="center" vertical="center"/>
    </xf>
    <xf borderId="28" fillId="0" fontId="90" numFmtId="0" xfId="0" applyAlignment="1" applyBorder="1" applyFont="1">
      <alignment horizontal="center" vertical="center"/>
    </xf>
    <xf borderId="30" fillId="0" fontId="90" numFmtId="0" xfId="0" applyAlignment="1" applyBorder="1" applyFont="1">
      <alignment horizontal="center"/>
    </xf>
    <xf borderId="2" fillId="0" fontId="90" numFmtId="0" xfId="0" applyAlignment="1" applyBorder="1" applyFont="1">
      <alignment horizontal="center"/>
    </xf>
    <xf borderId="30" fillId="0" fontId="90" numFmtId="0" xfId="0" applyAlignment="1" applyBorder="1" applyFont="1">
      <alignment horizontal="center" vertical="center"/>
    </xf>
    <xf borderId="30" fillId="0" fontId="12" numFmtId="0" xfId="0" applyBorder="1" applyFont="1"/>
    <xf borderId="32" fillId="0" fontId="12" numFmtId="0" xfId="0" applyBorder="1" applyFont="1"/>
    <xf borderId="0" fillId="0" fontId="90" numFmtId="0" xfId="0" applyAlignment="1" applyFont="1">
      <alignment horizontal="center" vertical="center"/>
    </xf>
    <xf borderId="36" fillId="0" fontId="12" numFmtId="0" xfId="0" applyBorder="1" applyFont="1"/>
    <xf borderId="37" fillId="0" fontId="12" numFmtId="0" xfId="0" applyBorder="1" applyFont="1"/>
    <xf borderId="36" fillId="0" fontId="105" numFmtId="0" xfId="0" applyAlignment="1" applyBorder="1" applyFont="1">
      <alignment horizontal="center"/>
    </xf>
    <xf borderId="36" fillId="0" fontId="105" numFmtId="165" xfId="0" applyAlignment="1" applyBorder="1" applyFont="1" applyNumberFormat="1">
      <alignment horizontal="center" vertical="center"/>
    </xf>
    <xf borderId="36" fillId="0" fontId="105" numFmtId="0" xfId="0" applyBorder="1" applyFont="1"/>
    <xf borderId="37" fillId="0" fontId="105" numFmtId="0" xfId="0" applyBorder="1" applyFont="1"/>
    <xf borderId="0" fillId="0" fontId="105" numFmtId="0" xfId="0" applyAlignment="1" applyFont="1">
      <alignment horizontal="left" vertical="top"/>
    </xf>
    <xf borderId="40" fillId="0" fontId="112" numFmtId="0" xfId="0" applyAlignment="1" applyBorder="1" applyFont="1">
      <alignment horizontal="center"/>
    </xf>
    <xf borderId="40" fillId="0" fontId="113" numFmtId="165" xfId="0" applyAlignment="1" applyBorder="1" applyFont="1" applyNumberFormat="1">
      <alignment horizontal="center" vertical="center"/>
    </xf>
    <xf borderId="40" fillId="0" fontId="12" numFmtId="0" xfId="0" applyBorder="1" applyFont="1"/>
    <xf borderId="41" fillId="0" fontId="12" numFmtId="0" xfId="0" applyBorder="1" applyFont="1"/>
    <xf borderId="27" fillId="0" fontId="113" numFmtId="0" xfId="0" applyAlignment="1" applyBorder="1" applyFont="1">
      <alignment horizontal="left" vertical="top"/>
    </xf>
    <xf borderId="27" fillId="0" fontId="12" numFmtId="0" xfId="0" applyBorder="1" applyFont="1"/>
    <xf borderId="36" fillId="0" fontId="112" numFmtId="0" xfId="0" applyAlignment="1" applyBorder="1" applyFont="1">
      <alignment horizontal="center"/>
    </xf>
    <xf borderId="36" fillId="0" fontId="113" numFmtId="165" xfId="0" applyAlignment="1" applyBorder="1" applyFont="1" applyNumberFormat="1">
      <alignment horizontal="center" vertical="center"/>
    </xf>
    <xf borderId="0" fillId="0" fontId="113" numFmtId="0" xfId="0" applyAlignment="1" applyFont="1">
      <alignment horizontal="left" vertical="top"/>
    </xf>
    <xf borderId="36" fillId="0" fontId="99" numFmtId="0" xfId="0" applyAlignment="1" applyBorder="1" applyFont="1">
      <alignment horizontal="center"/>
    </xf>
    <xf borderId="36" fillId="0" fontId="99" numFmtId="0" xfId="0" applyAlignment="1" applyBorder="1" applyFont="1">
      <alignment horizontal="center" vertical="center"/>
    </xf>
    <xf borderId="36" fillId="0" fontId="99" numFmtId="0" xfId="0" applyBorder="1" applyFont="1"/>
    <xf borderId="0" fillId="0" fontId="99" numFmtId="0" xfId="0" applyAlignment="1" applyFont="1">
      <alignment horizontal="left" vertical="center"/>
    </xf>
    <xf borderId="0" fillId="0" fontId="12" numFmtId="0" xfId="0" applyAlignment="1" applyFont="1">
      <alignment horizontal="left" vertical="center"/>
    </xf>
    <xf borderId="36" fillId="0" fontId="12" numFmtId="0" xfId="0" applyAlignment="1" applyBorder="1" applyFont="1">
      <alignment horizontal="center" vertical="center"/>
    </xf>
    <xf borderId="0" fillId="0" fontId="90" numFmtId="0" xfId="0" applyAlignment="1" applyFont="1">
      <alignment horizontal="left" shrinkToFit="0" wrapText="1"/>
    </xf>
    <xf borderId="36" fillId="0" fontId="0" numFmtId="0" xfId="0" applyAlignment="1" applyBorder="1" applyFont="1">
      <alignment horizontal="center"/>
    </xf>
    <xf borderId="33" fillId="0" fontId="0" numFmtId="0" xfId="0" applyBorder="1" applyFont="1"/>
    <xf borderId="33" fillId="0" fontId="12" numFmtId="0" xfId="0" applyBorder="1" applyFont="1"/>
    <xf borderId="34" fillId="0" fontId="12" numFmtId="0" xfId="0" applyBorder="1" applyFont="1"/>
    <xf borderId="1" fillId="0" fontId="12" numFmtId="0" xfId="0" applyAlignment="1" applyBorder="1" applyFont="1">
      <alignment horizontal="left"/>
    </xf>
    <xf borderId="1" fillId="0" fontId="12" numFmtId="0" xfId="0" applyBorder="1" applyFont="1"/>
    <xf borderId="0" fillId="0" fontId="12" numFmtId="0" xfId="0" applyAlignment="1" applyFont="1">
      <alignment horizontal="center" shrinkToFit="0" textRotation="90" wrapText="1"/>
    </xf>
    <xf borderId="0" fillId="0" fontId="70" numFmtId="0" xfId="0" applyAlignment="1" applyFont="1">
      <alignment horizontal="left" shrinkToFit="0" wrapText="1"/>
    </xf>
    <xf borderId="30" fillId="0" fontId="90" numFmtId="0" xfId="0" applyAlignment="1" applyBorder="1" applyFont="1">
      <alignment horizontal="center" shrinkToFit="0" textRotation="90" wrapText="1"/>
    </xf>
    <xf borderId="35" fillId="0" fontId="61" numFmtId="0" xfId="0" applyAlignment="1" applyBorder="1" applyFont="1">
      <alignment horizontal="center" shrinkToFit="0" textRotation="90" wrapText="1"/>
    </xf>
    <xf borderId="35" fillId="0" fontId="90" numFmtId="0" xfId="0" applyAlignment="1" applyBorder="1" applyFont="1">
      <alignment horizontal="center" shrinkToFit="0" textRotation="90" wrapText="1"/>
    </xf>
    <xf borderId="30" fillId="0" fontId="61" numFmtId="0" xfId="0" applyAlignment="1" applyBorder="1" applyFont="1">
      <alignment horizontal="center" textRotation="90"/>
    </xf>
    <xf borderId="31" fillId="0" fontId="90" numFmtId="0" xfId="0" applyAlignment="1" applyBorder="1" applyFont="1">
      <alignment horizontal="center" shrinkToFit="0" textRotation="90" wrapText="1"/>
    </xf>
    <xf borderId="31" fillId="0" fontId="90" numFmtId="0" xfId="0" applyAlignment="1" applyBorder="1" applyFont="1">
      <alignment horizontal="center"/>
    </xf>
    <xf borderId="32" fillId="0" fontId="90" numFmtId="0" xfId="0" applyAlignment="1" applyBorder="1" applyFont="1">
      <alignment horizontal="center" shrinkToFit="0" wrapText="1"/>
    </xf>
    <xf borderId="79" fillId="0" fontId="90" numFmtId="0" xfId="0" applyAlignment="1" applyBorder="1" applyFont="1">
      <alignment horizontal="center" shrinkToFit="0" textRotation="90" wrapText="1"/>
    </xf>
    <xf borderId="0" fillId="0" fontId="90" numFmtId="0" xfId="0" applyAlignment="1" applyFont="1">
      <alignment horizontal="center" shrinkToFit="0" textRotation="90" wrapText="1"/>
    </xf>
    <xf borderId="0" fillId="0" fontId="99" numFmtId="0" xfId="0" applyAlignment="1" applyFont="1">
      <alignment horizontal="center" shrinkToFit="0" textRotation="90" wrapText="1"/>
    </xf>
    <xf borderId="36" fillId="0" fontId="90" numFmtId="0" xfId="0" applyAlignment="1" applyBorder="1" applyFont="1">
      <alignment horizontal="center" shrinkToFit="0" textRotation="90" wrapText="1"/>
    </xf>
    <xf borderId="38" fillId="0" fontId="90" numFmtId="0" xfId="0" applyAlignment="1" applyBorder="1" applyFont="1">
      <alignment horizontal="center" shrinkToFit="0" textRotation="90" wrapText="1"/>
    </xf>
    <xf borderId="0" fillId="0" fontId="90" numFmtId="0" xfId="0" applyAlignment="1" applyFont="1">
      <alignment horizontal="center" shrinkToFit="0" wrapText="1"/>
    </xf>
    <xf borderId="37" fillId="0" fontId="90" numFmtId="0" xfId="0" applyAlignment="1" applyBorder="1" applyFont="1">
      <alignment horizontal="center" shrinkToFit="0" wrapText="1"/>
    </xf>
    <xf borderId="51" fillId="0" fontId="90" numFmtId="0" xfId="0" applyAlignment="1" applyBorder="1" applyFont="1">
      <alignment horizontal="center" shrinkToFit="0" textRotation="90" wrapText="1"/>
    </xf>
    <xf borderId="36" fillId="0" fontId="105" numFmtId="0" xfId="0" applyAlignment="1" applyBorder="1" applyFont="1">
      <alignment horizontal="center" vertical="top"/>
    </xf>
    <xf borderId="37" fillId="0" fontId="105" numFmtId="0" xfId="0" applyAlignment="1" applyBorder="1" applyFont="1">
      <alignment horizontal="center" vertical="top"/>
    </xf>
    <xf borderId="33" fillId="0" fontId="90" numFmtId="0" xfId="0" applyAlignment="1" applyBorder="1" applyFont="1">
      <alignment horizontal="center" shrinkToFit="0" textRotation="90" wrapText="1"/>
    </xf>
    <xf borderId="48" fillId="0" fontId="90" numFmtId="0" xfId="0" applyAlignment="1" applyBorder="1" applyFont="1">
      <alignment horizontal="center" shrinkToFit="0" textRotation="90" wrapText="1"/>
    </xf>
    <xf borderId="34" fillId="0" fontId="90" numFmtId="0" xfId="0" applyAlignment="1" applyBorder="1" applyFont="1">
      <alignment horizontal="center" shrinkToFit="0" textRotation="90" wrapText="1"/>
    </xf>
    <xf borderId="1" fillId="0" fontId="90" numFmtId="0" xfId="0" applyAlignment="1" applyBorder="1" applyFont="1">
      <alignment horizontal="center" shrinkToFit="0" textRotation="90" wrapText="1"/>
    </xf>
    <xf borderId="1" fillId="0" fontId="90" numFmtId="0" xfId="0" applyAlignment="1" applyBorder="1" applyFont="1">
      <alignment horizontal="center" shrinkToFit="0" wrapText="1"/>
    </xf>
    <xf borderId="34" fillId="0" fontId="90" numFmtId="0" xfId="0" applyAlignment="1" applyBorder="1" applyFont="1">
      <alignment horizontal="center" shrinkToFit="0" wrapText="1"/>
    </xf>
    <xf borderId="80" fillId="0" fontId="90" numFmtId="0" xfId="0" applyAlignment="1" applyBorder="1" applyFont="1">
      <alignment horizontal="center" shrinkToFit="0" textRotation="90" wrapText="1"/>
    </xf>
    <xf borderId="32" fillId="0" fontId="90" numFmtId="0" xfId="0" applyAlignment="1" applyBorder="1" applyFont="1">
      <alignment horizontal="center" shrinkToFit="0" textRotation="90" wrapText="1"/>
    </xf>
    <xf borderId="37" fillId="0" fontId="90" numFmtId="0" xfId="0" applyAlignment="1" applyBorder="1" applyFont="1">
      <alignment horizontal="center" shrinkToFit="0" textRotation="90" wrapText="1"/>
    </xf>
    <xf borderId="36" fillId="0" fontId="105" numFmtId="0" xfId="0" applyAlignment="1" applyBorder="1" applyFont="1">
      <alignment horizontal="center" vertical="center"/>
    </xf>
    <xf borderId="38" fillId="0" fontId="105" numFmtId="0" xfId="0" applyAlignment="1" applyBorder="1" applyFont="1">
      <alignment horizontal="center" vertical="center"/>
    </xf>
    <xf borderId="0" fillId="0" fontId="105" numFmtId="0" xfId="0" applyAlignment="1" applyFont="1">
      <alignment horizontal="center" vertical="center"/>
    </xf>
    <xf borderId="53" fillId="5" fontId="105" numFmtId="0" xfId="0" applyAlignment="1" applyBorder="1" applyFont="1">
      <alignment horizontal="center" shrinkToFit="0" vertical="top" wrapText="1"/>
    </xf>
    <xf borderId="75" fillId="5" fontId="105" numFmtId="0" xfId="0" applyAlignment="1" applyBorder="1" applyFont="1">
      <alignment horizontal="center" shrinkToFit="0" vertical="top" wrapText="1"/>
    </xf>
    <xf borderId="36" fillId="0" fontId="105" numFmtId="0" xfId="0" applyAlignment="1" applyBorder="1" applyFont="1">
      <alignment horizontal="center" shrinkToFit="0" vertical="top" wrapText="1"/>
    </xf>
    <xf borderId="0" fillId="0" fontId="105" numFmtId="0" xfId="0" applyAlignment="1" applyFont="1">
      <alignment horizontal="center" shrinkToFit="0" vertical="top" wrapText="1"/>
    </xf>
    <xf borderId="0" fillId="0" fontId="0" numFmtId="0" xfId="0" applyAlignment="1" applyFont="1">
      <alignment horizontal="center" vertical="center"/>
    </xf>
    <xf borderId="36" fillId="0" fontId="105" numFmtId="0" xfId="0" applyAlignment="1" applyBorder="1" applyFont="1">
      <alignment vertical="center"/>
    </xf>
    <xf borderId="38" fillId="0" fontId="105" numFmtId="0" xfId="0" applyAlignment="1" applyBorder="1" applyFont="1">
      <alignment vertical="center"/>
    </xf>
    <xf borderId="37" fillId="0" fontId="105" numFmtId="0" xfId="0" applyAlignment="1" applyBorder="1" applyFont="1">
      <alignment vertical="center"/>
    </xf>
    <xf borderId="0" fillId="0" fontId="105" numFmtId="0" xfId="0" applyAlignment="1" applyFont="1">
      <alignment vertical="center"/>
    </xf>
    <xf borderId="36" fillId="0" fontId="12" numFmtId="0" xfId="0" applyAlignment="1" applyBorder="1" applyFont="1">
      <alignment vertical="center"/>
    </xf>
    <xf borderId="37" fillId="0" fontId="105" numFmtId="0" xfId="0" applyAlignment="1" applyBorder="1" applyFont="1">
      <alignment horizontal="center" shrinkToFit="0" vertical="top" wrapText="1"/>
    </xf>
    <xf borderId="40" fillId="0" fontId="105" numFmtId="0" xfId="0" applyAlignment="1" applyBorder="1" applyFont="1">
      <alignment vertical="center"/>
    </xf>
    <xf borderId="39" fillId="0" fontId="105" numFmtId="0" xfId="0" applyAlignment="1" applyBorder="1" applyFont="1">
      <alignment vertical="center"/>
    </xf>
    <xf borderId="41" fillId="0" fontId="105" numFmtId="0" xfId="0" applyAlignment="1" applyBorder="1" applyFont="1">
      <alignment vertical="center"/>
    </xf>
    <xf borderId="27" fillId="0" fontId="105" numFmtId="0" xfId="0" applyAlignment="1" applyBorder="1" applyFont="1">
      <alignment vertical="center"/>
    </xf>
    <xf borderId="81" fillId="0" fontId="9" numFmtId="0" xfId="0" applyBorder="1" applyFont="1"/>
    <xf borderId="40" fillId="0" fontId="12" numFmtId="0" xfId="0" applyAlignment="1" applyBorder="1" applyFont="1">
      <alignment vertical="center"/>
    </xf>
    <xf borderId="27" fillId="0" fontId="12" numFmtId="0" xfId="0" applyAlignment="1" applyBorder="1" applyFont="1">
      <alignment vertical="center"/>
    </xf>
    <xf borderId="82" fillId="0" fontId="9" numFmtId="0" xfId="0" applyBorder="1" applyFont="1"/>
    <xf borderId="40" fillId="0" fontId="105" numFmtId="0" xfId="0" applyAlignment="1" applyBorder="1" applyFont="1">
      <alignment horizontal="center" vertical="top"/>
    </xf>
    <xf borderId="41" fillId="0" fontId="105" numFmtId="0" xfId="0" applyAlignment="1" applyBorder="1" applyFont="1">
      <alignment horizontal="center" vertical="top"/>
    </xf>
    <xf borderId="0" fillId="0" fontId="105" numFmtId="0" xfId="0" applyAlignment="1" applyFont="1">
      <alignment horizontal="center" vertical="top"/>
    </xf>
    <xf borderId="36" fillId="0" fontId="0" numFmtId="0" xfId="0" applyBorder="1" applyFont="1"/>
    <xf borderId="38" fillId="0" fontId="0" numFmtId="0" xfId="0" applyBorder="1" applyFont="1"/>
    <xf borderId="37" fillId="0" fontId="0" numFmtId="0" xfId="0" applyBorder="1" applyFont="1"/>
    <xf borderId="37" fillId="0" fontId="99" numFmtId="0" xfId="0" applyBorder="1" applyFont="1"/>
    <xf borderId="48" fillId="0" fontId="0" numFmtId="0" xfId="0" applyBorder="1" applyFont="1"/>
    <xf borderId="1" fillId="0" fontId="105" numFmtId="0" xfId="0" applyBorder="1" applyFont="1"/>
    <xf borderId="33" fillId="0" fontId="105" numFmtId="0" xfId="0" applyAlignment="1" applyBorder="1" applyFont="1">
      <alignment horizontal="center" vertical="top"/>
    </xf>
    <xf borderId="34" fillId="0" fontId="105" numFmtId="0" xfId="0" applyAlignment="1" applyBorder="1" applyFont="1">
      <alignment horizontal="center" vertical="top"/>
    </xf>
    <xf borderId="0" fillId="0" fontId="114" numFmtId="0" xfId="0" applyFont="1"/>
    <xf quotePrefix="1" borderId="0" fillId="0" fontId="70" numFmtId="0" xfId="0" applyAlignment="1" applyFont="1">
      <alignment horizontal="center"/>
    </xf>
    <xf borderId="0" fillId="0" fontId="0" numFmtId="168" xfId="0" applyFont="1" applyNumberFormat="1"/>
    <xf borderId="0" fillId="0" fontId="99" numFmtId="168" xfId="0" applyFont="1" applyNumberFormat="1"/>
    <xf borderId="0" fillId="0" fontId="12" numFmtId="168" xfId="0" applyFont="1" applyNumberFormat="1"/>
    <xf borderId="0" fillId="0" fontId="115" numFmtId="0" xfId="0" applyFont="1"/>
    <xf borderId="0" fillId="0" fontId="48" numFmtId="0" xfId="0" applyFont="1"/>
    <xf borderId="0" fillId="0" fontId="116" numFmtId="0" xfId="0" applyFont="1"/>
    <xf borderId="15" fillId="2" fontId="117" numFmtId="0" xfId="0" applyAlignment="1" applyBorder="1" applyFont="1">
      <alignment shrinkToFit="0" vertical="bottom" wrapText="0"/>
    </xf>
    <xf borderId="15" fillId="2" fontId="118" numFmtId="0" xfId="0" applyAlignment="1" applyBorder="1" applyFont="1">
      <alignment shrinkToFit="0" vertical="bottom" wrapText="0"/>
    </xf>
    <xf borderId="1" fillId="0" fontId="12" numFmtId="0" xfId="0" applyAlignment="1" applyBorder="1" applyFont="1">
      <alignment vertical="bottom"/>
    </xf>
    <xf borderId="15" fillId="3" fontId="5" numFmtId="0" xfId="0" applyAlignment="1" applyBorder="1" applyFont="1">
      <alignment shrinkToFit="0" wrapText="0"/>
    </xf>
    <xf borderId="15" fillId="3" fontId="18" numFmtId="0" xfId="0" applyBorder="1" applyFont="1"/>
    <xf borderId="0" fillId="3" fontId="18" numFmtId="0" xfId="0" applyFont="1"/>
    <xf borderId="48" fillId="4" fontId="5" numFmtId="0" xfId="0" applyAlignment="1" applyBorder="1" applyFont="1">
      <alignment horizontal="center" shrinkToFit="0" wrapText="1"/>
    </xf>
    <xf borderId="1" fillId="4" fontId="5" numFmtId="0" xfId="0" applyAlignment="1" applyBorder="1" applyFont="1">
      <alignment horizontal="center"/>
    </xf>
    <xf borderId="38" fillId="0" fontId="12" numFmtId="0" xfId="0" applyBorder="1" applyFont="1"/>
    <xf borderId="31" fillId="0" fontId="12" numFmtId="0" xfId="0" applyBorder="1" applyFont="1"/>
    <xf borderId="38" fillId="0" fontId="8" numFmtId="0" xfId="0" applyAlignment="1" applyBorder="1" applyFont="1">
      <alignment horizontal="center" vertical="bottom"/>
    </xf>
    <xf borderId="36" fillId="5" fontId="8" numFmtId="0" xfId="0" applyAlignment="1" applyBorder="1" applyFont="1">
      <alignment readingOrder="0"/>
    </xf>
    <xf borderId="0" fillId="0" fontId="20" numFmtId="0" xfId="0" applyAlignment="1" applyFont="1">
      <alignment vertical="bottom"/>
    </xf>
    <xf borderId="36" fillId="0" fontId="8" numFmtId="0" xfId="0" applyAlignment="1" applyBorder="1" applyFont="1">
      <alignment readingOrder="0"/>
    </xf>
    <xf borderId="0" fillId="0" fontId="20" numFmtId="0" xfId="0" applyAlignment="1" applyFont="1">
      <alignment shrinkToFit="0" wrapText="1"/>
    </xf>
    <xf borderId="38" fillId="0" fontId="8" numFmtId="0" xfId="0" applyAlignment="1" applyBorder="1" applyFont="1">
      <alignment horizontal="center" vertical="top"/>
    </xf>
    <xf borderId="0" fillId="0" fontId="20" numFmtId="0" xfId="0" applyAlignment="1" applyFont="1">
      <alignment shrinkToFit="0" vertical="bottom" wrapText="0"/>
    </xf>
    <xf borderId="36" fillId="0" fontId="8" numFmtId="0" xfId="0" applyAlignment="1" applyBorder="1" applyFont="1">
      <alignment readingOrder="0" shrinkToFit="0" vertical="bottom" wrapText="1"/>
    </xf>
    <xf borderId="0" fillId="0" fontId="20" numFmtId="0" xfId="0" applyAlignment="1" applyFont="1">
      <alignment readingOrder="0" shrinkToFit="0" vertical="bottom" wrapText="0"/>
    </xf>
    <xf borderId="48" fillId="0" fontId="12" numFmtId="0" xfId="0" applyAlignment="1" applyBorder="1" applyFont="1">
      <alignment vertical="bottom"/>
    </xf>
    <xf borderId="83" fillId="0" fontId="8" numFmtId="0" xfId="0" applyAlignment="1" applyBorder="1" applyFont="1">
      <alignment shrinkToFit="0" vertical="bottom" wrapText="0"/>
    </xf>
    <xf borderId="83" fillId="0" fontId="12" numFmtId="0" xfId="0" applyAlignment="1" applyBorder="1" applyFont="1">
      <alignment vertical="bottom"/>
    </xf>
    <xf borderId="30" fillId="0" fontId="8" numFmtId="0" xfId="0" applyAlignment="1" applyBorder="1" applyFont="1">
      <alignment readingOrder="0" vertical="center"/>
    </xf>
    <xf borderId="31" fillId="0" fontId="12" numFmtId="0" xfId="0" applyAlignment="1" applyBorder="1" applyFont="1">
      <alignment vertical="bottom"/>
    </xf>
    <xf borderId="32" fillId="0" fontId="12" numFmtId="0" xfId="0" applyAlignment="1" applyBorder="1" applyFont="1">
      <alignment vertical="bottom"/>
    </xf>
    <xf borderId="37" fillId="0" fontId="12" numFmtId="0" xfId="0" applyAlignment="1" applyBorder="1" applyFont="1">
      <alignment vertical="bottom"/>
    </xf>
    <xf borderId="34" fillId="0" fontId="12" numFmtId="0" xfId="0" applyAlignment="1" applyBorder="1" applyFont="1">
      <alignment vertical="bottom"/>
    </xf>
  </cellXfs>
  <cellStyles count="1">
    <cellStyle xfId="0" name="Normal" builtinId="0"/>
  </cellStyles>
  <dxfs count="13">
    <dxf>
      <font/>
      <fill>
        <patternFill patternType="solid">
          <fgColor rgb="FFB7E1CD"/>
          <bgColor rgb="FFB7E1CD"/>
        </patternFill>
      </fill>
      <border/>
    </dxf>
    <dxf>
      <font>
        <i/>
        <color rgb="FF999999"/>
      </font>
      <fill>
        <patternFill patternType="none"/>
      </fill>
      <border/>
    </dxf>
    <dxf>
      <font>
        <color rgb="FF000000"/>
      </font>
      <fill>
        <patternFill patternType="none"/>
      </fill>
      <border/>
    </dxf>
    <dxf>
      <font>
        <color rgb="FFD9D9D9"/>
      </font>
      <fill>
        <patternFill patternType="none"/>
      </fill>
      <border/>
    </dxf>
    <dxf>
      <font>
        <color rgb="FFCCCCCC"/>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4CCCC"/>
          <bgColor rgb="FFF4CCCC"/>
        </patternFill>
      </fill>
      <border/>
    </dxf>
    <dxf>
      <font>
        <color rgb="FFF4CCCC"/>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F4CCCC"/>
          <bgColor rgb="FFF4CCCC"/>
        </patternFill>
      </fill>
      <border/>
    </dxf>
    <dxf>
      <font/>
      <fill>
        <patternFill patternType="solid">
          <fgColor rgb="FFBDBDBD"/>
          <bgColor rgb="FFBDBDBD"/>
        </patternFill>
      </fill>
      <border/>
    </dxf>
  </dxfs>
  <tableStyles count="5">
    <tableStyle count="2" pivot="0" name="Everyday RewardsServices Data B-style">
      <tableStyleElement dxfId="6" type="firstRowStripe"/>
      <tableStyleElement dxfId="7" type="secondRowStripe"/>
    </tableStyle>
    <tableStyle count="2" pivot="0" name="Backup of Everyday RewardsFSC D-style">
      <tableStyleElement dxfId="6" type="firstRowStripe"/>
      <tableStyleElement dxfId="7" type="secondRowStripe"/>
    </tableStyle>
    <tableStyle count="2" pivot="0" name="Backup of Everyday RewardsFSC D-style 2">
      <tableStyleElement dxfId="6" type="firstRowStripe"/>
      <tableStyleElement dxfId="7" type="secondRowStripe"/>
    </tableStyle>
    <tableStyle count="3" pivot="0" name="ONL Data Brief-style">
      <tableStyleElement dxfId="12" type="headerRow"/>
      <tableStyleElement dxfId="6" type="firstRowStripe"/>
      <tableStyleElement dxfId="7" type="secondRowStripe"/>
    </tableStyle>
    <tableStyle count="2" pivot="0" name="ONL Data Brief-style 2">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s>
</file>

<file path=xl/drawings/_rels/drawing5.xml.rels><?xml version="1.0" encoding="UTF-8" standalone="yes"?><Relationships xmlns="http://schemas.openxmlformats.org/package/2006/relationships"><Relationship Id="rId20" Type="http://schemas.openxmlformats.org/officeDocument/2006/relationships/image" Target="../media/image21.png"/><Relationship Id="rId11" Type="http://schemas.openxmlformats.org/officeDocument/2006/relationships/image" Target="../media/image15.png"/><Relationship Id="rId22" Type="http://schemas.openxmlformats.org/officeDocument/2006/relationships/image" Target="../media/image24.png"/><Relationship Id="rId10" Type="http://schemas.openxmlformats.org/officeDocument/2006/relationships/image" Target="../media/image9.png"/><Relationship Id="rId21" Type="http://schemas.openxmlformats.org/officeDocument/2006/relationships/image" Target="../media/image22.png"/><Relationship Id="rId13" Type="http://schemas.openxmlformats.org/officeDocument/2006/relationships/image" Target="../media/image25.png"/><Relationship Id="rId12" Type="http://schemas.openxmlformats.org/officeDocument/2006/relationships/image" Target="../media/image16.png"/><Relationship Id="rId23" Type="http://schemas.openxmlformats.org/officeDocument/2006/relationships/image" Target="../media/image27.png"/><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13.png"/><Relationship Id="rId4" Type="http://schemas.openxmlformats.org/officeDocument/2006/relationships/image" Target="../media/image5.png"/><Relationship Id="rId9" Type="http://schemas.openxmlformats.org/officeDocument/2006/relationships/image" Target="../media/image7.png"/><Relationship Id="rId15" Type="http://schemas.openxmlformats.org/officeDocument/2006/relationships/image" Target="../media/image14.png"/><Relationship Id="rId14" Type="http://schemas.openxmlformats.org/officeDocument/2006/relationships/image" Target="../media/image10.png"/><Relationship Id="rId17" Type="http://schemas.openxmlformats.org/officeDocument/2006/relationships/image" Target="../media/image23.png"/><Relationship Id="rId16" Type="http://schemas.openxmlformats.org/officeDocument/2006/relationships/image" Target="../media/image18.png"/><Relationship Id="rId5" Type="http://schemas.openxmlformats.org/officeDocument/2006/relationships/image" Target="../media/image20.png"/><Relationship Id="rId19" Type="http://schemas.openxmlformats.org/officeDocument/2006/relationships/image" Target="../media/image17.png"/><Relationship Id="rId6" Type="http://schemas.openxmlformats.org/officeDocument/2006/relationships/image" Target="../media/image19.png"/><Relationship Id="rId18" Type="http://schemas.openxmlformats.org/officeDocument/2006/relationships/image" Target="../media/image26.png"/><Relationship Id="rId7" Type="http://schemas.openxmlformats.org/officeDocument/2006/relationships/image" Target="../media/image12.png"/><Relationship Id="rId8"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57150</xdr:rowOff>
    </xdr:from>
    <xdr:ext cx="1819275" cy="542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95250</xdr:colOff>
      <xdr:row>0</xdr:row>
      <xdr:rowOff>85725</xdr:rowOff>
    </xdr:from>
    <xdr:ext cx="1543050" cy="42862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95250</xdr:rowOff>
    </xdr:from>
    <xdr:ext cx="2400300" cy="5905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666750</xdr:colOff>
      <xdr:row>0</xdr:row>
      <xdr:rowOff>66675</xdr:rowOff>
    </xdr:from>
    <xdr:ext cx="2009775" cy="5619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5</xdr:row>
      <xdr:rowOff>1409700</xdr:rowOff>
    </xdr:from>
    <xdr:ext cx="781050" cy="361950"/>
    <xdr:sp>
      <xdr:nvSpPr>
        <xdr:cNvPr id="3" name="Shape 3"/>
        <xdr:cNvSpPr/>
      </xdr:nvSpPr>
      <xdr:spPr>
        <a:xfrm>
          <a:off x="1578400" y="764975"/>
          <a:ext cx="764700" cy="343200"/>
        </a:xfrm>
        <a:prstGeom prst="roundRect">
          <a:avLst>
            <a:gd fmla="val 16667" name="adj"/>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000">
              <a:solidFill>
                <a:srgbClr val="FFFFFF"/>
              </a:solidFill>
            </a:rPr>
            <a:t>Activate</a:t>
          </a:r>
          <a:endParaRPr b="1" sz="1000">
            <a:solidFill>
              <a:srgbClr val="FFFFFF"/>
            </a:solidFill>
          </a:endParaRPr>
        </a:p>
      </xdr:txBody>
    </xdr:sp>
    <xdr:clientData fLocksWithSheet="0"/>
  </xdr:oneCellAnchor>
  <xdr:oneCellAnchor>
    <xdr:from>
      <xdr:col>0</xdr:col>
      <xdr:colOff>247650</xdr:colOff>
      <xdr:row>31</xdr:row>
      <xdr:rowOff>85725</xdr:rowOff>
    </xdr:from>
    <xdr:ext cx="657225" cy="381000"/>
    <xdr:sp>
      <xdr:nvSpPr>
        <xdr:cNvPr id="4" name="Shape 4"/>
        <xdr:cNvSpPr/>
      </xdr:nvSpPr>
      <xdr:spPr>
        <a:xfrm>
          <a:off x="175775" y="88150"/>
          <a:ext cx="634200" cy="361200"/>
        </a:xfrm>
        <a:prstGeom prst="can">
          <a:avLst>
            <a:gd fmla="val 25000"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704850</xdr:colOff>
      <xdr:row>5</xdr:row>
      <xdr:rowOff>1400175</xdr:rowOff>
    </xdr:from>
    <xdr:ext cx="742950" cy="381000"/>
    <xdr:sp>
      <xdr:nvSpPr>
        <xdr:cNvPr id="5" name="Shape 5"/>
        <xdr:cNvSpPr/>
      </xdr:nvSpPr>
      <xdr:spPr>
        <a:xfrm>
          <a:off x="263550" y="88150"/>
          <a:ext cx="721800" cy="360900"/>
        </a:xfrm>
        <a:prstGeom prst="can">
          <a:avLst>
            <a:gd fmla="val 25000" name="adj"/>
          </a:avLst>
        </a:prstGeom>
        <a:solidFill>
          <a:srgbClr val="0000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ECOM</a:t>
          </a:r>
          <a:endParaRPr sz="1400">
            <a:solidFill>
              <a:srgbClr val="FFFFFF"/>
            </a:solidFill>
          </a:endParaRPr>
        </a:p>
      </xdr:txBody>
    </xdr:sp>
    <xdr:clientData fLocksWithSheet="0"/>
  </xdr:oneCellAnchor>
  <xdr:oneCellAnchor>
    <xdr:from>
      <xdr:col>2</xdr:col>
      <xdr:colOff>123825</xdr:colOff>
      <xdr:row>7</xdr:row>
      <xdr:rowOff>28575</xdr:rowOff>
    </xdr:from>
    <xdr:ext cx="361950" cy="390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114300</xdr:colOff>
      <xdr:row>8</xdr:row>
      <xdr:rowOff>19050</xdr:rowOff>
    </xdr:from>
    <xdr:ext cx="361950" cy="390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104775</xdr:colOff>
      <xdr:row>9</xdr:row>
      <xdr:rowOff>28575</xdr:rowOff>
    </xdr:from>
    <xdr:ext cx="361950" cy="390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7</xdr:row>
      <xdr:rowOff>28575</xdr:rowOff>
    </xdr:from>
    <xdr:ext cx="314325" cy="390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8</xdr:row>
      <xdr:rowOff>19050</xdr:rowOff>
    </xdr:from>
    <xdr:ext cx="314325" cy="390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152400</xdr:colOff>
      <xdr:row>9</xdr:row>
      <xdr:rowOff>28575</xdr:rowOff>
    </xdr:from>
    <xdr:ext cx="314325" cy="390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171450</xdr:colOff>
      <xdr:row>7</xdr:row>
      <xdr:rowOff>28575</xdr:rowOff>
    </xdr:from>
    <xdr:ext cx="314325" cy="39052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161925</xdr:colOff>
      <xdr:row>8</xdr:row>
      <xdr:rowOff>28575</xdr:rowOff>
    </xdr:from>
    <xdr:ext cx="314325" cy="39052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171450</xdr:colOff>
      <xdr:row>9</xdr:row>
      <xdr:rowOff>28575</xdr:rowOff>
    </xdr:from>
    <xdr:ext cx="314325" cy="39052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123825</xdr:colOff>
      <xdr:row>7</xdr:row>
      <xdr:rowOff>114300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123825</xdr:colOff>
      <xdr:row>9</xdr:row>
      <xdr:rowOff>123825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123825</xdr:colOff>
      <xdr:row>8</xdr:row>
      <xdr:rowOff>76200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123825</xdr:colOff>
      <xdr:row>17</xdr:row>
      <xdr:rowOff>38100</xdr:rowOff>
    </xdr:from>
    <xdr:ext cx="361950" cy="352425"/>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123825</xdr:colOff>
      <xdr:row>18</xdr:row>
      <xdr:rowOff>38100</xdr:rowOff>
    </xdr:from>
    <xdr:ext cx="361950" cy="352425"/>
    <xdr:pic>
      <xdr:nvPicPr>
        <xdr:cNvPr id="0" name="image1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123825</xdr:colOff>
      <xdr:row>19</xdr:row>
      <xdr:rowOff>38100</xdr:rowOff>
    </xdr:from>
    <xdr:ext cx="361950" cy="352425"/>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95250</xdr:colOff>
      <xdr:row>20</xdr:row>
      <xdr:rowOff>38100</xdr:rowOff>
    </xdr:from>
    <xdr:ext cx="428625" cy="352425"/>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114300</xdr:colOff>
      <xdr:row>21</xdr:row>
      <xdr:rowOff>38100</xdr:rowOff>
    </xdr:from>
    <xdr:ext cx="361950" cy="352425"/>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95250</xdr:colOff>
      <xdr:row>23</xdr:row>
      <xdr:rowOff>38100</xdr:rowOff>
    </xdr:from>
    <xdr:ext cx="428625" cy="390525"/>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180975</xdr:colOff>
      <xdr:row>17</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18</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19</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20</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21</xdr:row>
      <xdr:rowOff>95250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22</xdr:row>
      <xdr:rowOff>95250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23</xdr:row>
      <xdr:rowOff>95250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24</xdr:row>
      <xdr:rowOff>95250</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114300</xdr:colOff>
      <xdr:row>24</xdr:row>
      <xdr:rowOff>38100</xdr:rowOff>
    </xdr:from>
    <xdr:ext cx="361950" cy="352425"/>
    <xdr:pic>
      <xdr:nvPicPr>
        <xdr:cNvPr id="0" name="image1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190500</xdr:colOff>
      <xdr:row>8</xdr:row>
      <xdr:rowOff>47625</xdr:rowOff>
    </xdr:from>
    <xdr:ext cx="200025" cy="381000"/>
    <xdr:pic>
      <xdr:nvPicPr>
        <xdr:cNvPr id="0" name="image1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190500</xdr:colOff>
      <xdr:row>7</xdr:row>
      <xdr:rowOff>47625</xdr:rowOff>
    </xdr:from>
    <xdr:ext cx="200025" cy="381000"/>
    <xdr:pic>
      <xdr:nvPicPr>
        <xdr:cNvPr id="0" name="image1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190500</xdr:colOff>
      <xdr:row>9</xdr:row>
      <xdr:rowOff>47625</xdr:rowOff>
    </xdr:from>
    <xdr:ext cx="200025" cy="381000"/>
    <xdr:pic>
      <xdr:nvPicPr>
        <xdr:cNvPr id="0" name="image1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123825</xdr:colOff>
      <xdr:row>10</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104775</xdr:colOff>
      <xdr:row>10</xdr:row>
      <xdr:rowOff>28575</xdr:rowOff>
    </xdr:from>
    <xdr:ext cx="361950" cy="390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10</xdr:row>
      <xdr:rowOff>38100</xdr:rowOff>
    </xdr:from>
    <xdr:ext cx="314325" cy="3905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171450</xdr:colOff>
      <xdr:row>10</xdr:row>
      <xdr:rowOff>19050</xdr:rowOff>
    </xdr:from>
    <xdr:ext cx="314325" cy="39052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190500</xdr:colOff>
      <xdr:row>10</xdr:row>
      <xdr:rowOff>47625</xdr:rowOff>
    </xdr:from>
    <xdr:ext cx="200025" cy="381000"/>
    <xdr:pic>
      <xdr:nvPicPr>
        <xdr:cNvPr id="0" name="image1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152400</xdr:colOff>
      <xdr:row>17</xdr:row>
      <xdr:rowOff>85725</xdr:rowOff>
    </xdr:from>
    <xdr:ext cx="314325" cy="266700"/>
    <xdr:pic>
      <xdr:nvPicPr>
        <xdr:cNvPr id="0" name="image2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219075</xdr:colOff>
      <xdr:row>17</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123825</xdr:colOff>
      <xdr:row>22</xdr:row>
      <xdr:rowOff>28575</xdr:rowOff>
    </xdr:from>
    <xdr:ext cx="361950" cy="352425"/>
    <xdr:pic>
      <xdr:nvPicPr>
        <xdr:cNvPr id="0" name="image1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104775</xdr:colOff>
      <xdr:row>18</xdr:row>
      <xdr:rowOff>66675</xdr:rowOff>
    </xdr:from>
    <xdr:ext cx="361950" cy="295275"/>
    <xdr:pic>
      <xdr:nvPicPr>
        <xdr:cNvPr id="0" name="image1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152400</xdr:colOff>
      <xdr:row>19</xdr:row>
      <xdr:rowOff>76200</xdr:rowOff>
    </xdr:from>
    <xdr:ext cx="314325" cy="295275"/>
    <xdr:pic>
      <xdr:nvPicPr>
        <xdr:cNvPr id="0" name="image18.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152400</xdr:colOff>
      <xdr:row>20</xdr:row>
      <xdr:rowOff>38100</xdr:rowOff>
    </xdr:from>
    <xdr:ext cx="285750" cy="361950"/>
    <xdr:pic>
      <xdr:nvPicPr>
        <xdr:cNvPr id="0" name="image2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228600</xdr:colOff>
      <xdr:row>18</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19</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20</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21</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22</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23</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38100</xdr:colOff>
      <xdr:row>21</xdr:row>
      <xdr:rowOff>76200</xdr:rowOff>
    </xdr:from>
    <xdr:ext cx="581025" cy="228600"/>
    <xdr:pic>
      <xdr:nvPicPr>
        <xdr:cNvPr id="0" name="image26.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76200</xdr:colOff>
      <xdr:row>22</xdr:row>
      <xdr:rowOff>466725</xdr:rowOff>
    </xdr:from>
    <xdr:ext cx="504825" cy="381000"/>
    <xdr:pic>
      <xdr:nvPicPr>
        <xdr:cNvPr id="0" name="image17.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123825</xdr:colOff>
      <xdr:row>22</xdr:row>
      <xdr:rowOff>28575</xdr:rowOff>
    </xdr:from>
    <xdr:ext cx="361950" cy="352425"/>
    <xdr:pic>
      <xdr:nvPicPr>
        <xdr:cNvPr id="0" name="image21.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228600</xdr:colOff>
      <xdr:row>23</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23</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228600</xdr:colOff>
      <xdr:row>24</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228600</xdr:colOff>
      <xdr:row>17</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228600</xdr:colOff>
      <xdr:row>18</xdr:row>
      <xdr:rowOff>104775</xdr:rowOff>
    </xdr:from>
    <xdr:ext cx="200025" cy="2286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28575</xdr:colOff>
      <xdr:row>17</xdr:row>
      <xdr:rowOff>104775</xdr:rowOff>
    </xdr:from>
    <xdr:ext cx="657225" cy="228600"/>
    <xdr:pic>
      <xdr:nvPicPr>
        <xdr:cNvPr id="0" name="image2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676275</xdr:colOff>
      <xdr:row>24</xdr:row>
      <xdr:rowOff>95250</xdr:rowOff>
    </xdr:from>
    <xdr:ext cx="657225" cy="228600"/>
    <xdr:pic>
      <xdr:nvPicPr>
        <xdr:cNvPr id="0" name="image24.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142875</xdr:colOff>
      <xdr:row>18</xdr:row>
      <xdr:rowOff>47625</xdr:rowOff>
    </xdr:from>
    <xdr:ext cx="428625" cy="352425"/>
    <xdr:pic>
      <xdr:nvPicPr>
        <xdr:cNvPr id="0" name="image27.png" title="Image"/>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xdr:row>
      <xdr:rowOff>95250</xdr:rowOff>
    </xdr:from>
    <xdr:ext cx="2400300" cy="5905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285750</xdr:colOff>
      <xdr:row>0</xdr:row>
      <xdr:rowOff>190500</xdr:rowOff>
    </xdr:from>
    <xdr:ext cx="2009775" cy="5619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xdr:row>
      <xdr:rowOff>95250</xdr:rowOff>
    </xdr:from>
    <xdr:ext cx="2400300" cy="5905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285750</xdr:colOff>
      <xdr:row>0</xdr:row>
      <xdr:rowOff>190500</xdr:rowOff>
    </xdr:from>
    <xdr:ext cx="2009775" cy="5619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xdr:row>
      <xdr:rowOff>95250</xdr:rowOff>
    </xdr:from>
    <xdr:ext cx="2400300" cy="5905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666750</xdr:colOff>
      <xdr:row>1</xdr:row>
      <xdr:rowOff>66675</xdr:rowOff>
    </xdr:from>
    <xdr:ext cx="2009775" cy="56197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0</xdr:rowOff>
    </xdr:from>
    <xdr:ext cx="2085975" cy="619125"/>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714375</xdr:colOff>
      <xdr:row>0</xdr:row>
      <xdr:rowOff>47625</xdr:rowOff>
    </xdr:from>
    <xdr:ext cx="1790700" cy="495300"/>
    <xdr:pic>
      <xdr:nvPicPr>
        <xdr:cNvPr id="0" name="image29.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D64:BG64" displayName="Table_1" name="Table_1" id="1">
  <tableColumns count="4">
    <tableColumn name="Column1" id="1"/>
    <tableColumn name="Column2" id="2"/>
    <tableColumn name="Column3" id="3"/>
    <tableColumn name="Column4" id="4"/>
  </tableColumns>
  <tableStyleInfo name="Everyday RewardsServices Data B-style" showColumnStripes="0" showFirstColumn="1" showLastColumn="1" showRowStripes="1"/>
</table>
</file>

<file path=xl/tables/table2.xml><?xml version="1.0" encoding="utf-8"?>
<table xmlns="http://schemas.openxmlformats.org/spreadsheetml/2006/main" headerRowCount="0" ref="M69:O69" displayName="Table_2" name="Table_2" id="2">
  <tableColumns count="3">
    <tableColumn name="Column1" id="1"/>
    <tableColumn name="Column2" id="2"/>
    <tableColumn name="Column3" id="3"/>
  </tableColumns>
  <tableStyleInfo name="Backup of Everyday RewardsFSC D-style" showColumnStripes="0" showFirstColumn="1" showLastColumn="1" showRowStripes="1"/>
</table>
</file>

<file path=xl/tables/table3.xml><?xml version="1.0" encoding="utf-8"?>
<table xmlns="http://schemas.openxmlformats.org/spreadsheetml/2006/main" headerRowCount="0" ref="G179:Q179"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Backup of Everyday RewardsFSC D-style 2" showColumnStripes="0" showFirstColumn="1" showLastColumn="1" showRowStripes="1"/>
</table>
</file>

<file path=xl/tables/table4.xml><?xml version="1.0" encoding="utf-8"?>
<table xmlns="http://schemas.openxmlformats.org/spreadsheetml/2006/main" headerRowCount="0" ref="G131:AU131" displayName="Table_4" name="Table_4" id="4">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NL Data Brief-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G133:AU133" displayName="Table_5" name="Table_5" id="5">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NL Data Brief-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oolworthslimited.atlassian.net/wiki/spaces/WR/pages/906858938/Filling+Out+The+Data+Brief+V7.7+2022"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presentation/d/1VFvVEuj-PwbqpMcjxvxxwDtY1sOEEl1aI7rUSSc-ZCk/edit" TargetMode="External"/><Relationship Id="rId2" Type="http://schemas.openxmlformats.org/officeDocument/2006/relationships/drawing" Target="../drawings/drawing6.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XQaTYaKkzuTidSYCj1Sr0cqNyuLL8kdKhd630ztvOYI/edit" TargetMode="External"/><Relationship Id="rId2" Type="http://schemas.openxmlformats.org/officeDocument/2006/relationships/hyperlink" Target="https://woolworthslimited.atlassian.net/wiki/spaces/CDD/pages/230424655/Offer+Attachment" TargetMode="External"/><Relationship Id="rId3" Type="http://schemas.openxmlformats.org/officeDocument/2006/relationships/hyperlink" Target="https://woolworthslimited.atlassian.net/wiki/spaces/CDD/pages/230424655/Offer+Attachment" TargetMode="External"/><Relationship Id="rId4" Type="http://schemas.openxmlformats.org/officeDocument/2006/relationships/hyperlink" Target="https://docs.google.com/presentation/d/1VFvVEuj-PwbqpMcjxvxxwDtY1sOEEl1aI7rUSSc-ZCk/edit" TargetMode="External"/><Relationship Id="rId9" Type="http://schemas.openxmlformats.org/officeDocument/2006/relationships/table" Target="../tables/table3.xml"/><Relationship Id="rId5" Type="http://schemas.openxmlformats.org/officeDocument/2006/relationships/drawing" Target="../drawings/drawing8.xml"/><Relationship Id="rId8"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4.xml"/><Relationship Id="rId5"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 customWidth="1" min="2" max="2" width="7.86"/>
  </cols>
  <sheetData>
    <row r="1">
      <c r="A1" s="1"/>
      <c r="B1" s="2"/>
      <c r="C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c r="A2" s="3"/>
      <c r="B2" s="4" t="s">
        <v>0</v>
      </c>
      <c r="C2" s="5"/>
      <c r="D2" s="5"/>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c r="A3" s="1"/>
      <c r="B3" s="2"/>
      <c r="C3" s="2"/>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c r="A4" s="1"/>
      <c r="B4" s="6" t="s">
        <v>1</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c r="A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c r="A6" s="1"/>
      <c r="B6" s="2"/>
      <c r="C6" s="2"/>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ht="14.25" customHeight="1">
      <c r="A7" s="1"/>
      <c r="B7" s="7" t="s">
        <v>2</v>
      </c>
      <c r="C7" s="8" t="s">
        <v>3</v>
      </c>
      <c r="D7" s="9"/>
      <c r="E7" s="1"/>
      <c r="F7" s="1"/>
      <c r="G7" s="1"/>
      <c r="H7" s="1"/>
      <c r="I7" s="1"/>
      <c r="J7" s="9"/>
      <c r="K7" s="9"/>
      <c r="L7" s="9"/>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ht="14.25" customHeight="1">
      <c r="A8" s="1"/>
      <c r="B8" s="7" t="s">
        <v>4</v>
      </c>
      <c r="C8" s="8" t="s">
        <v>5</v>
      </c>
      <c r="D8" s="9"/>
      <c r="E8" s="1"/>
      <c r="F8" s="1"/>
      <c r="G8" s="1"/>
      <c r="H8" s="1"/>
      <c r="I8" s="1"/>
      <c r="J8" s="9"/>
      <c r="K8" s="9"/>
      <c r="L8" s="9"/>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ht="14.25" customHeight="1">
      <c r="A9" s="1"/>
      <c r="B9" s="7" t="s">
        <v>6</v>
      </c>
      <c r="C9" s="8" t="s">
        <v>7</v>
      </c>
      <c r="D9" s="9"/>
      <c r="E9" s="1"/>
      <c r="F9" s="1"/>
      <c r="G9" s="1"/>
      <c r="H9" s="1"/>
      <c r="I9" s="1"/>
      <c r="J9" s="9"/>
      <c r="K9" s="9"/>
      <c r="L9" s="9"/>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ht="14.25" customHeight="1">
      <c r="A10" s="1"/>
      <c r="B10" s="7"/>
      <c r="C10" s="9"/>
      <c r="D10" s="9"/>
      <c r="E10" s="1"/>
      <c r="F10" s="1"/>
      <c r="G10" s="1"/>
      <c r="H10" s="1"/>
      <c r="I10" s="1"/>
      <c r="J10" s="9"/>
      <c r="K10" s="9"/>
      <c r="L10" s="9"/>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ht="14.25" customHeight="1">
      <c r="A11" s="1"/>
      <c r="B11" s="7" t="s">
        <v>8</v>
      </c>
      <c r="C11" s="9"/>
      <c r="D11" s="9"/>
      <c r="E11" s="1"/>
      <c r="F11" s="1"/>
      <c r="G11" s="1"/>
      <c r="H11" s="1"/>
      <c r="I11" s="1"/>
      <c r="J11" s="9"/>
      <c r="K11" s="9"/>
      <c r="L11" s="9"/>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ht="14.25" customHeight="1">
      <c r="A12" s="1"/>
      <c r="B12" s="7" t="s">
        <v>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c r="A13" s="1"/>
      <c r="B13" s="2"/>
      <c r="C13" s="2"/>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ht="14.25" customHeight="1">
      <c r="A14" s="1"/>
      <c r="B14" s="2"/>
      <c r="C14" s="9"/>
      <c r="D14" s="9"/>
      <c r="E14" s="1"/>
      <c r="F14" s="1"/>
      <c r="G14" s="1"/>
      <c r="H14" s="1"/>
      <c r="I14" s="1"/>
      <c r="J14" s="9"/>
      <c r="K14" s="9"/>
      <c r="L14" s="9"/>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ht="14.25" customHeight="1">
      <c r="A15" s="1"/>
      <c r="B15" s="2"/>
      <c r="C15" s="9"/>
      <c r="D15" s="9"/>
      <c r="E15" s="1"/>
      <c r="F15" s="1"/>
      <c r="G15" s="1"/>
      <c r="H15" s="1"/>
      <c r="I15" s="1"/>
      <c r="J15" s="9"/>
      <c r="K15" s="9"/>
      <c r="L15" s="9"/>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ht="14.25" customHeight="1">
      <c r="A16" s="1"/>
      <c r="B16" s="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c r="A17" s="1"/>
      <c r="B17" s="2"/>
      <c r="C17" s="2"/>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ht="14.25" customHeight="1">
      <c r="A18" s="10"/>
      <c r="B18" s="2"/>
      <c r="C18" s="11"/>
      <c r="D18" s="11"/>
      <c r="E18" s="10"/>
      <c r="F18" s="10"/>
      <c r="G18" s="10"/>
      <c r="H18" s="10"/>
      <c r="I18" s="10"/>
      <c r="J18" s="11"/>
      <c r="K18" s="11"/>
      <c r="L18" s="11"/>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row>
    <row r="19" ht="14.25" customHeight="1">
      <c r="A19" s="10"/>
      <c r="B19" s="2"/>
      <c r="C19" s="11"/>
      <c r="D19" s="11"/>
      <c r="E19" s="10"/>
      <c r="F19" s="10"/>
      <c r="G19" s="10"/>
      <c r="H19" s="10"/>
      <c r="I19" s="10"/>
      <c r="J19" s="11"/>
      <c r="K19" s="11"/>
      <c r="L19" s="11"/>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row>
    <row r="20" ht="14.25" customHeight="1">
      <c r="A20" s="10"/>
      <c r="B20" s="2"/>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row>
    <row r="21">
      <c r="A21" s="1"/>
      <c r="B21" s="2"/>
      <c r="C21" s="2"/>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c r="A22" s="1"/>
      <c r="B22" s="2"/>
      <c r="C22" s="2"/>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c r="A23" s="1"/>
      <c r="B23" s="2"/>
      <c r="C23" s="2"/>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c r="A24" s="1"/>
      <c r="B24" s="2"/>
      <c r="C24" s="2"/>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c r="A25" s="1"/>
      <c r="B25" s="2"/>
      <c r="C25" s="2"/>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c r="A26" s="1"/>
      <c r="B26" s="2"/>
      <c r="C26" s="2"/>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c r="A27" s="1"/>
      <c r="B27" s="2"/>
      <c r="C27" s="2"/>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c r="A28" s="1"/>
      <c r="B28" s="2"/>
      <c r="C28" s="2"/>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c r="A29" s="1"/>
      <c r="B29" s="2"/>
      <c r="C29" s="2"/>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c r="A30" s="1"/>
      <c r="B30" s="2"/>
      <c r="C30" s="2"/>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c r="A31" s="1"/>
      <c r="B31" s="2"/>
      <c r="C31" s="2"/>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c r="A32" s="1"/>
      <c r="B32" s="2"/>
      <c r="C32" s="2"/>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c r="A33" s="1"/>
      <c r="B33" s="2"/>
      <c r="C33" s="2"/>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c r="A34" s="1"/>
      <c r="B34" s="2"/>
      <c r="C34" s="2"/>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c r="A35" s="1"/>
      <c r="B35" s="2"/>
      <c r="C35" s="2"/>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c r="A36" s="1"/>
      <c r="B36" s="2"/>
      <c r="C36" s="2"/>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c r="A37" s="1"/>
      <c r="B37" s="2"/>
      <c r="C37" s="2"/>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c r="A38" s="1"/>
      <c r="B38" s="2"/>
      <c r="C38" s="2"/>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c r="A39" s="1"/>
      <c r="B39" s="2"/>
      <c r="C39" s="2"/>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c r="A40" s="1"/>
      <c r="B40" s="2"/>
      <c r="C40" s="2"/>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c r="A41" s="1"/>
      <c r="B41" s="2"/>
      <c r="C41" s="2"/>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c r="A42" s="1"/>
      <c r="B42" s="2"/>
      <c r="C42" s="2"/>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c r="A43" s="1"/>
      <c r="B43" s="2"/>
      <c r="C43" s="2"/>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c r="A44" s="1"/>
      <c r="B44" s="2"/>
      <c r="C44" s="2"/>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c r="A45" s="1"/>
      <c r="B45" s="2"/>
      <c r="C45" s="2"/>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c r="A46" s="1"/>
      <c r="B46" s="2"/>
      <c r="C46" s="2"/>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c r="A47" s="1"/>
      <c r="B47" s="2"/>
      <c r="C47" s="2"/>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c r="A48" s="1"/>
      <c r="B48" s="2"/>
      <c r="C48" s="2"/>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c r="A49" s="1"/>
      <c r="B49" s="2"/>
      <c r="C49" s="2"/>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c r="A50" s="1"/>
      <c r="B50" s="2"/>
      <c r="C50" s="2"/>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c r="A51" s="1"/>
      <c r="B51" s="2"/>
      <c r="C51" s="2"/>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c r="A52" s="1"/>
      <c r="B52" s="2"/>
      <c r="C52" s="2"/>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c r="A53" s="1"/>
      <c r="B53" s="2"/>
      <c r="C53" s="2"/>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c r="A54" s="1"/>
      <c r="B54" s="2"/>
      <c r="C54" s="2"/>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c r="A55" s="1"/>
      <c r="B55" s="2"/>
      <c r="C55" s="2"/>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c r="A56" s="1"/>
      <c r="B56" s="2"/>
      <c r="C56" s="2"/>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c r="A57" s="1"/>
      <c r="B57" s="2"/>
      <c r="C57" s="2"/>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c r="A58" s="1"/>
      <c r="B58" s="2"/>
      <c r="C58" s="2"/>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c r="A59" s="1"/>
      <c r="B59" s="2"/>
      <c r="C59" s="2"/>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c r="A60" s="1"/>
      <c r="B60" s="2"/>
      <c r="C60" s="2"/>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c r="A61" s="1"/>
      <c r="B61" s="2"/>
      <c r="C61" s="2"/>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c r="A62" s="1"/>
      <c r="B62" s="2"/>
      <c r="C62" s="2"/>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c r="A63" s="1"/>
      <c r="B63" s="2"/>
      <c r="C63" s="2"/>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c r="A64" s="1"/>
      <c r="B64" s="2"/>
      <c r="C64" s="2"/>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c r="A65" s="1"/>
      <c r="B65" s="2"/>
      <c r="C65" s="2"/>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c r="A66" s="1"/>
      <c r="B66" s="2"/>
      <c r="C66" s="2"/>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c r="A67" s="1"/>
      <c r="B67" s="2"/>
      <c r="C67" s="2"/>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c r="A68" s="1"/>
      <c r="B68" s="2"/>
      <c r="C68" s="2"/>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c r="A69" s="1"/>
      <c r="B69" s="2"/>
      <c r="C69" s="2"/>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c r="A70" s="1"/>
      <c r="B70" s="2"/>
      <c r="C70" s="2"/>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c r="A71" s="1"/>
      <c r="B71" s="2"/>
      <c r="C71" s="2"/>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c r="A72" s="1"/>
      <c r="B72" s="2"/>
      <c r="C72" s="2"/>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c r="A73" s="1"/>
      <c r="B73" s="2"/>
      <c r="C73" s="2"/>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c r="A74" s="1"/>
      <c r="B74" s="2"/>
      <c r="C74" s="2"/>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c r="A75" s="1"/>
      <c r="B75" s="2"/>
      <c r="C75" s="2"/>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c r="A76" s="1"/>
      <c r="B76" s="2"/>
      <c r="C76" s="2"/>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c r="A77" s="1"/>
      <c r="B77" s="2"/>
      <c r="C77" s="2"/>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c r="A78" s="1"/>
      <c r="B78" s="2"/>
      <c r="C78" s="2"/>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c r="A79" s="1"/>
      <c r="B79" s="2"/>
      <c r="C79" s="2"/>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c r="A80" s="1"/>
      <c r="B80" s="2"/>
      <c r="C80" s="2"/>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c r="A81" s="1"/>
      <c r="B81" s="2"/>
      <c r="C81" s="2"/>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row r="82">
      <c r="A82" s="1"/>
      <c r="B82" s="2"/>
      <c r="C82" s="2"/>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row>
    <row r="83">
      <c r="A83" s="1"/>
      <c r="B83" s="2"/>
      <c r="C83" s="2"/>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row>
    <row r="84">
      <c r="A84" s="1"/>
      <c r="B84" s="2"/>
      <c r="C84" s="2"/>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row>
    <row r="85">
      <c r="A85" s="1"/>
      <c r="B85" s="2"/>
      <c r="C85" s="2"/>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row>
    <row r="86">
      <c r="A86" s="1"/>
      <c r="B86" s="2"/>
      <c r="C86" s="2"/>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row>
    <row r="87">
      <c r="A87" s="1"/>
      <c r="B87" s="2"/>
      <c r="C87" s="2"/>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row>
    <row r="88">
      <c r="A88" s="1"/>
      <c r="B88" s="2"/>
      <c r="C88" s="2"/>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row>
    <row r="89">
      <c r="A89" s="1"/>
      <c r="B89" s="2"/>
      <c r="C89" s="2"/>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row>
    <row r="90">
      <c r="A90" s="1"/>
      <c r="B90" s="2"/>
      <c r="C90" s="2"/>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row>
    <row r="91">
      <c r="A91" s="1"/>
      <c r="B91" s="2"/>
      <c r="C91" s="2"/>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row>
    <row r="92">
      <c r="A92" s="1"/>
      <c r="B92" s="2"/>
      <c r="C92" s="2"/>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row>
    <row r="93">
      <c r="A93" s="1"/>
      <c r="B93" s="2"/>
      <c r="C93" s="2"/>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row>
    <row r="94">
      <c r="A94" s="1"/>
      <c r="B94" s="2"/>
      <c r="C94" s="2"/>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row>
    <row r="95">
      <c r="A95" s="1"/>
      <c r="B95" s="2"/>
      <c r="C95" s="2"/>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row>
    <row r="96">
      <c r="A96" s="1"/>
      <c r="B96" s="2"/>
      <c r="C96" s="2"/>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row>
    <row r="97">
      <c r="A97" s="1"/>
      <c r="B97" s="2"/>
      <c r="C97" s="2"/>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row>
    <row r="98">
      <c r="A98" s="1"/>
      <c r="B98" s="2"/>
      <c r="C98" s="2"/>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row>
    <row r="99">
      <c r="A99" s="1"/>
      <c r="B99" s="2"/>
      <c r="C99" s="2"/>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row>
    <row r="100">
      <c r="A100" s="1"/>
      <c r="B100" s="2"/>
      <c r="C100" s="2"/>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row>
    <row r="101">
      <c r="A101" s="1"/>
      <c r="B101" s="2"/>
      <c r="C101" s="2"/>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row>
    <row r="102">
      <c r="A102" s="1"/>
      <c r="B102" s="2"/>
      <c r="C102" s="2"/>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row>
    <row r="103">
      <c r="A103" s="1"/>
      <c r="B103" s="2"/>
      <c r="C103" s="2"/>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row>
    <row r="104">
      <c r="A104" s="1"/>
      <c r="B104" s="2"/>
      <c r="C104" s="2"/>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row>
    <row r="105">
      <c r="A105" s="1"/>
      <c r="B105" s="2"/>
      <c r="C105" s="2"/>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row>
    <row r="106">
      <c r="A106" s="1"/>
      <c r="B106" s="2"/>
      <c r="C106" s="2"/>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row>
    <row r="107">
      <c r="A107" s="1"/>
      <c r="B107" s="2"/>
      <c r="C107" s="2"/>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row>
    <row r="108">
      <c r="A108" s="1"/>
      <c r="B108" s="2"/>
      <c r="C108" s="2"/>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row>
    <row r="109">
      <c r="A109" s="1"/>
      <c r="B109" s="2"/>
      <c r="C109" s="2"/>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row>
    <row r="110">
      <c r="A110" s="1"/>
      <c r="B110" s="2"/>
      <c r="C110" s="2"/>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row>
    <row r="111">
      <c r="A111" s="1"/>
      <c r="B111" s="2"/>
      <c r="C111" s="2"/>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row>
    <row r="112">
      <c r="A112" s="1"/>
      <c r="B112" s="2"/>
      <c r="C112" s="2"/>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row>
    <row r="113">
      <c r="A113" s="1"/>
      <c r="B113" s="2"/>
      <c r="C113" s="2"/>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row>
    <row r="114">
      <c r="A114" s="1"/>
      <c r="B114" s="2"/>
      <c r="C114" s="2"/>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row>
    <row r="115">
      <c r="A115" s="1"/>
      <c r="B115" s="2"/>
      <c r="C115" s="2"/>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row>
    <row r="116">
      <c r="A116" s="1"/>
      <c r="B116" s="2"/>
      <c r="C116" s="2"/>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row>
    <row r="117">
      <c r="A117" s="1"/>
      <c r="B117" s="2"/>
      <c r="C117" s="2"/>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row>
    <row r="118">
      <c r="A118" s="1"/>
      <c r="B118" s="2"/>
      <c r="C118" s="2"/>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row>
    <row r="119">
      <c r="A119" s="1"/>
      <c r="B119" s="2"/>
      <c r="C119" s="2"/>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row>
    <row r="120">
      <c r="A120" s="1"/>
      <c r="B120" s="2"/>
      <c r="C120" s="2"/>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row>
    <row r="121">
      <c r="A121" s="1"/>
      <c r="B121" s="2"/>
      <c r="C121" s="2"/>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row>
    <row r="122">
      <c r="A122" s="1"/>
      <c r="B122" s="2"/>
      <c r="C122" s="2"/>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row>
    <row r="123">
      <c r="A123" s="1"/>
      <c r="B123" s="2"/>
      <c r="C123" s="2"/>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row>
    <row r="124">
      <c r="A124" s="1"/>
      <c r="B124" s="2"/>
      <c r="C124" s="2"/>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row>
    <row r="125">
      <c r="A125" s="1"/>
      <c r="B125" s="2"/>
      <c r="C125" s="2"/>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row>
    <row r="126">
      <c r="A126" s="1"/>
      <c r="B126" s="2"/>
      <c r="C126" s="2"/>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row>
    <row r="127">
      <c r="A127" s="1"/>
      <c r="B127" s="2"/>
      <c r="C127" s="2"/>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row>
    <row r="128">
      <c r="A128" s="1"/>
      <c r="B128" s="2"/>
      <c r="C128" s="2"/>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row>
    <row r="129">
      <c r="A129" s="1"/>
      <c r="B129" s="2"/>
      <c r="C129" s="2"/>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row>
    <row r="130">
      <c r="A130" s="1"/>
      <c r="B130" s="2"/>
      <c r="C130" s="2"/>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row>
    <row r="131">
      <c r="A131" s="1"/>
      <c r="B131" s="2"/>
      <c r="C131" s="2"/>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row>
    <row r="132">
      <c r="A132" s="1"/>
      <c r="B132" s="2"/>
      <c r="C132" s="2"/>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row>
    <row r="133">
      <c r="A133" s="1"/>
      <c r="B133" s="2"/>
      <c r="C133" s="2"/>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row>
    <row r="134">
      <c r="A134" s="1"/>
      <c r="B134" s="2"/>
      <c r="C134" s="2"/>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row>
    <row r="135">
      <c r="A135" s="1"/>
      <c r="B135" s="2"/>
      <c r="C135" s="2"/>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row>
    <row r="136">
      <c r="A136" s="1"/>
      <c r="B136" s="2"/>
      <c r="C136" s="2"/>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row>
    <row r="137">
      <c r="A137" s="1"/>
      <c r="B137" s="2"/>
      <c r="C137" s="2"/>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row>
    <row r="138">
      <c r="A138" s="1"/>
      <c r="B138" s="2"/>
      <c r="C138" s="2"/>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row>
    <row r="139">
      <c r="A139" s="1"/>
      <c r="B139" s="2"/>
      <c r="C139" s="2"/>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row>
    <row r="140">
      <c r="A140" s="1"/>
      <c r="B140" s="2"/>
      <c r="C140" s="2"/>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row>
    <row r="141">
      <c r="A141" s="1"/>
      <c r="B141" s="2"/>
      <c r="C141" s="2"/>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row>
    <row r="142">
      <c r="A142" s="1"/>
      <c r="B142" s="2"/>
      <c r="C142" s="2"/>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row>
    <row r="143">
      <c r="A143" s="1"/>
      <c r="B143" s="2"/>
      <c r="C143" s="2"/>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row>
    <row r="144">
      <c r="A144" s="1"/>
      <c r="B144" s="2"/>
      <c r="C144" s="2"/>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row>
    <row r="145">
      <c r="A145" s="1"/>
      <c r="B145" s="2"/>
      <c r="C145" s="2"/>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row>
    <row r="146">
      <c r="A146" s="1"/>
      <c r="B146" s="2"/>
      <c r="C146" s="2"/>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row>
    <row r="147">
      <c r="A147" s="1"/>
      <c r="B147" s="2"/>
      <c r="C147" s="2"/>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row>
    <row r="148">
      <c r="A148" s="1"/>
      <c r="B148" s="2"/>
      <c r="C148" s="2"/>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row>
    <row r="149">
      <c r="A149" s="1"/>
      <c r="B149" s="2"/>
      <c r="C149" s="2"/>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row>
    <row r="150">
      <c r="A150" s="1"/>
      <c r="B150" s="2"/>
      <c r="C150" s="2"/>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row>
    <row r="151">
      <c r="A151" s="1"/>
      <c r="B151" s="2"/>
      <c r="C151" s="2"/>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row>
    <row r="152">
      <c r="A152" s="1"/>
      <c r="B152" s="2"/>
      <c r="C152" s="2"/>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row>
    <row r="153">
      <c r="A153" s="1"/>
      <c r="B153" s="2"/>
      <c r="C153" s="2"/>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c r="A154" s="1"/>
      <c r="B154" s="2"/>
      <c r="C154" s="2"/>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row>
    <row r="155">
      <c r="A155" s="1"/>
      <c r="B155" s="2"/>
      <c r="C155" s="2"/>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row>
    <row r="156">
      <c r="A156" s="1"/>
      <c r="B156" s="2"/>
      <c r="C156" s="2"/>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row>
    <row r="157">
      <c r="A157" s="1"/>
      <c r="B157" s="2"/>
      <c r="C157" s="2"/>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row>
    <row r="158">
      <c r="A158" s="1"/>
      <c r="B158" s="2"/>
      <c r="C158" s="2"/>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row>
    <row r="159">
      <c r="A159" s="1"/>
      <c r="B159" s="2"/>
      <c r="C159" s="2"/>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row>
    <row r="160">
      <c r="A160" s="1"/>
      <c r="B160" s="2"/>
      <c r="C160" s="2"/>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row>
    <row r="161">
      <c r="A161" s="1"/>
      <c r="B161" s="2"/>
      <c r="C161" s="2"/>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row>
    <row r="162">
      <c r="A162" s="1"/>
      <c r="B162" s="2"/>
      <c r="C162" s="2"/>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c r="A163" s="1"/>
      <c r="B163" s="2"/>
      <c r="C163" s="2"/>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row>
    <row r="164">
      <c r="A164" s="1"/>
      <c r="B164" s="2"/>
      <c r="C164" s="2"/>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row>
    <row r="165">
      <c r="A165" s="1"/>
      <c r="B165" s="2"/>
      <c r="C165" s="2"/>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row>
    <row r="166">
      <c r="A166" s="1"/>
      <c r="B166" s="2"/>
      <c r="C166" s="2"/>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row>
    <row r="167">
      <c r="A167" s="1"/>
      <c r="B167" s="2"/>
      <c r="C167" s="2"/>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row>
    <row r="168">
      <c r="A168" s="1"/>
      <c r="B168" s="2"/>
      <c r="C168" s="2"/>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row>
    <row r="169">
      <c r="A169" s="1"/>
      <c r="B169" s="2"/>
      <c r="C169" s="2"/>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row>
    <row r="170">
      <c r="A170" s="1"/>
      <c r="B170" s="2"/>
      <c r="C170" s="2"/>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row>
    <row r="171">
      <c r="A171" s="1"/>
      <c r="B171" s="2"/>
      <c r="C171" s="2"/>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row>
    <row r="172">
      <c r="A172" s="1"/>
      <c r="B172" s="2"/>
      <c r="C172" s="2"/>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row>
    <row r="173">
      <c r="A173" s="1"/>
      <c r="B173" s="2"/>
      <c r="C173" s="2"/>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row>
    <row r="174">
      <c r="A174" s="1"/>
      <c r="B174" s="2"/>
      <c r="C174" s="2"/>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row>
    <row r="175">
      <c r="A175" s="1"/>
      <c r="B175" s="2"/>
      <c r="C175" s="2"/>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row>
    <row r="176">
      <c r="A176" s="1"/>
      <c r="B176" s="2"/>
      <c r="C176" s="2"/>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row>
    <row r="177">
      <c r="A177" s="1"/>
      <c r="B177" s="2"/>
      <c r="C177" s="2"/>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row>
    <row r="178">
      <c r="A178" s="1"/>
      <c r="B178" s="2"/>
      <c r="C178" s="2"/>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row>
    <row r="179">
      <c r="A179" s="1"/>
      <c r="B179" s="2"/>
      <c r="C179" s="2"/>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row>
    <row r="180">
      <c r="A180" s="1"/>
      <c r="B180" s="2"/>
      <c r="C180" s="2"/>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row>
    <row r="181">
      <c r="A181" s="1"/>
      <c r="B181" s="2"/>
      <c r="C181" s="2"/>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row>
    <row r="182">
      <c r="A182" s="1"/>
      <c r="B182" s="2"/>
      <c r="C182" s="2"/>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row>
    <row r="183">
      <c r="A183" s="1"/>
      <c r="B183" s="2"/>
      <c r="C183" s="2"/>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row>
    <row r="184">
      <c r="A184" s="1"/>
      <c r="B184" s="2"/>
      <c r="C184" s="2"/>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row>
    <row r="185">
      <c r="A185" s="1"/>
      <c r="B185" s="2"/>
      <c r="C185" s="2"/>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row>
    <row r="186">
      <c r="A186" s="1"/>
      <c r="B186" s="2"/>
      <c r="C186" s="2"/>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row>
    <row r="187">
      <c r="A187" s="1"/>
      <c r="B187" s="2"/>
      <c r="C187" s="2"/>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row>
    <row r="188">
      <c r="A188" s="1"/>
      <c r="B188" s="2"/>
      <c r="C188" s="2"/>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row>
    <row r="189">
      <c r="A189" s="1"/>
      <c r="B189" s="2"/>
      <c r="C189" s="2"/>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row>
    <row r="190">
      <c r="A190" s="1"/>
      <c r="B190" s="2"/>
      <c r="C190" s="2"/>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row>
    <row r="191">
      <c r="A191" s="1"/>
      <c r="B191" s="2"/>
      <c r="C191" s="2"/>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row>
    <row r="192">
      <c r="A192" s="1"/>
      <c r="B192" s="2"/>
      <c r="C192" s="2"/>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row>
    <row r="193">
      <c r="A193" s="1"/>
      <c r="B193" s="2"/>
      <c r="C193" s="2"/>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row>
    <row r="194">
      <c r="A194" s="1"/>
      <c r="B194" s="2"/>
      <c r="C194" s="2"/>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row>
    <row r="195">
      <c r="A195" s="1"/>
      <c r="B195" s="2"/>
      <c r="C195" s="2"/>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row>
    <row r="196">
      <c r="A196" s="1"/>
      <c r="B196" s="2"/>
      <c r="C196" s="2"/>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row>
    <row r="197">
      <c r="A197" s="1"/>
      <c r="B197" s="2"/>
      <c r="C197" s="2"/>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row>
    <row r="198">
      <c r="A198" s="1"/>
      <c r="B198" s="2"/>
      <c r="C198" s="2"/>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row>
    <row r="199">
      <c r="A199" s="1"/>
      <c r="B199" s="2"/>
      <c r="C199" s="2"/>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row>
    <row r="200">
      <c r="A200" s="1"/>
      <c r="B200" s="2"/>
      <c r="C200" s="2"/>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row>
    <row r="201">
      <c r="A201" s="1"/>
      <c r="B201" s="2"/>
      <c r="C201" s="2"/>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row>
    <row r="202">
      <c r="A202" s="1"/>
      <c r="B202" s="2"/>
      <c r="C202" s="2"/>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row>
    <row r="203">
      <c r="A203" s="1"/>
      <c r="B203" s="2"/>
      <c r="C203" s="2"/>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row>
    <row r="204">
      <c r="A204" s="1"/>
      <c r="B204" s="2"/>
      <c r="C204" s="2"/>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row>
    <row r="205">
      <c r="A205" s="1"/>
      <c r="B205" s="2"/>
      <c r="C205" s="2"/>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row>
    <row r="206">
      <c r="A206" s="1"/>
      <c r="B206" s="2"/>
      <c r="C206" s="2"/>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row>
    <row r="207">
      <c r="A207" s="1"/>
      <c r="B207" s="2"/>
      <c r="C207" s="2"/>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row>
    <row r="208">
      <c r="A208" s="1"/>
      <c r="B208" s="2"/>
      <c r="C208" s="2"/>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row>
    <row r="209">
      <c r="A209" s="1"/>
      <c r="B209" s="2"/>
      <c r="C209" s="2"/>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row>
    <row r="210">
      <c r="A210" s="1"/>
      <c r="B210" s="2"/>
      <c r="C210" s="2"/>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row>
    <row r="211">
      <c r="A211" s="1"/>
      <c r="B211" s="2"/>
      <c r="C211" s="2"/>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row>
    <row r="212">
      <c r="A212" s="1"/>
      <c r="B212" s="2"/>
      <c r="C212" s="2"/>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row>
    <row r="213">
      <c r="A213" s="1"/>
      <c r="B213" s="2"/>
      <c r="C213" s="2"/>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row>
    <row r="214">
      <c r="A214" s="1"/>
      <c r="B214" s="2"/>
      <c r="C214" s="2"/>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row>
    <row r="215">
      <c r="A215" s="1"/>
      <c r="B215" s="2"/>
      <c r="C215" s="2"/>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row>
    <row r="216">
      <c r="A216" s="1"/>
      <c r="B216" s="2"/>
      <c r="C216" s="2"/>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row>
    <row r="217">
      <c r="A217" s="1"/>
      <c r="B217" s="2"/>
      <c r="C217" s="2"/>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row>
    <row r="218">
      <c r="A218" s="1"/>
      <c r="B218" s="2"/>
      <c r="C218" s="2"/>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row>
    <row r="219">
      <c r="A219" s="1"/>
      <c r="B219" s="2"/>
      <c r="C219" s="2"/>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row>
    <row r="220">
      <c r="A220" s="1"/>
      <c r="B220" s="2"/>
      <c r="C220" s="2"/>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row>
    <row r="221">
      <c r="A221" s="1"/>
      <c r="B221" s="2"/>
      <c r="C221" s="2"/>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row>
    <row r="222">
      <c r="A222" s="1"/>
      <c r="B222" s="2"/>
      <c r="C222" s="2"/>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row>
    <row r="223">
      <c r="A223" s="1"/>
      <c r="B223" s="2"/>
      <c r="C223" s="2"/>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row>
    <row r="224">
      <c r="A224" s="1"/>
      <c r="B224" s="2"/>
      <c r="C224" s="2"/>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row>
    <row r="225">
      <c r="A225" s="1"/>
      <c r="B225" s="2"/>
      <c r="C225" s="2"/>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row>
    <row r="226">
      <c r="A226" s="1"/>
      <c r="B226" s="2"/>
      <c r="C226" s="2"/>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row>
    <row r="227">
      <c r="A227" s="1"/>
      <c r="B227" s="2"/>
      <c r="C227" s="2"/>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row>
    <row r="228">
      <c r="A228" s="1"/>
      <c r="B228" s="2"/>
      <c r="C228" s="2"/>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row>
    <row r="229">
      <c r="A229" s="1"/>
      <c r="B229" s="2"/>
      <c r="C229" s="2"/>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row>
    <row r="230">
      <c r="A230" s="1"/>
      <c r="B230" s="2"/>
      <c r="C230" s="2"/>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row>
    <row r="231">
      <c r="A231" s="1"/>
      <c r="B231" s="2"/>
      <c r="C231" s="2"/>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row>
    <row r="232">
      <c r="A232" s="1"/>
      <c r="B232" s="2"/>
      <c r="C232" s="2"/>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row>
    <row r="233">
      <c r="A233" s="1"/>
      <c r="B233" s="2"/>
      <c r="C233" s="2"/>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row>
    <row r="234">
      <c r="A234" s="1"/>
      <c r="B234" s="2"/>
      <c r="C234" s="2"/>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row>
    <row r="235">
      <c r="A235" s="1"/>
      <c r="B235" s="2"/>
      <c r="C235" s="2"/>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row>
    <row r="236">
      <c r="A236" s="1"/>
      <c r="B236" s="2"/>
      <c r="C236" s="2"/>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row>
    <row r="237">
      <c r="A237" s="1"/>
      <c r="B237" s="2"/>
      <c r="C237" s="2"/>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row>
    <row r="238">
      <c r="A238" s="1"/>
      <c r="B238" s="2"/>
      <c r="C238" s="2"/>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row>
    <row r="239">
      <c r="A239" s="1"/>
      <c r="B239" s="2"/>
      <c r="C239" s="2"/>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row>
    <row r="240">
      <c r="A240" s="1"/>
      <c r="B240" s="2"/>
      <c r="C240" s="2"/>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row>
    <row r="241">
      <c r="A241" s="1"/>
      <c r="B241" s="2"/>
      <c r="C241" s="2"/>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row>
    <row r="242">
      <c r="A242" s="1"/>
      <c r="B242" s="2"/>
      <c r="C242" s="2"/>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row>
    <row r="243">
      <c r="A243" s="1"/>
      <c r="B243" s="2"/>
      <c r="C243" s="2"/>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row>
    <row r="244">
      <c r="A244" s="1"/>
      <c r="B244" s="2"/>
      <c r="C244" s="2"/>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row>
    <row r="245">
      <c r="A245" s="1"/>
      <c r="B245" s="2"/>
      <c r="C245" s="2"/>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row>
    <row r="246">
      <c r="A246" s="1"/>
      <c r="B246" s="2"/>
      <c r="C246" s="2"/>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row>
    <row r="247">
      <c r="A247" s="1"/>
      <c r="B247" s="2"/>
      <c r="C247" s="2"/>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row>
    <row r="248">
      <c r="A248" s="1"/>
      <c r="B248" s="2"/>
      <c r="C248" s="2"/>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row>
    <row r="249">
      <c r="A249" s="1"/>
      <c r="B249" s="2"/>
      <c r="C249" s="2"/>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row>
    <row r="250">
      <c r="A250" s="1"/>
      <c r="B250" s="2"/>
      <c r="C250" s="2"/>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row>
    <row r="251">
      <c r="A251" s="1"/>
      <c r="B251" s="2"/>
      <c r="C251" s="2"/>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row>
    <row r="252">
      <c r="A252" s="1"/>
      <c r="B252" s="2"/>
      <c r="C252" s="2"/>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row>
    <row r="253">
      <c r="A253" s="1"/>
      <c r="B253" s="2"/>
      <c r="C253" s="2"/>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row>
    <row r="254">
      <c r="A254" s="1"/>
      <c r="B254" s="2"/>
      <c r="C254" s="2"/>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row>
    <row r="255">
      <c r="A255" s="1"/>
      <c r="B255" s="2"/>
      <c r="C255" s="2"/>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row>
    <row r="256">
      <c r="A256" s="1"/>
      <c r="B256" s="2"/>
      <c r="C256" s="2"/>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row>
    <row r="257">
      <c r="A257" s="1"/>
      <c r="B257" s="2"/>
      <c r="C257" s="2"/>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row>
    <row r="258">
      <c r="A258" s="1"/>
      <c r="B258" s="2"/>
      <c r="C258" s="2"/>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row>
    <row r="259">
      <c r="A259" s="1"/>
      <c r="B259" s="2"/>
      <c r="C259" s="2"/>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row>
    <row r="260">
      <c r="A260" s="1"/>
      <c r="B260" s="2"/>
      <c r="C260" s="2"/>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row>
    <row r="261">
      <c r="A261" s="1"/>
      <c r="B261" s="2"/>
      <c r="C261" s="2"/>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row>
    <row r="262">
      <c r="A262" s="1"/>
      <c r="B262" s="2"/>
      <c r="C262" s="2"/>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row>
    <row r="263">
      <c r="A263" s="1"/>
      <c r="B263" s="2"/>
      <c r="C263" s="2"/>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row>
    <row r="264">
      <c r="A264" s="1"/>
      <c r="B264" s="2"/>
      <c r="C264" s="2"/>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row>
    <row r="265">
      <c r="A265" s="1"/>
      <c r="B265" s="2"/>
      <c r="C265" s="2"/>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row>
    <row r="266">
      <c r="A266" s="1"/>
      <c r="B266" s="2"/>
      <c r="C266" s="2"/>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row>
    <row r="267">
      <c r="A267" s="1"/>
      <c r="B267" s="2"/>
      <c r="C267" s="2"/>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row>
    <row r="268">
      <c r="A268" s="1"/>
      <c r="B268" s="2"/>
      <c r="C268" s="2"/>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row>
    <row r="269">
      <c r="A269" s="1"/>
      <c r="B269" s="2"/>
      <c r="C269" s="2"/>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row>
    <row r="270">
      <c r="A270" s="1"/>
      <c r="B270" s="2"/>
      <c r="C270" s="2"/>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row>
    <row r="271">
      <c r="A271" s="1"/>
      <c r="B271" s="2"/>
      <c r="C271" s="2"/>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row>
    <row r="272">
      <c r="A272" s="1"/>
      <c r="B272" s="2"/>
      <c r="C272" s="2"/>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row>
    <row r="273">
      <c r="A273" s="1"/>
      <c r="B273" s="2"/>
      <c r="C273" s="2"/>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row>
    <row r="274">
      <c r="A274" s="1"/>
      <c r="B274" s="2"/>
      <c r="C274" s="2"/>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row>
    <row r="275">
      <c r="A275" s="1"/>
      <c r="B275" s="2"/>
      <c r="C275" s="2"/>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row>
    <row r="276">
      <c r="A276" s="1"/>
      <c r="B276" s="2"/>
      <c r="C276" s="2"/>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row>
    <row r="277">
      <c r="A277" s="1"/>
      <c r="B277" s="2"/>
      <c r="C277" s="2"/>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row>
    <row r="278">
      <c r="A278" s="1"/>
      <c r="B278" s="2"/>
      <c r="C278" s="2"/>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row>
    <row r="279">
      <c r="A279" s="1"/>
      <c r="B279" s="2"/>
      <c r="C279" s="2"/>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row>
    <row r="280">
      <c r="A280" s="1"/>
      <c r="B280" s="2"/>
      <c r="C280" s="2"/>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row>
    <row r="281">
      <c r="A281" s="1"/>
      <c r="B281" s="2"/>
      <c r="C281" s="2"/>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row>
    <row r="282">
      <c r="A282" s="1"/>
      <c r="B282" s="2"/>
      <c r="C282" s="2"/>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row>
    <row r="283">
      <c r="A283" s="1"/>
      <c r="B283" s="2"/>
      <c r="C283" s="2"/>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row>
    <row r="284">
      <c r="A284" s="1"/>
      <c r="B284" s="2"/>
      <c r="C284" s="2"/>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row>
    <row r="285">
      <c r="A285" s="1"/>
      <c r="B285" s="2"/>
      <c r="C285" s="2"/>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row>
    <row r="286">
      <c r="A286" s="1"/>
      <c r="B286" s="2"/>
      <c r="C286" s="2"/>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row>
    <row r="287">
      <c r="A287" s="1"/>
      <c r="B287" s="2"/>
      <c r="C287" s="2"/>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row>
    <row r="288">
      <c r="A288" s="1"/>
      <c r="B288" s="2"/>
      <c r="C288" s="2"/>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row>
    <row r="289">
      <c r="A289" s="1"/>
      <c r="B289" s="2"/>
      <c r="C289" s="2"/>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row>
    <row r="290">
      <c r="A290" s="1"/>
      <c r="B290" s="2"/>
      <c r="C290" s="2"/>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row>
    <row r="291">
      <c r="A291" s="1"/>
      <c r="B291" s="2"/>
      <c r="C291" s="2"/>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row>
    <row r="292">
      <c r="A292" s="1"/>
      <c r="B292" s="2"/>
      <c r="C292" s="2"/>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row>
    <row r="293">
      <c r="A293" s="1"/>
      <c r="B293" s="2"/>
      <c r="C293" s="2"/>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row>
    <row r="294">
      <c r="A294" s="1"/>
      <c r="B294" s="2"/>
      <c r="C294" s="2"/>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row>
    <row r="295">
      <c r="A295" s="1"/>
      <c r="B295" s="2"/>
      <c r="C295" s="2"/>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row>
    <row r="296">
      <c r="A296" s="1"/>
      <c r="B296" s="2"/>
      <c r="C296" s="2"/>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row>
    <row r="297">
      <c r="A297" s="1"/>
      <c r="B297" s="2"/>
      <c r="C297" s="2"/>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row>
    <row r="298">
      <c r="A298" s="1"/>
      <c r="B298" s="2"/>
      <c r="C298" s="2"/>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row>
    <row r="299">
      <c r="A299" s="1"/>
      <c r="B299" s="2"/>
      <c r="C299" s="2"/>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row>
    <row r="300">
      <c r="A300" s="1"/>
      <c r="B300" s="2"/>
      <c r="C300" s="2"/>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row>
    <row r="301">
      <c r="A301" s="1"/>
      <c r="B301" s="2"/>
      <c r="C301" s="2"/>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row>
    <row r="302">
      <c r="A302" s="1"/>
      <c r="B302" s="2"/>
      <c r="C302" s="2"/>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row>
    <row r="303">
      <c r="A303" s="1"/>
      <c r="B303" s="2"/>
      <c r="C303" s="2"/>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row>
    <row r="304">
      <c r="A304" s="1"/>
      <c r="B304" s="2"/>
      <c r="C304" s="2"/>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row>
    <row r="305">
      <c r="A305" s="1"/>
      <c r="B305" s="2"/>
      <c r="C305" s="2"/>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row>
    <row r="306">
      <c r="A306" s="1"/>
      <c r="B306" s="2"/>
      <c r="C306" s="2"/>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row>
    <row r="307">
      <c r="A307" s="1"/>
      <c r="B307" s="2"/>
      <c r="C307" s="2"/>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row>
    <row r="308">
      <c r="A308" s="1"/>
      <c r="B308" s="2"/>
      <c r="C308" s="2"/>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row>
    <row r="309">
      <c r="A309" s="1"/>
      <c r="B309" s="2"/>
      <c r="C309" s="2"/>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row>
    <row r="310">
      <c r="A310" s="1"/>
      <c r="B310" s="2"/>
      <c r="C310" s="2"/>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row>
    <row r="311">
      <c r="A311" s="1"/>
      <c r="B311" s="2"/>
      <c r="C311" s="2"/>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row>
    <row r="312">
      <c r="A312" s="1"/>
      <c r="B312" s="2"/>
      <c r="C312" s="2"/>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row>
    <row r="313">
      <c r="A313" s="1"/>
      <c r="B313" s="2"/>
      <c r="C313" s="2"/>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row>
    <row r="314">
      <c r="A314" s="1"/>
      <c r="B314" s="2"/>
      <c r="C314" s="2"/>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row>
    <row r="315">
      <c r="A315" s="1"/>
      <c r="B315" s="2"/>
      <c r="C315" s="2"/>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row>
    <row r="316">
      <c r="A316" s="1"/>
      <c r="B316" s="2"/>
      <c r="C316" s="2"/>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row>
    <row r="317">
      <c r="A317" s="1"/>
      <c r="B317" s="2"/>
      <c r="C317" s="2"/>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row>
    <row r="318">
      <c r="A318" s="1"/>
      <c r="B318" s="2"/>
      <c r="C318" s="2"/>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row>
    <row r="319">
      <c r="A319" s="1"/>
      <c r="B319" s="2"/>
      <c r="C319" s="2"/>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row>
    <row r="320">
      <c r="A320" s="1"/>
      <c r="B320" s="2"/>
      <c r="C320" s="2"/>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row>
    <row r="321">
      <c r="A321" s="1"/>
      <c r="B321" s="2"/>
      <c r="C321" s="2"/>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row>
    <row r="322">
      <c r="A322" s="1"/>
      <c r="B322" s="2"/>
      <c r="C322" s="2"/>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row>
    <row r="323">
      <c r="A323" s="1"/>
      <c r="B323" s="2"/>
      <c r="C323" s="2"/>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row>
    <row r="324">
      <c r="A324" s="1"/>
      <c r="B324" s="2"/>
      <c r="C324" s="2"/>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row>
    <row r="325">
      <c r="A325" s="1"/>
      <c r="B325" s="2"/>
      <c r="C325" s="2"/>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row>
    <row r="326">
      <c r="A326" s="1"/>
      <c r="B326" s="2"/>
      <c r="C326" s="2"/>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row>
    <row r="327">
      <c r="A327" s="1"/>
      <c r="B327" s="2"/>
      <c r="C327" s="2"/>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row>
    <row r="328">
      <c r="A328" s="1"/>
      <c r="B328" s="2"/>
      <c r="C328" s="2"/>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row>
    <row r="329">
      <c r="A329" s="1"/>
      <c r="B329" s="2"/>
      <c r="C329" s="2"/>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row>
    <row r="330">
      <c r="A330" s="1"/>
      <c r="B330" s="2"/>
      <c r="C330" s="2"/>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row>
    <row r="331">
      <c r="A331" s="1"/>
      <c r="B331" s="2"/>
      <c r="C331" s="2"/>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row>
    <row r="332">
      <c r="A332" s="1"/>
      <c r="B332" s="2"/>
      <c r="C332" s="2"/>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row>
    <row r="333">
      <c r="A333" s="1"/>
      <c r="B333" s="2"/>
      <c r="C333" s="2"/>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row>
    <row r="334">
      <c r="A334" s="1"/>
      <c r="B334" s="2"/>
      <c r="C334" s="2"/>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row>
    <row r="335">
      <c r="A335" s="1"/>
      <c r="B335" s="2"/>
      <c r="C335" s="2"/>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row>
    <row r="336">
      <c r="A336" s="1"/>
      <c r="B336" s="2"/>
      <c r="C336" s="2"/>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row>
    <row r="337">
      <c r="A337" s="1"/>
      <c r="B337" s="2"/>
      <c r="C337" s="2"/>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row>
    <row r="338">
      <c r="A338" s="1"/>
      <c r="B338" s="2"/>
      <c r="C338" s="2"/>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row>
    <row r="339">
      <c r="A339" s="1"/>
      <c r="B339" s="2"/>
      <c r="C339" s="2"/>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row>
    <row r="340">
      <c r="A340" s="1"/>
      <c r="B340" s="2"/>
      <c r="C340" s="2"/>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row>
    <row r="341">
      <c r="A341" s="1"/>
      <c r="B341" s="2"/>
      <c r="C341" s="2"/>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row>
    <row r="342">
      <c r="A342" s="1"/>
      <c r="B342" s="2"/>
      <c r="C342" s="2"/>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row>
    <row r="343">
      <c r="A343" s="1"/>
      <c r="B343" s="2"/>
      <c r="C343" s="2"/>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row>
    <row r="344">
      <c r="A344" s="1"/>
      <c r="B344" s="2"/>
      <c r="C344" s="2"/>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row>
    <row r="345">
      <c r="A345" s="1"/>
      <c r="B345" s="2"/>
      <c r="C345" s="2"/>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row>
    <row r="346">
      <c r="A346" s="1"/>
      <c r="B346" s="2"/>
      <c r="C346" s="2"/>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row>
    <row r="347">
      <c r="A347" s="1"/>
      <c r="B347" s="2"/>
      <c r="C347" s="2"/>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row>
    <row r="348">
      <c r="A348" s="1"/>
      <c r="B348" s="2"/>
      <c r="C348" s="2"/>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row>
    <row r="349">
      <c r="A349" s="1"/>
      <c r="B349" s="2"/>
      <c r="C349" s="2"/>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row>
    <row r="350">
      <c r="A350" s="1"/>
      <c r="B350" s="2"/>
      <c r="C350" s="2"/>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row>
    <row r="351">
      <c r="A351" s="1"/>
      <c r="B351" s="2"/>
      <c r="C351" s="2"/>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row>
    <row r="352">
      <c r="A352" s="1"/>
      <c r="B352" s="2"/>
      <c r="C352" s="2"/>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row>
    <row r="353">
      <c r="A353" s="1"/>
      <c r="B353" s="2"/>
      <c r="C353" s="2"/>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row>
    <row r="354">
      <c r="A354" s="1"/>
      <c r="B354" s="2"/>
      <c r="C354" s="2"/>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row>
    <row r="355">
      <c r="A355" s="1"/>
      <c r="B355" s="2"/>
      <c r="C355" s="2"/>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row>
    <row r="356">
      <c r="A356" s="1"/>
      <c r="B356" s="2"/>
      <c r="C356" s="2"/>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row>
    <row r="357">
      <c r="A357" s="1"/>
      <c r="B357" s="2"/>
      <c r="C357" s="2"/>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row>
    <row r="358">
      <c r="A358" s="1"/>
      <c r="B358" s="2"/>
      <c r="C358" s="2"/>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row>
    <row r="359">
      <c r="A359" s="1"/>
      <c r="B359" s="2"/>
      <c r="C359" s="2"/>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row>
    <row r="360">
      <c r="A360" s="1"/>
      <c r="B360" s="2"/>
      <c r="C360" s="2"/>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row>
    <row r="361">
      <c r="A361" s="1"/>
      <c r="B361" s="2"/>
      <c r="C361" s="2"/>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row>
    <row r="362">
      <c r="A362" s="1"/>
      <c r="B362" s="2"/>
      <c r="C362" s="2"/>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row>
    <row r="363">
      <c r="A363" s="1"/>
      <c r="B363" s="2"/>
      <c r="C363" s="2"/>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row>
    <row r="364">
      <c r="A364" s="1"/>
      <c r="B364" s="2"/>
      <c r="C364" s="2"/>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row>
    <row r="365">
      <c r="A365" s="1"/>
      <c r="B365" s="2"/>
      <c r="C365" s="2"/>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row>
    <row r="366">
      <c r="A366" s="1"/>
      <c r="B366" s="2"/>
      <c r="C366" s="2"/>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row>
    <row r="367">
      <c r="A367" s="1"/>
      <c r="B367" s="2"/>
      <c r="C367" s="2"/>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row>
    <row r="368">
      <c r="A368" s="1"/>
      <c r="B368" s="2"/>
      <c r="C368" s="2"/>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row>
    <row r="369">
      <c r="A369" s="1"/>
      <c r="B369" s="2"/>
      <c r="C369" s="2"/>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row>
    <row r="370">
      <c r="A370" s="1"/>
      <c r="B370" s="2"/>
      <c r="C370" s="2"/>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row>
    <row r="371">
      <c r="A371" s="1"/>
      <c r="B371" s="2"/>
      <c r="C371" s="2"/>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row>
    <row r="372">
      <c r="A372" s="1"/>
      <c r="B372" s="2"/>
      <c r="C372" s="2"/>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row>
    <row r="373">
      <c r="A373" s="1"/>
      <c r="B373" s="2"/>
      <c r="C373" s="2"/>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row>
    <row r="374">
      <c r="A374" s="1"/>
      <c r="B374" s="2"/>
      <c r="C374" s="2"/>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row>
    <row r="375">
      <c r="A375" s="1"/>
      <c r="B375" s="2"/>
      <c r="C375" s="2"/>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row>
    <row r="376">
      <c r="A376" s="1"/>
      <c r="B376" s="2"/>
      <c r="C376" s="2"/>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row>
    <row r="377">
      <c r="A377" s="1"/>
      <c r="B377" s="2"/>
      <c r="C377" s="2"/>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row>
    <row r="378">
      <c r="A378" s="1"/>
      <c r="B378" s="2"/>
      <c r="C378" s="2"/>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row>
    <row r="379">
      <c r="A379" s="1"/>
      <c r="B379" s="2"/>
      <c r="C379" s="2"/>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row>
    <row r="380">
      <c r="A380" s="1"/>
      <c r="B380" s="2"/>
      <c r="C380" s="2"/>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row>
    <row r="381">
      <c r="A381" s="1"/>
      <c r="B381" s="2"/>
      <c r="C381" s="2"/>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row>
    <row r="382">
      <c r="A382" s="1"/>
      <c r="B382" s="2"/>
      <c r="C382" s="2"/>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row>
    <row r="383">
      <c r="A383" s="1"/>
      <c r="B383" s="2"/>
      <c r="C383" s="2"/>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row>
    <row r="384">
      <c r="A384" s="1"/>
      <c r="B384" s="2"/>
      <c r="C384" s="2"/>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row>
    <row r="385">
      <c r="A385" s="1"/>
      <c r="B385" s="2"/>
      <c r="C385" s="2"/>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row>
    <row r="386">
      <c r="A386" s="1"/>
      <c r="B386" s="2"/>
      <c r="C386" s="2"/>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row>
    <row r="387">
      <c r="A387" s="1"/>
      <c r="B387" s="2"/>
      <c r="C387" s="2"/>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row>
    <row r="388">
      <c r="A388" s="1"/>
      <c r="B388" s="2"/>
      <c r="C388" s="2"/>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row>
    <row r="389">
      <c r="A389" s="1"/>
      <c r="B389" s="2"/>
      <c r="C389" s="2"/>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row>
    <row r="390">
      <c r="A390" s="1"/>
      <c r="B390" s="2"/>
      <c r="C390" s="2"/>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row>
    <row r="391">
      <c r="A391" s="1"/>
      <c r="B391" s="2"/>
      <c r="C391" s="2"/>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row>
    <row r="392">
      <c r="A392" s="1"/>
      <c r="B392" s="2"/>
      <c r="C392" s="2"/>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row>
    <row r="393">
      <c r="A393" s="1"/>
      <c r="B393" s="2"/>
      <c r="C393" s="2"/>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row>
    <row r="394">
      <c r="A394" s="1"/>
      <c r="B394" s="2"/>
      <c r="C394" s="2"/>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row>
    <row r="395">
      <c r="A395" s="1"/>
      <c r="B395" s="2"/>
      <c r="C395" s="2"/>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row>
    <row r="396">
      <c r="A396" s="1"/>
      <c r="B396" s="2"/>
      <c r="C396" s="2"/>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row>
    <row r="397">
      <c r="A397" s="1"/>
      <c r="B397" s="2"/>
      <c r="C397" s="2"/>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row>
    <row r="398">
      <c r="A398" s="1"/>
      <c r="B398" s="2"/>
      <c r="C398" s="2"/>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row>
    <row r="399">
      <c r="A399" s="1"/>
      <c r="B399" s="2"/>
      <c r="C399" s="2"/>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row>
    <row r="400">
      <c r="A400" s="1"/>
      <c r="B400" s="2"/>
      <c r="C400" s="2"/>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row>
    <row r="401">
      <c r="A401" s="1"/>
      <c r="B401" s="2"/>
      <c r="C401" s="2"/>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row>
    <row r="402">
      <c r="A402" s="1"/>
      <c r="B402" s="2"/>
      <c r="C402" s="2"/>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row>
    <row r="403">
      <c r="A403" s="1"/>
      <c r="B403" s="2"/>
      <c r="C403" s="2"/>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row>
    <row r="404">
      <c r="A404" s="1"/>
      <c r="B404" s="2"/>
      <c r="C404" s="2"/>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row>
    <row r="405">
      <c r="A405" s="1"/>
      <c r="B405" s="2"/>
      <c r="C405" s="2"/>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row>
    <row r="406">
      <c r="A406" s="1"/>
      <c r="B406" s="2"/>
      <c r="C406" s="2"/>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row>
    <row r="407">
      <c r="A407" s="1"/>
      <c r="B407" s="2"/>
      <c r="C407" s="2"/>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row>
    <row r="408">
      <c r="A408" s="1"/>
      <c r="B408" s="2"/>
      <c r="C408" s="2"/>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row>
    <row r="409">
      <c r="A409" s="1"/>
      <c r="B409" s="2"/>
      <c r="C409" s="2"/>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row>
    <row r="410">
      <c r="A410" s="1"/>
      <c r="B410" s="2"/>
      <c r="C410" s="2"/>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row>
    <row r="411">
      <c r="A411" s="1"/>
      <c r="B411" s="2"/>
      <c r="C411" s="2"/>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row>
    <row r="412">
      <c r="A412" s="1"/>
      <c r="B412" s="2"/>
      <c r="C412" s="2"/>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row>
    <row r="413">
      <c r="A413" s="1"/>
      <c r="B413" s="2"/>
      <c r="C413" s="2"/>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row>
    <row r="414">
      <c r="A414" s="1"/>
      <c r="B414" s="2"/>
      <c r="C414" s="2"/>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row>
    <row r="415">
      <c r="A415" s="1"/>
      <c r="B415" s="2"/>
      <c r="C415" s="2"/>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row>
    <row r="416">
      <c r="A416" s="1"/>
      <c r="B416" s="2"/>
      <c r="C416" s="2"/>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row>
    <row r="417">
      <c r="A417" s="1"/>
      <c r="B417" s="2"/>
      <c r="C417" s="2"/>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row>
    <row r="418">
      <c r="A418" s="1"/>
      <c r="B418" s="2"/>
      <c r="C418" s="2"/>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row>
    <row r="419">
      <c r="A419" s="1"/>
      <c r="B419" s="2"/>
      <c r="C419" s="2"/>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row>
    <row r="420">
      <c r="A420" s="1"/>
      <c r="B420" s="2"/>
      <c r="C420" s="2"/>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row>
    <row r="421">
      <c r="A421" s="1"/>
      <c r="B421" s="2"/>
      <c r="C421" s="2"/>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row>
    <row r="422">
      <c r="A422" s="1"/>
      <c r="B422" s="2"/>
      <c r="C422" s="2"/>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row>
    <row r="423">
      <c r="A423" s="1"/>
      <c r="B423" s="2"/>
      <c r="C423" s="2"/>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row>
    <row r="424">
      <c r="A424" s="1"/>
      <c r="B424" s="2"/>
      <c r="C424" s="2"/>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row>
    <row r="425">
      <c r="A425" s="1"/>
      <c r="B425" s="2"/>
      <c r="C425" s="2"/>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row>
    <row r="426">
      <c r="A426" s="1"/>
      <c r="B426" s="2"/>
      <c r="C426" s="2"/>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row>
    <row r="427">
      <c r="A427" s="1"/>
      <c r="B427" s="2"/>
      <c r="C427" s="2"/>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row>
    <row r="428">
      <c r="A428" s="1"/>
      <c r="B428" s="2"/>
      <c r="C428" s="2"/>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row>
    <row r="429">
      <c r="A429" s="1"/>
      <c r="B429" s="2"/>
      <c r="C429" s="2"/>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row>
    <row r="430">
      <c r="A430" s="1"/>
      <c r="B430" s="2"/>
      <c r="C430" s="2"/>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row>
    <row r="431">
      <c r="A431" s="1"/>
      <c r="B431" s="2"/>
      <c r="C431" s="2"/>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row>
    <row r="432">
      <c r="A432" s="1"/>
      <c r="B432" s="2"/>
      <c r="C432" s="2"/>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row>
    <row r="433">
      <c r="A433" s="1"/>
      <c r="B433" s="2"/>
      <c r="C433" s="2"/>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row>
    <row r="434">
      <c r="A434" s="1"/>
      <c r="B434" s="2"/>
      <c r="C434" s="2"/>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row>
    <row r="435">
      <c r="A435" s="1"/>
      <c r="B435" s="2"/>
      <c r="C435" s="2"/>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row>
    <row r="436">
      <c r="A436" s="1"/>
      <c r="B436" s="2"/>
      <c r="C436" s="2"/>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row>
    <row r="437">
      <c r="A437" s="1"/>
      <c r="B437" s="2"/>
      <c r="C437" s="2"/>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row>
    <row r="438">
      <c r="A438" s="1"/>
      <c r="B438" s="2"/>
      <c r="C438" s="2"/>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row>
    <row r="439">
      <c r="A439" s="1"/>
      <c r="B439" s="2"/>
      <c r="C439" s="2"/>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row>
    <row r="440">
      <c r="A440" s="1"/>
      <c r="B440" s="2"/>
      <c r="C440" s="2"/>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row>
    <row r="441">
      <c r="A441" s="1"/>
      <c r="B441" s="2"/>
      <c r="C441" s="2"/>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row>
    <row r="442">
      <c r="A442" s="1"/>
      <c r="B442" s="2"/>
      <c r="C442" s="2"/>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row>
    <row r="443">
      <c r="A443" s="1"/>
      <c r="B443" s="2"/>
      <c r="C443" s="2"/>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row>
    <row r="444">
      <c r="A444" s="1"/>
      <c r="B444" s="2"/>
      <c r="C444" s="2"/>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row>
    <row r="445">
      <c r="A445" s="1"/>
      <c r="B445" s="2"/>
      <c r="C445" s="2"/>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row>
    <row r="446">
      <c r="A446" s="1"/>
      <c r="B446" s="2"/>
      <c r="C446" s="2"/>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row>
    <row r="447">
      <c r="A447" s="1"/>
      <c r="B447" s="2"/>
      <c r="C447" s="2"/>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row>
    <row r="448">
      <c r="A448" s="1"/>
      <c r="B448" s="2"/>
      <c r="C448" s="2"/>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row>
    <row r="449">
      <c r="A449" s="1"/>
      <c r="B449" s="2"/>
      <c r="C449" s="2"/>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row>
    <row r="450">
      <c r="A450" s="1"/>
      <c r="B450" s="2"/>
      <c r="C450" s="2"/>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row>
    <row r="451">
      <c r="A451" s="1"/>
      <c r="B451" s="2"/>
      <c r="C451" s="2"/>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row>
    <row r="452">
      <c r="A452" s="1"/>
      <c r="B452" s="2"/>
      <c r="C452" s="2"/>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row>
    <row r="453">
      <c r="A453" s="1"/>
      <c r="B453" s="2"/>
      <c r="C453" s="2"/>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row>
    <row r="454">
      <c r="A454" s="1"/>
      <c r="B454" s="2"/>
      <c r="C454" s="2"/>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row>
    <row r="455">
      <c r="A455" s="1"/>
      <c r="B455" s="2"/>
      <c r="C455" s="2"/>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row>
    <row r="456">
      <c r="A456" s="1"/>
      <c r="B456" s="2"/>
      <c r="C456" s="2"/>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row>
    <row r="457">
      <c r="A457" s="1"/>
      <c r="B457" s="2"/>
      <c r="C457" s="2"/>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row>
    <row r="458">
      <c r="A458" s="1"/>
      <c r="B458" s="2"/>
      <c r="C458" s="2"/>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row>
    <row r="459">
      <c r="A459" s="1"/>
      <c r="B459" s="2"/>
      <c r="C459" s="2"/>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row>
    <row r="460">
      <c r="A460" s="1"/>
      <c r="B460" s="2"/>
      <c r="C460" s="2"/>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row>
    <row r="461">
      <c r="A461" s="1"/>
      <c r="B461" s="2"/>
      <c r="C461" s="2"/>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row>
    <row r="462">
      <c r="A462" s="1"/>
      <c r="B462" s="2"/>
      <c r="C462" s="2"/>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row>
    <row r="463">
      <c r="A463" s="1"/>
      <c r="B463" s="2"/>
      <c r="C463" s="2"/>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row>
    <row r="464">
      <c r="A464" s="1"/>
      <c r="B464" s="2"/>
      <c r="C464" s="2"/>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row>
    <row r="465">
      <c r="A465" s="1"/>
      <c r="B465" s="2"/>
      <c r="C465" s="2"/>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row>
    <row r="466">
      <c r="A466" s="1"/>
      <c r="B466" s="2"/>
      <c r="C466" s="2"/>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row>
    <row r="467">
      <c r="A467" s="1"/>
      <c r="B467" s="2"/>
      <c r="C467" s="2"/>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row>
    <row r="468">
      <c r="A468" s="1"/>
      <c r="B468" s="2"/>
      <c r="C468" s="2"/>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row>
    <row r="469">
      <c r="A469" s="1"/>
      <c r="B469" s="2"/>
      <c r="C469" s="2"/>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row>
    <row r="470">
      <c r="A470" s="1"/>
      <c r="B470" s="2"/>
      <c r="C470" s="2"/>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row>
    <row r="471">
      <c r="A471" s="1"/>
      <c r="B471" s="2"/>
      <c r="C471" s="2"/>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row>
    <row r="472">
      <c r="A472" s="1"/>
      <c r="B472" s="2"/>
      <c r="C472" s="2"/>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row>
    <row r="473">
      <c r="A473" s="1"/>
      <c r="B473" s="2"/>
      <c r="C473" s="2"/>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row>
    <row r="474">
      <c r="A474" s="1"/>
      <c r="B474" s="2"/>
      <c r="C474" s="2"/>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row>
    <row r="475">
      <c r="A475" s="1"/>
      <c r="B475" s="2"/>
      <c r="C475" s="2"/>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row>
    <row r="476">
      <c r="A476" s="1"/>
      <c r="B476" s="2"/>
      <c r="C476" s="2"/>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row>
    <row r="477">
      <c r="A477" s="1"/>
      <c r="B477" s="2"/>
      <c r="C477" s="2"/>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row>
    <row r="478">
      <c r="A478" s="1"/>
      <c r="B478" s="2"/>
      <c r="C478" s="2"/>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row>
    <row r="479">
      <c r="A479" s="1"/>
      <c r="B479" s="2"/>
      <c r="C479" s="2"/>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row>
    <row r="480">
      <c r="A480" s="1"/>
      <c r="B480" s="2"/>
      <c r="C480" s="2"/>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row>
    <row r="481">
      <c r="A481" s="1"/>
      <c r="B481" s="2"/>
      <c r="C481" s="2"/>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row>
    <row r="482">
      <c r="A482" s="1"/>
      <c r="B482" s="2"/>
      <c r="C482" s="2"/>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row>
    <row r="483">
      <c r="A483" s="1"/>
      <c r="B483" s="2"/>
      <c r="C483" s="2"/>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row>
    <row r="484">
      <c r="A484" s="1"/>
      <c r="B484" s="2"/>
      <c r="C484" s="2"/>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row>
    <row r="485">
      <c r="A485" s="1"/>
      <c r="B485" s="2"/>
      <c r="C485" s="2"/>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row>
    <row r="486">
      <c r="A486" s="1"/>
      <c r="B486" s="2"/>
      <c r="C486" s="2"/>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row>
    <row r="487">
      <c r="A487" s="1"/>
      <c r="B487" s="2"/>
      <c r="C487" s="2"/>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row>
    <row r="488">
      <c r="A488" s="1"/>
      <c r="B488" s="2"/>
      <c r="C488" s="2"/>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row>
    <row r="489">
      <c r="A489" s="1"/>
      <c r="B489" s="2"/>
      <c r="C489" s="2"/>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row>
    <row r="490">
      <c r="A490" s="1"/>
      <c r="B490" s="2"/>
      <c r="C490" s="2"/>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row>
    <row r="491">
      <c r="A491" s="1"/>
      <c r="B491" s="2"/>
      <c r="C491" s="2"/>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row>
    <row r="492">
      <c r="A492" s="1"/>
      <c r="B492" s="2"/>
      <c r="C492" s="2"/>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row>
    <row r="493">
      <c r="A493" s="1"/>
      <c r="B493" s="2"/>
      <c r="C493" s="2"/>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row>
    <row r="494">
      <c r="A494" s="1"/>
      <c r="B494" s="2"/>
      <c r="C494" s="2"/>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row>
    <row r="495">
      <c r="A495" s="1"/>
      <c r="B495" s="2"/>
      <c r="C495" s="2"/>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row>
    <row r="496">
      <c r="A496" s="1"/>
      <c r="B496" s="2"/>
      <c r="C496" s="2"/>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row>
    <row r="497">
      <c r="A497" s="1"/>
      <c r="B497" s="2"/>
      <c r="C497" s="2"/>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row>
    <row r="498">
      <c r="A498" s="1"/>
      <c r="B498" s="2"/>
      <c r="C498" s="2"/>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row>
    <row r="499">
      <c r="A499" s="1"/>
      <c r="B499" s="2"/>
      <c r="C499" s="2"/>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row>
    <row r="500">
      <c r="A500" s="1"/>
      <c r="B500" s="2"/>
      <c r="C500" s="2"/>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row>
    <row r="501">
      <c r="A501" s="1"/>
      <c r="B501" s="2"/>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row>
    <row r="502">
      <c r="A502" s="1"/>
      <c r="B502" s="2"/>
      <c r="C502" s="2"/>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row>
    <row r="503">
      <c r="A503" s="1"/>
      <c r="B503" s="2"/>
      <c r="C503" s="2"/>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row>
    <row r="504">
      <c r="A504" s="1"/>
      <c r="B504" s="2"/>
      <c r="C504" s="2"/>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row>
    <row r="505">
      <c r="A505" s="1"/>
      <c r="B505" s="2"/>
      <c r="C505" s="2"/>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row>
    <row r="506">
      <c r="A506" s="1"/>
      <c r="B506" s="2"/>
      <c r="C506" s="2"/>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row>
    <row r="507">
      <c r="A507" s="1"/>
      <c r="B507" s="2"/>
      <c r="C507" s="2"/>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row>
    <row r="508">
      <c r="A508" s="1"/>
      <c r="B508" s="2"/>
      <c r="C508" s="2"/>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row>
    <row r="509">
      <c r="A509" s="1"/>
      <c r="B509" s="2"/>
      <c r="C509" s="2"/>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row>
    <row r="510">
      <c r="A510" s="1"/>
      <c r="B510" s="2"/>
      <c r="C510" s="2"/>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row>
    <row r="511">
      <c r="A511" s="1"/>
      <c r="B511" s="2"/>
      <c r="C511" s="2"/>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row>
    <row r="512">
      <c r="A512" s="1"/>
      <c r="B512" s="2"/>
      <c r="C512" s="2"/>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row>
    <row r="513">
      <c r="A513" s="1"/>
      <c r="B513" s="2"/>
      <c r="C513" s="2"/>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row>
    <row r="514">
      <c r="A514" s="1"/>
      <c r="B514" s="2"/>
      <c r="C514" s="2"/>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row>
    <row r="515">
      <c r="A515" s="1"/>
      <c r="B515" s="2"/>
      <c r="C515" s="2"/>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row>
    <row r="516">
      <c r="A516" s="1"/>
      <c r="B516" s="2"/>
      <c r="C516" s="2"/>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row>
    <row r="517">
      <c r="A517" s="1"/>
      <c r="B517" s="2"/>
      <c r="C517" s="2"/>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row>
    <row r="518">
      <c r="A518" s="1"/>
      <c r="B518" s="2"/>
      <c r="C518" s="2"/>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row>
    <row r="519">
      <c r="A519" s="1"/>
      <c r="B519" s="2"/>
      <c r="C519" s="2"/>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row>
    <row r="520">
      <c r="A520" s="1"/>
      <c r="B520" s="2"/>
      <c r="C520" s="2"/>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row>
    <row r="521">
      <c r="A521" s="1"/>
      <c r="B521" s="2"/>
      <c r="C521" s="2"/>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row>
    <row r="522">
      <c r="A522" s="1"/>
      <c r="B522" s="2"/>
      <c r="C522" s="2"/>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row>
    <row r="523">
      <c r="A523" s="1"/>
      <c r="B523" s="2"/>
      <c r="C523" s="2"/>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row>
    <row r="524">
      <c r="A524" s="1"/>
      <c r="B524" s="2"/>
      <c r="C524" s="2"/>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row>
    <row r="525">
      <c r="A525" s="1"/>
      <c r="B525" s="2"/>
      <c r="C525" s="2"/>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row>
    <row r="526">
      <c r="A526" s="1"/>
      <c r="B526" s="2"/>
      <c r="C526" s="2"/>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row>
    <row r="527">
      <c r="A527" s="1"/>
      <c r="B527" s="2"/>
      <c r="C527" s="2"/>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row>
    <row r="528">
      <c r="A528" s="1"/>
      <c r="B528" s="2"/>
      <c r="C528" s="2"/>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row>
    <row r="529">
      <c r="A529" s="1"/>
      <c r="B529" s="2"/>
      <c r="C529" s="2"/>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row>
    <row r="530">
      <c r="A530" s="1"/>
      <c r="B530" s="2"/>
      <c r="C530" s="2"/>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row>
    <row r="531">
      <c r="A531" s="1"/>
      <c r="B531" s="2"/>
      <c r="C531" s="2"/>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row>
    <row r="532">
      <c r="A532" s="1"/>
      <c r="B532" s="2"/>
      <c r="C532" s="2"/>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row>
    <row r="533">
      <c r="A533" s="1"/>
      <c r="B533" s="2"/>
      <c r="C533" s="2"/>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row>
    <row r="534">
      <c r="A534" s="1"/>
      <c r="B534" s="2"/>
      <c r="C534" s="2"/>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row>
    <row r="535">
      <c r="A535" s="1"/>
      <c r="B535" s="2"/>
      <c r="C535" s="2"/>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row>
    <row r="536">
      <c r="A536" s="1"/>
      <c r="B536" s="2"/>
      <c r="C536" s="2"/>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row>
    <row r="537">
      <c r="A537" s="1"/>
      <c r="B537" s="2"/>
      <c r="C537" s="2"/>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row>
    <row r="538">
      <c r="A538" s="1"/>
      <c r="B538" s="2"/>
      <c r="C538" s="2"/>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row>
    <row r="539">
      <c r="A539" s="1"/>
      <c r="B539" s="2"/>
      <c r="C539" s="2"/>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row>
    <row r="540">
      <c r="A540" s="1"/>
      <c r="B540" s="2"/>
      <c r="C540" s="2"/>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row>
    <row r="541">
      <c r="A541" s="1"/>
      <c r="B541" s="2"/>
      <c r="C541" s="2"/>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row>
    <row r="542">
      <c r="A542" s="1"/>
      <c r="B542" s="2"/>
      <c r="C542" s="2"/>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row>
    <row r="543">
      <c r="A543" s="1"/>
      <c r="B543" s="2"/>
      <c r="C543" s="2"/>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row>
    <row r="544">
      <c r="A544" s="1"/>
      <c r="B544" s="2"/>
      <c r="C544" s="2"/>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row>
    <row r="545">
      <c r="A545" s="1"/>
      <c r="B545" s="2"/>
      <c r="C545" s="2"/>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row>
    <row r="546">
      <c r="A546" s="1"/>
      <c r="B546" s="2"/>
      <c r="C546" s="2"/>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row>
    <row r="547">
      <c r="A547" s="1"/>
      <c r="B547" s="2"/>
      <c r="C547" s="2"/>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row>
    <row r="548">
      <c r="A548" s="1"/>
      <c r="B548" s="2"/>
      <c r="C548" s="2"/>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row>
    <row r="549">
      <c r="A549" s="1"/>
      <c r="B549" s="2"/>
      <c r="C549" s="2"/>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row>
    <row r="550">
      <c r="A550" s="1"/>
      <c r="B550" s="2"/>
      <c r="C550" s="2"/>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row>
    <row r="551">
      <c r="A551" s="1"/>
      <c r="B551" s="2"/>
      <c r="C551" s="2"/>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row>
    <row r="552">
      <c r="A552" s="1"/>
      <c r="B552" s="2"/>
      <c r="C552" s="2"/>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row>
    <row r="553">
      <c r="A553" s="1"/>
      <c r="B553" s="2"/>
      <c r="C553" s="2"/>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row>
    <row r="554">
      <c r="A554" s="1"/>
      <c r="B554" s="2"/>
      <c r="C554" s="2"/>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row>
    <row r="555">
      <c r="A555" s="1"/>
      <c r="B555" s="2"/>
      <c r="C555" s="2"/>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row>
    <row r="556">
      <c r="A556" s="1"/>
      <c r="B556" s="2"/>
      <c r="C556" s="2"/>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row>
    <row r="557">
      <c r="A557" s="1"/>
      <c r="B557" s="2"/>
      <c r="C557" s="2"/>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row>
    <row r="558">
      <c r="A558" s="1"/>
      <c r="B558" s="2"/>
      <c r="C558" s="2"/>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row>
    <row r="559">
      <c r="A559" s="1"/>
      <c r="B559" s="2"/>
      <c r="C559" s="2"/>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row>
    <row r="560">
      <c r="A560" s="1"/>
      <c r="B560" s="2"/>
      <c r="C560" s="2"/>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row>
    <row r="561">
      <c r="A561" s="1"/>
      <c r="B561" s="2"/>
      <c r="C561" s="2"/>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row>
    <row r="562">
      <c r="A562" s="1"/>
      <c r="B562" s="2"/>
      <c r="C562" s="2"/>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row>
    <row r="563">
      <c r="A563" s="1"/>
      <c r="B563" s="2"/>
      <c r="C563" s="2"/>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row>
    <row r="564">
      <c r="A564" s="1"/>
      <c r="B564" s="2"/>
      <c r="C564" s="2"/>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row>
    <row r="565">
      <c r="A565" s="1"/>
      <c r="B565" s="2"/>
      <c r="C565" s="2"/>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row>
    <row r="566">
      <c r="A566" s="1"/>
      <c r="B566" s="2"/>
      <c r="C566" s="2"/>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row>
    <row r="567">
      <c r="A567" s="1"/>
      <c r="B567" s="2"/>
      <c r="C567" s="2"/>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row>
    <row r="568">
      <c r="A568" s="1"/>
      <c r="B568" s="2"/>
      <c r="C568" s="2"/>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row>
    <row r="569">
      <c r="A569" s="1"/>
      <c r="B569" s="2"/>
      <c r="C569" s="2"/>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row>
    <row r="570">
      <c r="A570" s="1"/>
      <c r="B570" s="2"/>
      <c r="C570" s="2"/>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row>
    <row r="571">
      <c r="A571" s="1"/>
      <c r="B571" s="2"/>
      <c r="C571" s="2"/>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row>
    <row r="572">
      <c r="A572" s="1"/>
      <c r="B572" s="2"/>
      <c r="C572" s="2"/>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row>
    <row r="573">
      <c r="A573" s="1"/>
      <c r="B573" s="2"/>
      <c r="C573" s="2"/>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row>
    <row r="574">
      <c r="A574" s="1"/>
      <c r="B574" s="2"/>
      <c r="C574" s="2"/>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row>
    <row r="575">
      <c r="A575" s="1"/>
      <c r="B575" s="2"/>
      <c r="C575" s="2"/>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row>
    <row r="576">
      <c r="A576" s="1"/>
      <c r="B576" s="2"/>
      <c r="C576" s="2"/>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row>
    <row r="577">
      <c r="A577" s="1"/>
      <c r="B577" s="2"/>
      <c r="C577" s="2"/>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row>
    <row r="578">
      <c r="A578" s="1"/>
      <c r="B578" s="2"/>
      <c r="C578" s="2"/>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row>
    <row r="579">
      <c r="A579" s="1"/>
      <c r="B579" s="2"/>
      <c r="C579" s="2"/>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row>
    <row r="580">
      <c r="A580" s="1"/>
      <c r="B580" s="2"/>
      <c r="C580" s="2"/>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row>
    <row r="581">
      <c r="A581" s="1"/>
      <c r="B581" s="2"/>
      <c r="C581" s="2"/>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row>
    <row r="582">
      <c r="A582" s="1"/>
      <c r="B582" s="2"/>
      <c r="C582" s="2"/>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row>
    <row r="583">
      <c r="A583" s="1"/>
      <c r="B583" s="2"/>
      <c r="C583" s="2"/>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row>
    <row r="584">
      <c r="A584" s="1"/>
      <c r="B584" s="2"/>
      <c r="C584" s="2"/>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row>
    <row r="585">
      <c r="A585" s="1"/>
      <c r="B585" s="2"/>
      <c r="C585" s="2"/>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row>
    <row r="586">
      <c r="A586" s="1"/>
      <c r="B586" s="2"/>
      <c r="C586" s="2"/>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row>
    <row r="587">
      <c r="A587" s="1"/>
      <c r="B587" s="2"/>
      <c r="C587" s="2"/>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row>
    <row r="588">
      <c r="A588" s="1"/>
      <c r="B588" s="2"/>
      <c r="C588" s="2"/>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row>
    <row r="589">
      <c r="A589" s="1"/>
      <c r="B589" s="2"/>
      <c r="C589" s="2"/>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row>
    <row r="590">
      <c r="A590" s="1"/>
      <c r="B590" s="2"/>
      <c r="C590" s="2"/>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row>
    <row r="591">
      <c r="A591" s="1"/>
      <c r="B591" s="2"/>
      <c r="C591" s="2"/>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row>
    <row r="592">
      <c r="A592" s="1"/>
      <c r="B592" s="2"/>
      <c r="C592" s="2"/>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row>
    <row r="593">
      <c r="A593" s="1"/>
      <c r="B593" s="2"/>
      <c r="C593" s="2"/>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row>
    <row r="594">
      <c r="A594" s="1"/>
      <c r="B594" s="2"/>
      <c r="C594" s="2"/>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row>
    <row r="595">
      <c r="A595" s="1"/>
      <c r="B595" s="2"/>
      <c r="C595" s="2"/>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row>
    <row r="596">
      <c r="A596" s="1"/>
      <c r="B596" s="2"/>
      <c r="C596" s="2"/>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row>
    <row r="597">
      <c r="A597" s="1"/>
      <c r="B597" s="2"/>
      <c r="C597" s="2"/>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row>
    <row r="598">
      <c r="A598" s="1"/>
      <c r="B598" s="2"/>
      <c r="C598" s="2"/>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row>
    <row r="599">
      <c r="A599" s="1"/>
      <c r="B599" s="2"/>
      <c r="C599" s="2"/>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row>
    <row r="600">
      <c r="A600" s="1"/>
      <c r="B600" s="2"/>
      <c r="C600" s="2"/>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row>
    <row r="601">
      <c r="A601" s="1"/>
      <c r="B601" s="2"/>
      <c r="C601" s="2"/>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row>
    <row r="602">
      <c r="A602" s="1"/>
      <c r="B602" s="2"/>
      <c r="C602" s="2"/>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row>
    <row r="603">
      <c r="A603" s="1"/>
      <c r="B603" s="2"/>
      <c r="C603" s="2"/>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row>
    <row r="604">
      <c r="A604" s="1"/>
      <c r="B604" s="2"/>
      <c r="C604" s="2"/>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row>
    <row r="605">
      <c r="A605" s="1"/>
      <c r="B605" s="2"/>
      <c r="C605" s="2"/>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row>
    <row r="606">
      <c r="A606" s="1"/>
      <c r="B606" s="2"/>
      <c r="C606" s="2"/>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row>
    <row r="607">
      <c r="A607" s="1"/>
      <c r="B607" s="2"/>
      <c r="C607" s="2"/>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row>
    <row r="608">
      <c r="A608" s="1"/>
      <c r="B608" s="2"/>
      <c r="C608" s="2"/>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row>
    <row r="609">
      <c r="A609" s="1"/>
      <c r="B609" s="2"/>
      <c r="C609" s="2"/>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row>
    <row r="610">
      <c r="A610" s="1"/>
      <c r="B610" s="2"/>
      <c r="C610" s="2"/>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row>
    <row r="611">
      <c r="A611" s="1"/>
      <c r="B611" s="2"/>
      <c r="C611" s="2"/>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row>
    <row r="612">
      <c r="A612" s="1"/>
      <c r="B612" s="2"/>
      <c r="C612" s="2"/>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row>
    <row r="613">
      <c r="A613" s="1"/>
      <c r="B613" s="2"/>
      <c r="C613" s="2"/>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row>
    <row r="614">
      <c r="A614" s="1"/>
      <c r="B614" s="2"/>
      <c r="C614" s="2"/>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row>
    <row r="615">
      <c r="A615" s="1"/>
      <c r="B615" s="2"/>
      <c r="C615" s="2"/>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row>
    <row r="616">
      <c r="A616" s="1"/>
      <c r="B616" s="2"/>
      <c r="C616" s="2"/>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row>
    <row r="617">
      <c r="A617" s="1"/>
      <c r="B617" s="2"/>
      <c r="C617" s="2"/>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row>
    <row r="618">
      <c r="A618" s="1"/>
      <c r="B618" s="2"/>
      <c r="C618" s="2"/>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row>
    <row r="619">
      <c r="A619" s="1"/>
      <c r="B619" s="2"/>
      <c r="C619" s="2"/>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row>
    <row r="620">
      <c r="A620" s="1"/>
      <c r="B620" s="2"/>
      <c r="C620" s="2"/>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row>
    <row r="621">
      <c r="A621" s="1"/>
      <c r="B621" s="2"/>
      <c r="C621" s="2"/>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row>
    <row r="622">
      <c r="A622" s="1"/>
      <c r="B622" s="2"/>
      <c r="C622" s="2"/>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row>
    <row r="623">
      <c r="A623" s="1"/>
      <c r="B623" s="2"/>
      <c r="C623" s="2"/>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row>
    <row r="624">
      <c r="A624" s="1"/>
      <c r="B624" s="2"/>
      <c r="C624" s="2"/>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row>
    <row r="625">
      <c r="A625" s="1"/>
      <c r="B625" s="2"/>
      <c r="C625" s="2"/>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row>
    <row r="626">
      <c r="A626" s="1"/>
      <c r="B626" s="2"/>
      <c r="C626" s="2"/>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row>
    <row r="627">
      <c r="A627" s="1"/>
      <c r="B627" s="2"/>
      <c r="C627" s="2"/>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row>
    <row r="628">
      <c r="A628" s="1"/>
      <c r="B628" s="2"/>
      <c r="C628" s="2"/>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row>
    <row r="629">
      <c r="A629" s="1"/>
      <c r="B629" s="2"/>
      <c r="C629" s="2"/>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row>
    <row r="630">
      <c r="A630" s="1"/>
      <c r="B630" s="2"/>
      <c r="C630" s="2"/>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row>
    <row r="631">
      <c r="A631" s="1"/>
      <c r="B631" s="2"/>
      <c r="C631" s="2"/>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row>
    <row r="632">
      <c r="A632" s="1"/>
      <c r="B632" s="2"/>
      <c r="C632" s="2"/>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row>
    <row r="633">
      <c r="A633" s="1"/>
      <c r="B633" s="2"/>
      <c r="C633" s="2"/>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row>
    <row r="634">
      <c r="A634" s="1"/>
      <c r="B634" s="2"/>
      <c r="C634" s="2"/>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row>
    <row r="635">
      <c r="A635" s="1"/>
      <c r="B635" s="2"/>
      <c r="C635" s="2"/>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row>
    <row r="636">
      <c r="A636" s="1"/>
      <c r="B636" s="2"/>
      <c r="C636" s="2"/>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row>
    <row r="637">
      <c r="A637" s="1"/>
      <c r="B637" s="2"/>
      <c r="C637" s="2"/>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row>
    <row r="638">
      <c r="A638" s="1"/>
      <c r="B638" s="2"/>
      <c r="C638" s="2"/>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row>
    <row r="639">
      <c r="A639" s="1"/>
      <c r="B639" s="2"/>
      <c r="C639" s="2"/>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row>
    <row r="640">
      <c r="A640" s="1"/>
      <c r="B640" s="2"/>
      <c r="C640" s="2"/>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row>
    <row r="641">
      <c r="A641" s="1"/>
      <c r="B641" s="2"/>
      <c r="C641" s="2"/>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row>
    <row r="642">
      <c r="A642" s="1"/>
      <c r="B642" s="2"/>
      <c r="C642" s="2"/>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row>
    <row r="643">
      <c r="A643" s="1"/>
      <c r="B643" s="2"/>
      <c r="C643" s="2"/>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row>
    <row r="644">
      <c r="A644" s="1"/>
      <c r="B644" s="2"/>
      <c r="C644" s="2"/>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row>
    <row r="645">
      <c r="A645" s="1"/>
      <c r="B645" s="2"/>
      <c r="C645" s="2"/>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row>
    <row r="646">
      <c r="A646" s="1"/>
      <c r="B646" s="2"/>
      <c r="C646" s="2"/>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row>
    <row r="647">
      <c r="A647" s="1"/>
      <c r="B647" s="2"/>
      <c r="C647" s="2"/>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row>
    <row r="648">
      <c r="A648" s="1"/>
      <c r="B648" s="2"/>
      <c r="C648" s="2"/>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row>
    <row r="649">
      <c r="A649" s="1"/>
      <c r="B649" s="2"/>
      <c r="C649" s="2"/>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row>
    <row r="650">
      <c r="A650" s="1"/>
      <c r="B650" s="2"/>
      <c r="C650" s="2"/>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row>
    <row r="651">
      <c r="A651" s="1"/>
      <c r="B651" s="2"/>
      <c r="C651" s="2"/>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row>
    <row r="652">
      <c r="A652" s="1"/>
      <c r="B652" s="2"/>
      <c r="C652" s="2"/>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row>
    <row r="653">
      <c r="A653" s="1"/>
      <c r="B653" s="2"/>
      <c r="C653" s="2"/>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row>
    <row r="654">
      <c r="A654" s="1"/>
      <c r="B654" s="2"/>
      <c r="C654" s="2"/>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row>
    <row r="655">
      <c r="A655" s="1"/>
      <c r="B655" s="2"/>
      <c r="C655" s="2"/>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row>
    <row r="656">
      <c r="A656" s="1"/>
      <c r="B656" s="2"/>
      <c r="C656" s="2"/>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row>
    <row r="657">
      <c r="A657" s="1"/>
      <c r="B657" s="2"/>
      <c r="C657" s="2"/>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row>
    <row r="658">
      <c r="A658" s="1"/>
      <c r="B658" s="2"/>
      <c r="C658" s="2"/>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row>
    <row r="659">
      <c r="A659" s="1"/>
      <c r="B659" s="2"/>
      <c r="C659" s="2"/>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row>
    <row r="660">
      <c r="A660" s="1"/>
      <c r="B660" s="2"/>
      <c r="C660" s="2"/>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row>
    <row r="661">
      <c r="A661" s="1"/>
      <c r="B661" s="2"/>
      <c r="C661" s="2"/>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row>
    <row r="662">
      <c r="A662" s="1"/>
      <c r="B662" s="2"/>
      <c r="C662" s="2"/>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row>
    <row r="663">
      <c r="A663" s="1"/>
      <c r="B663" s="2"/>
      <c r="C663" s="2"/>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row>
    <row r="664">
      <c r="A664" s="1"/>
      <c r="B664" s="2"/>
      <c r="C664" s="2"/>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row>
    <row r="665">
      <c r="A665" s="1"/>
      <c r="B665" s="2"/>
      <c r="C665" s="2"/>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row>
    <row r="666">
      <c r="A666" s="1"/>
      <c r="B666" s="2"/>
      <c r="C666" s="2"/>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row>
    <row r="667">
      <c r="A667" s="1"/>
      <c r="B667" s="2"/>
      <c r="C667" s="2"/>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row>
    <row r="668">
      <c r="A668" s="1"/>
      <c r="B668" s="2"/>
      <c r="C668" s="2"/>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row>
    <row r="669">
      <c r="A669" s="1"/>
      <c r="B669" s="2"/>
      <c r="C669" s="2"/>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row>
    <row r="670">
      <c r="A670" s="1"/>
      <c r="B670" s="2"/>
      <c r="C670" s="2"/>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row>
    <row r="671">
      <c r="A671" s="1"/>
      <c r="B671" s="2"/>
      <c r="C671" s="2"/>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row>
    <row r="672">
      <c r="A672" s="1"/>
      <c r="B672" s="2"/>
      <c r="C672" s="2"/>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row>
    <row r="673">
      <c r="A673" s="1"/>
      <c r="B673" s="2"/>
      <c r="C673" s="2"/>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row>
    <row r="674">
      <c r="A674" s="1"/>
      <c r="B674" s="2"/>
      <c r="C674" s="2"/>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row>
    <row r="675">
      <c r="A675" s="1"/>
      <c r="B675" s="2"/>
      <c r="C675" s="2"/>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row>
    <row r="676">
      <c r="A676" s="1"/>
      <c r="B676" s="2"/>
      <c r="C676" s="2"/>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row>
    <row r="677">
      <c r="A677" s="1"/>
      <c r="B677" s="2"/>
      <c r="C677" s="2"/>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row>
    <row r="678">
      <c r="A678" s="1"/>
      <c r="B678" s="2"/>
      <c r="C678" s="2"/>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row>
    <row r="679">
      <c r="A679" s="1"/>
      <c r="B679" s="2"/>
      <c r="C679" s="2"/>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row>
    <row r="680">
      <c r="A680" s="1"/>
      <c r="B680" s="2"/>
      <c r="C680" s="2"/>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row>
    <row r="681">
      <c r="A681" s="1"/>
      <c r="B681" s="2"/>
      <c r="C681" s="2"/>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row>
    <row r="682">
      <c r="A682" s="1"/>
      <c r="B682" s="2"/>
      <c r="C682" s="2"/>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row>
    <row r="683">
      <c r="A683" s="1"/>
      <c r="B683" s="2"/>
      <c r="C683" s="2"/>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row>
    <row r="684">
      <c r="A684" s="1"/>
      <c r="B684" s="2"/>
      <c r="C684" s="2"/>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row>
    <row r="685">
      <c r="A685" s="1"/>
      <c r="B685" s="2"/>
      <c r="C685" s="2"/>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row>
    <row r="686">
      <c r="A686" s="1"/>
      <c r="B686" s="2"/>
      <c r="C686" s="2"/>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row>
    <row r="687">
      <c r="A687" s="1"/>
      <c r="B687" s="2"/>
      <c r="C687" s="2"/>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row>
    <row r="688">
      <c r="A688" s="1"/>
      <c r="B688" s="2"/>
      <c r="C688" s="2"/>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row>
    <row r="689">
      <c r="A689" s="1"/>
      <c r="B689" s="2"/>
      <c r="C689" s="2"/>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row>
    <row r="690">
      <c r="A690" s="1"/>
      <c r="B690" s="2"/>
      <c r="C690" s="2"/>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row>
    <row r="691">
      <c r="A691" s="1"/>
      <c r="B691" s="2"/>
      <c r="C691" s="2"/>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row>
    <row r="692">
      <c r="A692" s="1"/>
      <c r="B692" s="2"/>
      <c r="C692" s="2"/>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row>
    <row r="693">
      <c r="A693" s="1"/>
      <c r="B693" s="2"/>
      <c r="C693" s="2"/>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row>
    <row r="694">
      <c r="A694" s="1"/>
      <c r="B694" s="2"/>
      <c r="C694" s="2"/>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row>
    <row r="695">
      <c r="A695" s="1"/>
      <c r="B695" s="2"/>
      <c r="C695" s="2"/>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row>
    <row r="696">
      <c r="A696" s="1"/>
      <c r="B696" s="2"/>
      <c r="C696" s="2"/>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row>
    <row r="697">
      <c r="A697" s="1"/>
      <c r="B697" s="2"/>
      <c r="C697" s="2"/>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row>
    <row r="698">
      <c r="A698" s="1"/>
      <c r="B698" s="2"/>
      <c r="C698" s="2"/>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row>
    <row r="699">
      <c r="A699" s="1"/>
      <c r="B699" s="2"/>
      <c r="C699" s="2"/>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row>
    <row r="700">
      <c r="A700" s="1"/>
      <c r="B700" s="2"/>
      <c r="C700" s="2"/>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row>
    <row r="701">
      <c r="A701" s="1"/>
      <c r="B701" s="2"/>
      <c r="C701" s="2"/>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row>
    <row r="702">
      <c r="A702" s="1"/>
      <c r="B702" s="2"/>
      <c r="C702" s="2"/>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row>
    <row r="703">
      <c r="A703" s="1"/>
      <c r="B703" s="2"/>
      <c r="C703" s="2"/>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row>
    <row r="704">
      <c r="A704" s="1"/>
      <c r="B704" s="2"/>
      <c r="C704" s="2"/>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row>
    <row r="705">
      <c r="A705" s="1"/>
      <c r="B705" s="2"/>
      <c r="C705" s="2"/>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row>
    <row r="706">
      <c r="A706" s="1"/>
      <c r="B706" s="2"/>
      <c r="C706" s="2"/>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row>
    <row r="707">
      <c r="A707" s="1"/>
      <c r="B707" s="2"/>
      <c r="C707" s="2"/>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row>
    <row r="708">
      <c r="A708" s="1"/>
      <c r="B708" s="2"/>
      <c r="C708" s="2"/>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row>
    <row r="709">
      <c r="A709" s="1"/>
      <c r="B709" s="2"/>
      <c r="C709" s="2"/>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row>
    <row r="710">
      <c r="A710" s="1"/>
      <c r="B710" s="2"/>
      <c r="C710" s="2"/>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row>
    <row r="711">
      <c r="A711" s="1"/>
      <c r="B711" s="2"/>
      <c r="C711" s="2"/>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row>
    <row r="712">
      <c r="A712" s="1"/>
      <c r="B712" s="2"/>
      <c r="C712" s="2"/>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row>
    <row r="713">
      <c r="A713" s="1"/>
      <c r="B713" s="2"/>
      <c r="C713" s="2"/>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row>
    <row r="714">
      <c r="A714" s="1"/>
      <c r="B714" s="2"/>
      <c r="C714" s="2"/>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row>
    <row r="715">
      <c r="A715" s="1"/>
      <c r="B715" s="2"/>
      <c r="C715" s="2"/>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row>
    <row r="716">
      <c r="A716" s="1"/>
      <c r="B716" s="2"/>
      <c r="C716" s="2"/>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row>
    <row r="717">
      <c r="A717" s="1"/>
      <c r="B717" s="2"/>
      <c r="C717" s="2"/>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row>
    <row r="718">
      <c r="A718" s="1"/>
      <c r="B718" s="2"/>
      <c r="C718" s="2"/>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row>
    <row r="719">
      <c r="A719" s="1"/>
      <c r="B719" s="2"/>
      <c r="C719" s="2"/>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row>
    <row r="720">
      <c r="A720" s="1"/>
      <c r="B720" s="2"/>
      <c r="C720" s="2"/>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row>
    <row r="721">
      <c r="A721" s="1"/>
      <c r="B721" s="2"/>
      <c r="C721" s="2"/>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row>
    <row r="722">
      <c r="A722" s="1"/>
      <c r="B722" s="2"/>
      <c r="C722" s="2"/>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row>
    <row r="723">
      <c r="A723" s="1"/>
      <c r="B723" s="2"/>
      <c r="C723" s="2"/>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row>
    <row r="724">
      <c r="A724" s="1"/>
      <c r="B724" s="2"/>
      <c r="C724" s="2"/>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row>
    <row r="725">
      <c r="A725" s="1"/>
      <c r="B725" s="2"/>
      <c r="C725" s="2"/>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row>
    <row r="726">
      <c r="A726" s="1"/>
      <c r="B726" s="2"/>
      <c r="C726" s="2"/>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row>
    <row r="727">
      <c r="A727" s="1"/>
      <c r="B727" s="2"/>
      <c r="C727" s="2"/>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row>
    <row r="728">
      <c r="A728" s="1"/>
      <c r="B728" s="2"/>
      <c r="C728" s="2"/>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row>
    <row r="729">
      <c r="A729" s="1"/>
      <c r="B729" s="2"/>
      <c r="C729" s="2"/>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row>
    <row r="730">
      <c r="A730" s="1"/>
      <c r="B730" s="2"/>
      <c r="C730" s="2"/>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row>
    <row r="731">
      <c r="A731" s="1"/>
      <c r="B731" s="2"/>
      <c r="C731" s="2"/>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row>
    <row r="732">
      <c r="A732" s="1"/>
      <c r="B732" s="2"/>
      <c r="C732" s="2"/>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row>
    <row r="733">
      <c r="A733" s="1"/>
      <c r="B733" s="2"/>
      <c r="C733" s="2"/>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row>
    <row r="734">
      <c r="A734" s="1"/>
      <c r="B734" s="2"/>
      <c r="C734" s="2"/>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row>
    <row r="735">
      <c r="A735" s="1"/>
      <c r="B735" s="2"/>
      <c r="C735" s="2"/>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row>
    <row r="736">
      <c r="A736" s="1"/>
      <c r="B736" s="2"/>
      <c r="C736" s="2"/>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row>
    <row r="737">
      <c r="A737" s="1"/>
      <c r="B737" s="2"/>
      <c r="C737" s="2"/>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row>
    <row r="738">
      <c r="A738" s="1"/>
      <c r="B738" s="2"/>
      <c r="C738" s="2"/>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row>
    <row r="739">
      <c r="A739" s="1"/>
      <c r="B739" s="2"/>
      <c r="C739" s="2"/>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row>
    <row r="740">
      <c r="A740" s="1"/>
      <c r="B740" s="2"/>
      <c r="C740" s="2"/>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row>
    <row r="741">
      <c r="A741" s="1"/>
      <c r="B741" s="2"/>
      <c r="C741" s="2"/>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row>
    <row r="742">
      <c r="A742" s="1"/>
      <c r="B742" s="2"/>
      <c r="C742" s="2"/>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row>
    <row r="743">
      <c r="A743" s="1"/>
      <c r="B743" s="2"/>
      <c r="C743" s="2"/>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row>
    <row r="744">
      <c r="A744" s="1"/>
      <c r="B744" s="2"/>
      <c r="C744" s="2"/>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row>
    <row r="745">
      <c r="A745" s="1"/>
      <c r="B745" s="2"/>
      <c r="C745" s="2"/>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row>
    <row r="746">
      <c r="A746" s="1"/>
      <c r="B746" s="2"/>
      <c r="C746" s="2"/>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row>
    <row r="747">
      <c r="A747" s="1"/>
      <c r="B747" s="2"/>
      <c r="C747" s="2"/>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row>
    <row r="748">
      <c r="A748" s="1"/>
      <c r="B748" s="2"/>
      <c r="C748" s="2"/>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row>
    <row r="749">
      <c r="A749" s="1"/>
      <c r="B749" s="2"/>
      <c r="C749" s="2"/>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row>
    <row r="750">
      <c r="A750" s="1"/>
      <c r="B750" s="2"/>
      <c r="C750" s="2"/>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row>
    <row r="751">
      <c r="A751" s="1"/>
      <c r="B751" s="2"/>
      <c r="C751" s="2"/>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row>
    <row r="752">
      <c r="A752" s="1"/>
      <c r="B752" s="2"/>
      <c r="C752" s="2"/>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row>
    <row r="753">
      <c r="A753" s="1"/>
      <c r="B753" s="2"/>
      <c r="C753" s="2"/>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row>
    <row r="754">
      <c r="A754" s="1"/>
      <c r="B754" s="2"/>
      <c r="C754" s="2"/>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row>
    <row r="755">
      <c r="A755" s="1"/>
      <c r="B755" s="2"/>
      <c r="C755" s="2"/>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row>
    <row r="756">
      <c r="A756" s="1"/>
      <c r="B756" s="2"/>
      <c r="C756" s="2"/>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row>
    <row r="757">
      <c r="A757" s="1"/>
      <c r="B757" s="2"/>
      <c r="C757" s="2"/>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row>
    <row r="758">
      <c r="A758" s="1"/>
      <c r="B758" s="2"/>
      <c r="C758" s="2"/>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row>
    <row r="759">
      <c r="A759" s="1"/>
      <c r="B759" s="2"/>
      <c r="C759" s="2"/>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row>
    <row r="760">
      <c r="A760" s="1"/>
      <c r="B760" s="2"/>
      <c r="C760" s="2"/>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row>
    <row r="761">
      <c r="A761" s="1"/>
      <c r="B761" s="2"/>
      <c r="C761" s="2"/>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row>
    <row r="762">
      <c r="A762" s="1"/>
      <c r="B762" s="2"/>
      <c r="C762" s="2"/>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row>
    <row r="763">
      <c r="A763" s="1"/>
      <c r="B763" s="2"/>
      <c r="C763" s="2"/>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row>
    <row r="764">
      <c r="A764" s="1"/>
      <c r="B764" s="2"/>
      <c r="C764" s="2"/>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row>
    <row r="765">
      <c r="A765" s="1"/>
      <c r="B765" s="2"/>
      <c r="C765" s="2"/>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row>
    <row r="766">
      <c r="A766" s="1"/>
      <c r="B766" s="2"/>
      <c r="C766" s="2"/>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row>
    <row r="767">
      <c r="A767" s="1"/>
      <c r="B767" s="2"/>
      <c r="C767" s="2"/>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row>
    <row r="768">
      <c r="A768" s="1"/>
      <c r="B768" s="2"/>
      <c r="C768" s="2"/>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row>
    <row r="769">
      <c r="A769" s="1"/>
      <c r="B769" s="2"/>
      <c r="C769" s="2"/>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row>
    <row r="770">
      <c r="A770" s="1"/>
      <c r="B770" s="2"/>
      <c r="C770" s="2"/>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row>
    <row r="771">
      <c r="A771" s="1"/>
      <c r="B771" s="2"/>
      <c r="C771" s="2"/>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row>
    <row r="772">
      <c r="A772" s="1"/>
      <c r="B772" s="2"/>
      <c r="C772" s="2"/>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row>
    <row r="773">
      <c r="A773" s="1"/>
      <c r="B773" s="2"/>
      <c r="C773" s="2"/>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row>
    <row r="774">
      <c r="A774" s="1"/>
      <c r="B774" s="2"/>
      <c r="C774" s="2"/>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row>
    <row r="775">
      <c r="A775" s="1"/>
      <c r="B775" s="2"/>
      <c r="C775" s="2"/>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row>
    <row r="776">
      <c r="A776" s="1"/>
      <c r="B776" s="2"/>
      <c r="C776" s="2"/>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row>
    <row r="777">
      <c r="A777" s="1"/>
      <c r="B777" s="2"/>
      <c r="C777" s="2"/>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row>
    <row r="778">
      <c r="A778" s="1"/>
      <c r="B778" s="2"/>
      <c r="C778" s="2"/>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row>
    <row r="779">
      <c r="A779" s="1"/>
      <c r="B779" s="2"/>
      <c r="C779" s="2"/>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row>
    <row r="780">
      <c r="A780" s="1"/>
      <c r="B780" s="2"/>
      <c r="C780" s="2"/>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row>
    <row r="781">
      <c r="A781" s="1"/>
      <c r="B781" s="2"/>
      <c r="C781" s="2"/>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row>
    <row r="782">
      <c r="A782" s="1"/>
      <c r="B782" s="2"/>
      <c r="C782" s="2"/>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row>
    <row r="783">
      <c r="A783" s="1"/>
      <c r="B783" s="2"/>
      <c r="C783" s="2"/>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row>
    <row r="784">
      <c r="A784" s="1"/>
      <c r="B784" s="2"/>
      <c r="C784" s="2"/>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row>
    <row r="785">
      <c r="A785" s="1"/>
      <c r="B785" s="2"/>
      <c r="C785" s="2"/>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row>
    <row r="786">
      <c r="A786" s="1"/>
      <c r="B786" s="2"/>
      <c r="C786" s="2"/>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row>
    <row r="787">
      <c r="A787" s="1"/>
      <c r="B787" s="2"/>
      <c r="C787" s="2"/>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row>
    <row r="788">
      <c r="A788" s="1"/>
      <c r="B788" s="2"/>
      <c r="C788" s="2"/>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row>
    <row r="789">
      <c r="A789" s="1"/>
      <c r="B789" s="2"/>
      <c r="C789" s="2"/>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row>
    <row r="790">
      <c r="A790" s="1"/>
      <c r="B790" s="2"/>
      <c r="C790" s="2"/>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row>
    <row r="791">
      <c r="A791" s="1"/>
      <c r="B791" s="2"/>
      <c r="C791" s="2"/>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row>
    <row r="792">
      <c r="A792" s="1"/>
      <c r="B792" s="2"/>
      <c r="C792" s="2"/>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row>
    <row r="793">
      <c r="A793" s="1"/>
      <c r="B793" s="2"/>
      <c r="C793" s="2"/>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row>
    <row r="794">
      <c r="A794" s="1"/>
      <c r="B794" s="2"/>
      <c r="C794" s="2"/>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row>
    <row r="795">
      <c r="A795" s="1"/>
      <c r="B795" s="2"/>
      <c r="C795" s="2"/>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row>
    <row r="796">
      <c r="A796" s="1"/>
      <c r="B796" s="2"/>
      <c r="C796" s="2"/>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row>
    <row r="797">
      <c r="A797" s="1"/>
      <c r="B797" s="2"/>
      <c r="C797" s="2"/>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row>
    <row r="798">
      <c r="A798" s="1"/>
      <c r="B798" s="2"/>
      <c r="C798" s="2"/>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row>
    <row r="799">
      <c r="A799" s="1"/>
      <c r="B799" s="2"/>
      <c r="C799" s="2"/>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row>
    <row r="800">
      <c r="A800" s="1"/>
      <c r="B800" s="2"/>
      <c r="C800" s="2"/>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row>
    <row r="801">
      <c r="A801" s="1"/>
      <c r="B801" s="2"/>
      <c r="C801" s="2"/>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row>
    <row r="802">
      <c r="A802" s="1"/>
      <c r="B802" s="2"/>
      <c r="C802" s="2"/>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row>
    <row r="803">
      <c r="A803" s="1"/>
      <c r="B803" s="2"/>
      <c r="C803" s="2"/>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row>
    <row r="804">
      <c r="A804" s="1"/>
      <c r="B804" s="2"/>
      <c r="C804" s="2"/>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row>
    <row r="805">
      <c r="A805" s="1"/>
      <c r="B805" s="2"/>
      <c r="C805" s="2"/>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row>
    <row r="806">
      <c r="A806" s="1"/>
      <c r="B806" s="2"/>
      <c r="C806" s="2"/>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row>
    <row r="807">
      <c r="A807" s="1"/>
      <c r="B807" s="2"/>
      <c r="C807" s="2"/>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row>
    <row r="808">
      <c r="A808" s="1"/>
      <c r="B808" s="2"/>
      <c r="C808" s="2"/>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row>
    <row r="809">
      <c r="A809" s="1"/>
      <c r="B809" s="2"/>
      <c r="C809" s="2"/>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row>
    <row r="810">
      <c r="A810" s="1"/>
      <c r="B810" s="2"/>
      <c r="C810" s="2"/>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row>
    <row r="811">
      <c r="A811" s="1"/>
      <c r="B811" s="2"/>
      <c r="C811" s="2"/>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row>
    <row r="812">
      <c r="A812" s="1"/>
      <c r="B812" s="2"/>
      <c r="C812" s="2"/>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row>
    <row r="813">
      <c r="A813" s="1"/>
      <c r="B813" s="2"/>
      <c r="C813" s="2"/>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row>
    <row r="814">
      <c r="A814" s="1"/>
      <c r="B814" s="2"/>
      <c r="C814" s="2"/>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row>
    <row r="815">
      <c r="A815" s="1"/>
      <c r="B815" s="2"/>
      <c r="C815" s="2"/>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row>
    <row r="816">
      <c r="A816" s="1"/>
      <c r="B816" s="2"/>
      <c r="C816" s="2"/>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row>
    <row r="817">
      <c r="A817" s="1"/>
      <c r="B817" s="2"/>
      <c r="C817" s="2"/>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row>
    <row r="818">
      <c r="A818" s="1"/>
      <c r="B818" s="2"/>
      <c r="C818" s="2"/>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row>
    <row r="819">
      <c r="A819" s="1"/>
      <c r="B819" s="2"/>
      <c r="C819" s="2"/>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row>
    <row r="820">
      <c r="A820" s="1"/>
      <c r="B820" s="2"/>
      <c r="C820" s="2"/>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row>
    <row r="821">
      <c r="A821" s="1"/>
      <c r="B821" s="2"/>
      <c r="C821" s="2"/>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row>
    <row r="822">
      <c r="A822" s="1"/>
      <c r="B822" s="2"/>
      <c r="C822" s="2"/>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row>
    <row r="823">
      <c r="A823" s="1"/>
      <c r="B823" s="2"/>
      <c r="C823" s="2"/>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row>
    <row r="824">
      <c r="A824" s="1"/>
      <c r="B824" s="2"/>
      <c r="C824" s="2"/>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row>
    <row r="825">
      <c r="A825" s="1"/>
      <c r="B825" s="2"/>
      <c r="C825" s="2"/>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row>
    <row r="826">
      <c r="A826" s="1"/>
      <c r="B826" s="2"/>
      <c r="C826" s="2"/>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row>
    <row r="827">
      <c r="A827" s="1"/>
      <c r="B827" s="2"/>
      <c r="C827" s="2"/>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row>
    <row r="828">
      <c r="A828" s="1"/>
      <c r="B828" s="2"/>
      <c r="C828" s="2"/>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row>
    <row r="829">
      <c r="A829" s="1"/>
      <c r="B829" s="2"/>
      <c r="C829" s="2"/>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row>
    <row r="830">
      <c r="A830" s="1"/>
      <c r="B830" s="2"/>
      <c r="C830" s="2"/>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row>
    <row r="831">
      <c r="A831" s="1"/>
      <c r="B831" s="2"/>
      <c r="C831" s="2"/>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row>
    <row r="832">
      <c r="A832" s="1"/>
      <c r="B832" s="2"/>
      <c r="C832" s="2"/>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row>
    <row r="833">
      <c r="A833" s="1"/>
      <c r="B833" s="2"/>
      <c r="C833" s="2"/>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row>
    <row r="834">
      <c r="A834" s="1"/>
      <c r="B834" s="2"/>
      <c r="C834" s="2"/>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row>
    <row r="835">
      <c r="A835" s="1"/>
      <c r="B835" s="2"/>
      <c r="C835" s="2"/>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row>
    <row r="836">
      <c r="A836" s="1"/>
      <c r="B836" s="2"/>
      <c r="C836" s="2"/>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row>
    <row r="837">
      <c r="A837" s="1"/>
      <c r="B837" s="2"/>
      <c r="C837" s="2"/>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row>
    <row r="838">
      <c r="A838" s="1"/>
      <c r="B838" s="2"/>
      <c r="C838" s="2"/>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row>
    <row r="839">
      <c r="A839" s="1"/>
      <c r="B839" s="2"/>
      <c r="C839" s="2"/>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row>
    <row r="840">
      <c r="A840" s="1"/>
      <c r="B840" s="2"/>
      <c r="C840" s="2"/>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row>
    <row r="841">
      <c r="A841" s="1"/>
      <c r="B841" s="2"/>
      <c r="C841" s="2"/>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row>
    <row r="842">
      <c r="A842" s="1"/>
      <c r="B842" s="2"/>
      <c r="C842" s="2"/>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row>
    <row r="843">
      <c r="A843" s="1"/>
      <c r="B843" s="2"/>
      <c r="C843" s="2"/>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row>
    <row r="844">
      <c r="A844" s="1"/>
      <c r="B844" s="2"/>
      <c r="C844" s="2"/>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row>
    <row r="845">
      <c r="A845" s="1"/>
      <c r="B845" s="2"/>
      <c r="C845" s="2"/>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row>
    <row r="846">
      <c r="A846" s="1"/>
      <c r="B846" s="2"/>
      <c r="C846" s="2"/>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row>
    <row r="847">
      <c r="A847" s="1"/>
      <c r="B847" s="2"/>
      <c r="C847" s="2"/>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row>
    <row r="848">
      <c r="A848" s="1"/>
      <c r="B848" s="2"/>
      <c r="C848" s="2"/>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row>
    <row r="849">
      <c r="A849" s="1"/>
      <c r="B849" s="2"/>
      <c r="C849" s="2"/>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row>
    <row r="850">
      <c r="A850" s="1"/>
      <c r="B850" s="2"/>
      <c r="C850" s="2"/>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row>
    <row r="851">
      <c r="A851" s="1"/>
      <c r="B851" s="2"/>
      <c r="C851" s="2"/>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row>
    <row r="852">
      <c r="A852" s="1"/>
      <c r="B852" s="2"/>
      <c r="C852" s="2"/>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row>
    <row r="853">
      <c r="A853" s="1"/>
      <c r="B853" s="2"/>
      <c r="C853" s="2"/>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row>
    <row r="854">
      <c r="A854" s="1"/>
      <c r="B854" s="2"/>
      <c r="C854" s="2"/>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row>
    <row r="855">
      <c r="A855" s="1"/>
      <c r="B855" s="2"/>
      <c r="C855" s="2"/>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row>
    <row r="856">
      <c r="A856" s="1"/>
      <c r="B856" s="2"/>
      <c r="C856" s="2"/>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row>
    <row r="857">
      <c r="A857" s="1"/>
      <c r="B857" s="2"/>
      <c r="C857" s="2"/>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row>
    <row r="858">
      <c r="A858" s="1"/>
      <c r="B858" s="2"/>
      <c r="C858" s="2"/>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row>
    <row r="859">
      <c r="A859" s="1"/>
      <c r="B859" s="2"/>
      <c r="C859" s="2"/>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row>
    <row r="860">
      <c r="A860" s="1"/>
      <c r="B860" s="2"/>
      <c r="C860" s="2"/>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row>
    <row r="861">
      <c r="A861" s="1"/>
      <c r="B861" s="2"/>
      <c r="C861" s="2"/>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row>
    <row r="862">
      <c r="A862" s="1"/>
      <c r="B862" s="2"/>
      <c r="C862" s="2"/>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row>
    <row r="863">
      <c r="A863" s="1"/>
      <c r="B863" s="2"/>
      <c r="C863" s="2"/>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row>
    <row r="864">
      <c r="A864" s="1"/>
      <c r="B864" s="2"/>
      <c r="C864" s="2"/>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row>
    <row r="865">
      <c r="A865" s="1"/>
      <c r="B865" s="2"/>
      <c r="C865" s="2"/>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row>
    <row r="866">
      <c r="A866" s="1"/>
      <c r="B866" s="2"/>
      <c r="C866" s="2"/>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row>
    <row r="867">
      <c r="A867" s="1"/>
      <c r="B867" s="2"/>
      <c r="C867" s="2"/>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row>
    <row r="868">
      <c r="A868" s="1"/>
      <c r="B868" s="2"/>
      <c r="C868" s="2"/>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row>
    <row r="869">
      <c r="A869" s="1"/>
      <c r="B869" s="2"/>
      <c r="C869" s="2"/>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row>
    <row r="870">
      <c r="A870" s="1"/>
      <c r="B870" s="2"/>
      <c r="C870" s="2"/>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row>
    <row r="871">
      <c r="A871" s="1"/>
      <c r="B871" s="2"/>
      <c r="C871" s="2"/>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row>
    <row r="872">
      <c r="A872" s="1"/>
      <c r="B872" s="2"/>
      <c r="C872" s="2"/>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row>
    <row r="873">
      <c r="A873" s="1"/>
      <c r="B873" s="2"/>
      <c r="C873" s="2"/>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row>
    <row r="874">
      <c r="A874" s="1"/>
      <c r="B874" s="2"/>
      <c r="C874" s="2"/>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row>
    <row r="875">
      <c r="A875" s="1"/>
      <c r="B875" s="2"/>
      <c r="C875" s="2"/>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row>
    <row r="876">
      <c r="A876" s="1"/>
      <c r="B876" s="2"/>
      <c r="C876" s="2"/>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row>
    <row r="877">
      <c r="A877" s="1"/>
      <c r="B877" s="2"/>
      <c r="C877" s="2"/>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row>
    <row r="878">
      <c r="A878" s="1"/>
      <c r="B878" s="2"/>
      <c r="C878" s="2"/>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row>
    <row r="879">
      <c r="A879" s="1"/>
      <c r="B879" s="2"/>
      <c r="C879" s="2"/>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row>
    <row r="880">
      <c r="A880" s="1"/>
      <c r="B880" s="2"/>
      <c r="C880" s="2"/>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row>
    <row r="881">
      <c r="A881" s="1"/>
      <c r="B881" s="2"/>
      <c r="C881" s="2"/>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row>
    <row r="882">
      <c r="A882" s="1"/>
      <c r="B882" s="2"/>
      <c r="C882" s="2"/>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row>
    <row r="883">
      <c r="A883" s="1"/>
      <c r="B883" s="2"/>
      <c r="C883" s="2"/>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row>
    <row r="884">
      <c r="A884" s="1"/>
      <c r="B884" s="2"/>
      <c r="C884" s="2"/>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row>
    <row r="885">
      <c r="A885" s="1"/>
      <c r="B885" s="2"/>
      <c r="C885" s="2"/>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row>
    <row r="886">
      <c r="A886" s="1"/>
      <c r="B886" s="2"/>
      <c r="C886" s="2"/>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row>
    <row r="887">
      <c r="A887" s="1"/>
      <c r="B887" s="2"/>
      <c r="C887" s="2"/>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row>
    <row r="888">
      <c r="A888" s="1"/>
      <c r="B888" s="2"/>
      <c r="C888" s="2"/>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row>
    <row r="889">
      <c r="A889" s="1"/>
      <c r="B889" s="2"/>
      <c r="C889" s="2"/>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row>
    <row r="890">
      <c r="A890" s="1"/>
      <c r="B890" s="2"/>
      <c r="C890" s="2"/>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row>
    <row r="891">
      <c r="A891" s="1"/>
      <c r="B891" s="2"/>
      <c r="C891" s="2"/>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row>
    <row r="892">
      <c r="A892" s="1"/>
      <c r="B892" s="2"/>
      <c r="C892" s="2"/>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row>
    <row r="893">
      <c r="A893" s="1"/>
      <c r="B893" s="2"/>
      <c r="C893" s="2"/>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row>
    <row r="894">
      <c r="A894" s="1"/>
      <c r="B894" s="2"/>
      <c r="C894" s="2"/>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row>
    <row r="895">
      <c r="A895" s="1"/>
      <c r="B895" s="2"/>
      <c r="C895" s="2"/>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row>
    <row r="896">
      <c r="A896" s="1"/>
      <c r="B896" s="2"/>
      <c r="C896" s="2"/>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row>
    <row r="897">
      <c r="A897" s="1"/>
      <c r="B897" s="2"/>
      <c r="C897" s="2"/>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row>
    <row r="898">
      <c r="A898" s="1"/>
      <c r="B898" s="2"/>
      <c r="C898" s="2"/>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row>
    <row r="899">
      <c r="A899" s="1"/>
      <c r="B899" s="2"/>
      <c r="C899" s="2"/>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row>
    <row r="900">
      <c r="A900" s="1"/>
      <c r="B900" s="2"/>
      <c r="C900" s="2"/>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row>
    <row r="901">
      <c r="A901" s="1"/>
      <c r="B901" s="2"/>
      <c r="C901" s="2"/>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row>
    <row r="902">
      <c r="A902" s="1"/>
      <c r="B902" s="2"/>
      <c r="C902" s="2"/>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row>
    <row r="903">
      <c r="A903" s="1"/>
      <c r="B903" s="2"/>
      <c r="C903" s="2"/>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row>
    <row r="904">
      <c r="A904" s="1"/>
      <c r="B904" s="2"/>
      <c r="C904" s="2"/>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row>
    <row r="905">
      <c r="A905" s="1"/>
      <c r="B905" s="2"/>
      <c r="C905" s="2"/>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row>
    <row r="906">
      <c r="A906" s="1"/>
      <c r="B906" s="2"/>
      <c r="C906" s="2"/>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row>
    <row r="907">
      <c r="A907" s="1"/>
      <c r="B907" s="2"/>
      <c r="C907" s="2"/>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row>
    <row r="908">
      <c r="A908" s="1"/>
      <c r="B908" s="2"/>
      <c r="C908" s="2"/>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row>
    <row r="909">
      <c r="A909" s="1"/>
      <c r="B909" s="2"/>
      <c r="C909" s="2"/>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row>
    <row r="910">
      <c r="A910" s="1"/>
      <c r="B910" s="2"/>
      <c r="C910" s="2"/>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row>
    <row r="911">
      <c r="A911" s="1"/>
      <c r="B911" s="2"/>
      <c r="C911" s="2"/>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row>
    <row r="912">
      <c r="A912" s="1"/>
      <c r="B912" s="2"/>
      <c r="C912" s="2"/>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row>
    <row r="913">
      <c r="A913" s="1"/>
      <c r="B913" s="2"/>
      <c r="C913" s="2"/>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row>
    <row r="914">
      <c r="A914" s="1"/>
      <c r="B914" s="2"/>
      <c r="C914" s="2"/>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row>
    <row r="915">
      <c r="A915" s="1"/>
      <c r="B915" s="2"/>
      <c r="C915" s="2"/>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row>
    <row r="916">
      <c r="A916" s="1"/>
      <c r="B916" s="2"/>
      <c r="C916" s="2"/>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row>
    <row r="917">
      <c r="A917" s="1"/>
      <c r="B917" s="2"/>
      <c r="C917" s="2"/>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row>
    <row r="918">
      <c r="A918" s="1"/>
      <c r="B918" s="2"/>
      <c r="C918" s="2"/>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row>
    <row r="919">
      <c r="A919" s="1"/>
      <c r="B919" s="2"/>
      <c r="C919" s="2"/>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row>
    <row r="920">
      <c r="A920" s="1"/>
      <c r="B920" s="2"/>
      <c r="C920" s="2"/>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row>
    <row r="921">
      <c r="A921" s="1"/>
      <c r="B921" s="2"/>
      <c r="C921" s="2"/>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row>
    <row r="922">
      <c r="A922" s="1"/>
      <c r="B922" s="2"/>
      <c r="C922" s="2"/>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row>
    <row r="923">
      <c r="A923" s="1"/>
      <c r="B923" s="2"/>
      <c r="C923" s="2"/>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row>
    <row r="924">
      <c r="A924" s="1"/>
      <c r="B924" s="2"/>
      <c r="C924" s="2"/>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row>
    <row r="925">
      <c r="A925" s="1"/>
      <c r="B925" s="2"/>
      <c r="C925" s="2"/>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row>
    <row r="926">
      <c r="A926" s="1"/>
      <c r="B926" s="2"/>
      <c r="C926" s="2"/>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row>
    <row r="927">
      <c r="A927" s="1"/>
      <c r="B927" s="2"/>
      <c r="C927" s="2"/>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row>
    <row r="928">
      <c r="A928" s="1"/>
      <c r="B928" s="2"/>
      <c r="C928" s="2"/>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row>
    <row r="929">
      <c r="A929" s="1"/>
      <c r="B929" s="2"/>
      <c r="C929" s="2"/>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row>
    <row r="930">
      <c r="A930" s="1"/>
      <c r="B930" s="2"/>
      <c r="C930" s="2"/>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row>
    <row r="931">
      <c r="A931" s="1"/>
      <c r="B931" s="2"/>
      <c r="C931" s="2"/>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row>
    <row r="932">
      <c r="A932" s="1"/>
      <c r="B932" s="2"/>
      <c r="C932" s="2"/>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row>
    <row r="933">
      <c r="A933" s="1"/>
      <c r="B933" s="2"/>
      <c r="C933" s="2"/>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row>
    <row r="934">
      <c r="A934" s="1"/>
      <c r="B934" s="2"/>
      <c r="C934" s="2"/>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row>
    <row r="935">
      <c r="A935" s="1"/>
      <c r="B935" s="2"/>
      <c r="C935" s="2"/>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row>
    <row r="936">
      <c r="A936" s="1"/>
      <c r="B936" s="2"/>
      <c r="C936" s="2"/>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row>
    <row r="937">
      <c r="A937" s="1"/>
      <c r="B937" s="2"/>
      <c r="C937" s="2"/>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row>
    <row r="938">
      <c r="A938" s="1"/>
      <c r="B938" s="2"/>
      <c r="C938" s="2"/>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row>
    <row r="939">
      <c r="A939" s="1"/>
      <c r="B939" s="2"/>
      <c r="C939" s="2"/>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row>
    <row r="940">
      <c r="A940" s="1"/>
      <c r="B940" s="2"/>
      <c r="C940" s="2"/>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row>
    <row r="941">
      <c r="A941" s="1"/>
      <c r="B941" s="2"/>
      <c r="C941" s="2"/>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row>
    <row r="942">
      <c r="A942" s="1"/>
      <c r="B942" s="2"/>
      <c r="C942" s="2"/>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row>
    <row r="943">
      <c r="A943" s="1"/>
      <c r="B943" s="2"/>
      <c r="C943" s="2"/>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row>
    <row r="944">
      <c r="A944" s="1"/>
      <c r="B944" s="2"/>
      <c r="C944" s="2"/>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row>
    <row r="945">
      <c r="A945" s="1"/>
      <c r="B945" s="2"/>
      <c r="C945" s="2"/>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row>
    <row r="946">
      <c r="A946" s="1"/>
      <c r="B946" s="2"/>
      <c r="C946" s="2"/>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row>
    <row r="947">
      <c r="A947" s="1"/>
      <c r="B947" s="2"/>
      <c r="C947" s="2"/>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row>
    <row r="948">
      <c r="A948" s="1"/>
      <c r="B948" s="2"/>
      <c r="C948" s="2"/>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row>
    <row r="949">
      <c r="A949" s="1"/>
      <c r="B949" s="2"/>
      <c r="C949" s="2"/>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row>
    <row r="950">
      <c r="A950" s="1"/>
      <c r="B950" s="2"/>
      <c r="C950" s="2"/>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row>
    <row r="951">
      <c r="A951" s="1"/>
      <c r="B951" s="2"/>
      <c r="C951" s="2"/>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row>
    <row r="952">
      <c r="A952" s="1"/>
      <c r="B952" s="2"/>
      <c r="C952" s="2"/>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row>
    <row r="953">
      <c r="A953" s="1"/>
      <c r="B953" s="2"/>
      <c r="C953" s="2"/>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row>
    <row r="954">
      <c r="A954" s="1"/>
      <c r="B954" s="2"/>
      <c r="C954" s="2"/>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row>
    <row r="955">
      <c r="A955" s="1"/>
      <c r="B955" s="2"/>
      <c r="C955" s="2"/>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row>
    <row r="956">
      <c r="A956" s="1"/>
      <c r="B956" s="2"/>
      <c r="C956" s="2"/>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row>
    <row r="957">
      <c r="A957" s="1"/>
      <c r="B957" s="2"/>
      <c r="C957" s="2"/>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row>
    <row r="958">
      <c r="A958" s="1"/>
      <c r="B958" s="2"/>
      <c r="C958" s="2"/>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row>
    <row r="959">
      <c r="A959" s="1"/>
      <c r="B959" s="2"/>
      <c r="C959" s="2"/>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row>
    <row r="960">
      <c r="A960" s="1"/>
      <c r="B960" s="2"/>
      <c r="C960" s="2"/>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row>
    <row r="961">
      <c r="A961" s="1"/>
      <c r="B961" s="2"/>
      <c r="C961" s="2"/>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row>
    <row r="962">
      <c r="A962" s="1"/>
      <c r="B962" s="2"/>
      <c r="C962" s="2"/>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row>
    <row r="963">
      <c r="A963" s="1"/>
      <c r="B963" s="2"/>
      <c r="C963" s="2"/>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row>
    <row r="964">
      <c r="A964" s="1"/>
      <c r="B964" s="2"/>
      <c r="C964" s="2"/>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row>
    <row r="965">
      <c r="A965" s="1"/>
      <c r="B965" s="2"/>
      <c r="C965" s="2"/>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row>
    <row r="966">
      <c r="A966" s="1"/>
      <c r="B966" s="2"/>
      <c r="C966" s="2"/>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row>
    <row r="967">
      <c r="A967" s="1"/>
      <c r="B967" s="2"/>
      <c r="C967" s="2"/>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row>
    <row r="968">
      <c r="A968" s="1"/>
      <c r="B968" s="2"/>
      <c r="C968" s="2"/>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row>
    <row r="969">
      <c r="A969" s="1"/>
      <c r="B969" s="2"/>
      <c r="C969" s="2"/>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row>
    <row r="970">
      <c r="A970" s="1"/>
      <c r="B970" s="2"/>
      <c r="C970" s="2"/>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row>
    <row r="971">
      <c r="A971" s="1"/>
      <c r="B971" s="2"/>
      <c r="C971" s="2"/>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row>
    <row r="972">
      <c r="A972" s="1"/>
      <c r="B972" s="2"/>
      <c r="C972" s="2"/>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row>
    <row r="973">
      <c r="A973" s="1"/>
      <c r="B973" s="2"/>
      <c r="C973" s="2"/>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row>
    <row r="974">
      <c r="A974" s="1"/>
      <c r="B974" s="2"/>
      <c r="C974" s="2"/>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row>
    <row r="975">
      <c r="A975" s="1"/>
      <c r="B975" s="2"/>
      <c r="C975" s="2"/>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row>
    <row r="976">
      <c r="A976" s="1"/>
      <c r="B976" s="2"/>
      <c r="C976" s="2"/>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row>
    <row r="977">
      <c r="A977" s="1"/>
      <c r="B977" s="2"/>
      <c r="C977" s="2"/>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row>
    <row r="978">
      <c r="A978" s="1"/>
      <c r="B978" s="2"/>
      <c r="C978" s="2"/>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row>
    <row r="979">
      <c r="A979" s="1"/>
      <c r="B979" s="2"/>
      <c r="C979" s="2"/>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row>
    <row r="980">
      <c r="A980" s="1"/>
      <c r="B980" s="2"/>
      <c r="C980" s="2"/>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row>
    <row r="981">
      <c r="A981" s="1"/>
      <c r="B981" s="2"/>
      <c r="C981" s="2"/>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row>
    <row r="982">
      <c r="A982" s="1"/>
      <c r="B982" s="2"/>
      <c r="C982" s="2"/>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row>
    <row r="983">
      <c r="A983" s="1"/>
      <c r="B983" s="2"/>
      <c r="C983" s="2"/>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row>
    <row r="984">
      <c r="A984" s="1"/>
      <c r="B984" s="2"/>
      <c r="C984" s="2"/>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row>
    <row r="985">
      <c r="A985" s="1"/>
      <c r="B985" s="2"/>
      <c r="C985" s="2"/>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row>
    <row r="986">
      <c r="A986" s="1"/>
      <c r="B986" s="2"/>
      <c r="C986" s="2"/>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row>
    <row r="987">
      <c r="A987" s="1"/>
      <c r="B987" s="2"/>
      <c r="C987" s="2"/>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row>
    <row r="988">
      <c r="A988" s="1"/>
      <c r="B988" s="2"/>
      <c r="C988" s="2"/>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row>
    <row r="989">
      <c r="A989" s="1"/>
      <c r="B989" s="2"/>
      <c r="C989" s="2"/>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row>
    <row r="990">
      <c r="A990" s="1"/>
      <c r="B990" s="2"/>
      <c r="C990" s="2"/>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row>
    <row r="991">
      <c r="A991" s="1"/>
      <c r="B991" s="2"/>
      <c r="C991" s="2"/>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row>
    <row r="992">
      <c r="A992" s="1"/>
      <c r="B992" s="2"/>
      <c r="C992" s="2"/>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row>
    <row r="993">
      <c r="A993" s="1"/>
      <c r="B993" s="2"/>
      <c r="C993" s="2"/>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row>
    <row r="994">
      <c r="A994" s="1"/>
      <c r="B994" s="2"/>
      <c r="C994" s="2"/>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row>
    <row r="995">
      <c r="A995" s="1"/>
      <c r="B995" s="2"/>
      <c r="C995" s="2"/>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row>
    <row r="996">
      <c r="A996" s="1"/>
      <c r="B996" s="2"/>
      <c r="C996" s="2"/>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row>
    <row r="997">
      <c r="A997" s="1"/>
      <c r="B997" s="2"/>
      <c r="C997" s="2"/>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row>
    <row r="998">
      <c r="A998" s="1"/>
      <c r="B998" s="2"/>
      <c r="C998" s="2"/>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row>
    <row r="999">
      <c r="A999" s="1"/>
      <c r="B999" s="2"/>
      <c r="C999" s="2"/>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row>
    <row r="1000">
      <c r="A1000" s="1"/>
      <c r="B1000" s="2"/>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row>
    <row r="1001">
      <c r="A1001" s="1"/>
      <c r="B1001" s="2"/>
      <c r="C1001" s="2"/>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row>
    <row r="1002">
      <c r="A1002" s="1"/>
      <c r="B1002" s="2"/>
      <c r="C1002" s="2"/>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row>
    <row r="1003">
      <c r="A1003" s="1"/>
      <c r="B1003" s="2"/>
      <c r="C1003" s="2"/>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row>
    <row r="1004">
      <c r="A1004" s="1"/>
      <c r="B1004" s="2"/>
      <c r="C1004" s="2"/>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row>
  </sheetData>
  <mergeCells count="1">
    <mergeCell ref="B4:K5"/>
  </mergeCells>
  <conditionalFormatting sqref="A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2.71"/>
    <col customWidth="1" min="2" max="2" width="4.71"/>
    <col customWidth="1" min="3" max="24" width="12.71"/>
  </cols>
  <sheetData>
    <row r="1" ht="14.25" customHeight="1">
      <c r="A1" s="1"/>
      <c r="B1" s="1"/>
      <c r="C1" s="1"/>
      <c r="D1" s="1"/>
      <c r="E1" s="1"/>
      <c r="F1" s="1"/>
      <c r="G1" s="1"/>
      <c r="H1" s="1"/>
      <c r="I1" s="1"/>
      <c r="J1" s="1"/>
      <c r="K1" s="12"/>
      <c r="L1" s="12"/>
      <c r="M1" s="1"/>
      <c r="N1" s="1"/>
      <c r="O1" s="1"/>
      <c r="P1" s="1"/>
      <c r="Q1" s="1"/>
      <c r="R1" s="1"/>
      <c r="S1" s="1"/>
      <c r="T1" s="1"/>
      <c r="U1" s="1"/>
      <c r="V1" s="1"/>
      <c r="W1" s="1"/>
      <c r="X1" s="1"/>
      <c r="Y1" s="12"/>
    </row>
    <row r="2" ht="14.25" customHeight="1">
      <c r="A2" s="1"/>
      <c r="B2" s="13"/>
      <c r="C2" s="13"/>
      <c r="D2" s="1"/>
      <c r="E2" s="1"/>
      <c r="F2" s="1"/>
      <c r="G2" s="1"/>
      <c r="H2" s="1"/>
      <c r="I2" s="1"/>
      <c r="J2" s="1"/>
      <c r="K2" s="12"/>
      <c r="L2" s="12"/>
      <c r="M2" s="1"/>
      <c r="N2" s="1"/>
      <c r="O2" s="1"/>
      <c r="P2" s="1"/>
      <c r="Q2" s="1"/>
      <c r="R2" s="1"/>
      <c r="S2" s="1"/>
      <c r="T2" s="1"/>
      <c r="U2" s="1"/>
      <c r="V2" s="1"/>
      <c r="W2" s="1"/>
      <c r="X2" s="1"/>
      <c r="Y2" s="12"/>
    </row>
    <row r="3" ht="14.25" customHeight="1">
      <c r="A3" s="1"/>
      <c r="B3" s="13"/>
      <c r="C3" s="13"/>
      <c r="D3" s="1"/>
      <c r="E3" s="12"/>
      <c r="F3" s="12"/>
      <c r="G3" s="1"/>
      <c r="H3" s="1"/>
      <c r="I3" s="1"/>
      <c r="J3" s="1"/>
      <c r="K3" s="12"/>
      <c r="L3" s="12"/>
      <c r="M3" s="1"/>
      <c r="N3" s="1"/>
      <c r="O3" s="1"/>
      <c r="P3" s="1"/>
      <c r="Q3" s="1"/>
      <c r="R3" s="1"/>
      <c r="S3" s="1"/>
      <c r="T3" s="1"/>
      <c r="U3" s="1"/>
      <c r="V3" s="1"/>
      <c r="W3" s="1"/>
      <c r="X3" s="1"/>
      <c r="Y3" s="12"/>
    </row>
    <row r="4" ht="14.25" customHeight="1">
      <c r="A4" s="1"/>
      <c r="B4" s="14"/>
      <c r="C4" s="14"/>
      <c r="D4" s="14"/>
      <c r="E4" s="14"/>
      <c r="F4" s="14"/>
      <c r="G4" s="14"/>
      <c r="H4" s="14"/>
      <c r="I4" s="14"/>
      <c r="J4" s="14"/>
      <c r="K4" s="14"/>
      <c r="L4" s="14"/>
      <c r="M4" s="1"/>
      <c r="N4" s="1"/>
      <c r="O4" s="1"/>
      <c r="P4" s="1"/>
      <c r="Q4" s="1"/>
      <c r="R4" s="1"/>
      <c r="S4" s="1"/>
      <c r="T4" s="1"/>
      <c r="U4" s="1"/>
      <c r="V4" s="1"/>
      <c r="W4" s="1"/>
      <c r="X4" s="1"/>
      <c r="Y4" s="12"/>
    </row>
    <row r="5" ht="14.25" customHeight="1">
      <c r="A5" s="1"/>
      <c r="B5" s="1"/>
      <c r="C5" s="1"/>
      <c r="D5" s="1"/>
      <c r="E5" s="1"/>
      <c r="F5" s="1"/>
      <c r="G5" s="1"/>
      <c r="H5" s="1"/>
      <c r="I5" s="1"/>
      <c r="J5" s="1"/>
      <c r="K5" s="1"/>
      <c r="L5" s="1"/>
      <c r="M5" s="1"/>
      <c r="N5" s="1"/>
      <c r="O5" s="1"/>
      <c r="P5" s="1"/>
      <c r="Q5" s="1"/>
      <c r="R5" s="1"/>
      <c r="S5" s="1"/>
      <c r="T5" s="1"/>
      <c r="U5" s="1"/>
      <c r="V5" s="1"/>
      <c r="W5" s="1"/>
      <c r="X5" s="1"/>
      <c r="Y5" s="12"/>
    </row>
    <row r="6" ht="14.25" customHeight="1">
      <c r="A6" s="1"/>
      <c r="B6" s="1"/>
      <c r="C6" s="3" t="s">
        <v>10</v>
      </c>
      <c r="D6" s="9"/>
      <c r="E6" s="9"/>
      <c r="F6" s="1"/>
      <c r="G6" s="1"/>
      <c r="H6" s="1"/>
      <c r="I6" s="1"/>
      <c r="J6" s="9"/>
      <c r="K6" s="12"/>
      <c r="L6" s="12"/>
      <c r="M6" s="1"/>
      <c r="N6" s="1"/>
      <c r="O6" s="1"/>
      <c r="P6" s="1"/>
      <c r="Q6" s="1"/>
      <c r="R6" s="1"/>
      <c r="S6" s="1"/>
      <c r="T6" s="1"/>
      <c r="U6" s="1"/>
      <c r="V6" s="1"/>
      <c r="W6" s="1"/>
      <c r="X6" s="1"/>
      <c r="Y6" s="12"/>
    </row>
    <row r="7" ht="14.25" customHeight="1">
      <c r="A7" s="1"/>
      <c r="B7" s="1"/>
      <c r="C7" s="1" t="s">
        <v>11</v>
      </c>
      <c r="D7" s="9"/>
      <c r="E7" s="9"/>
      <c r="F7" s="1"/>
      <c r="G7" s="1"/>
      <c r="H7" s="1"/>
      <c r="I7" s="1"/>
      <c r="J7" s="9"/>
      <c r="K7" s="12"/>
      <c r="L7" s="12"/>
      <c r="M7" s="1"/>
      <c r="N7" s="1"/>
      <c r="O7" s="1"/>
      <c r="P7" s="1"/>
      <c r="Q7" s="1"/>
      <c r="R7" s="1"/>
      <c r="S7" s="1"/>
      <c r="T7" s="1"/>
      <c r="U7" s="1"/>
      <c r="V7" s="1"/>
      <c r="W7" s="1"/>
      <c r="X7" s="1"/>
      <c r="Y7" s="12"/>
    </row>
    <row r="8" ht="14.25" customHeight="1">
      <c r="A8" s="1"/>
      <c r="B8" s="1"/>
      <c r="C8" s="1" t="s">
        <v>12</v>
      </c>
      <c r="D8" s="9"/>
      <c r="E8" s="9"/>
      <c r="F8" s="1"/>
      <c r="G8" s="1"/>
      <c r="H8" s="1"/>
      <c r="I8" s="1"/>
      <c r="J8" s="9"/>
      <c r="K8" s="9"/>
      <c r="L8" s="9"/>
      <c r="M8" s="1"/>
      <c r="N8" s="1"/>
      <c r="O8" s="1"/>
      <c r="P8" s="1"/>
      <c r="Q8" s="1"/>
      <c r="R8" s="1"/>
      <c r="S8" s="1"/>
      <c r="T8" s="1"/>
      <c r="U8" s="1"/>
      <c r="V8" s="1"/>
      <c r="W8" s="1"/>
      <c r="X8" s="1"/>
      <c r="Y8" s="12"/>
    </row>
    <row r="9" ht="14.25" customHeight="1">
      <c r="A9" s="1"/>
      <c r="B9" s="1"/>
      <c r="C9" s="1" t="s">
        <v>13</v>
      </c>
      <c r="D9" s="9"/>
      <c r="E9" s="9"/>
      <c r="F9" s="1"/>
      <c r="G9" s="1"/>
      <c r="H9" s="1"/>
      <c r="I9" s="1"/>
      <c r="J9" s="9"/>
      <c r="K9" s="9"/>
      <c r="L9" s="9"/>
      <c r="M9" s="1"/>
      <c r="N9" s="1"/>
      <c r="O9" s="1"/>
      <c r="P9" s="1"/>
      <c r="Q9" s="1"/>
      <c r="R9" s="1"/>
      <c r="S9" s="1"/>
      <c r="T9" s="1"/>
      <c r="U9" s="1"/>
      <c r="V9" s="1"/>
      <c r="W9" s="1"/>
      <c r="X9" s="1"/>
      <c r="Y9" s="12"/>
    </row>
    <row r="10" ht="14.25" customHeight="1">
      <c r="A10" s="1"/>
      <c r="B10" s="1"/>
      <c r="C10" s="1" t="s">
        <v>14</v>
      </c>
      <c r="D10" s="9"/>
      <c r="E10" s="9"/>
      <c r="F10" s="1"/>
      <c r="G10" s="1"/>
      <c r="H10" s="1"/>
      <c r="I10" s="1"/>
      <c r="J10" s="9"/>
      <c r="K10" s="9"/>
      <c r="L10" s="9"/>
      <c r="M10" s="1"/>
      <c r="N10" s="1"/>
      <c r="O10" s="1"/>
      <c r="P10" s="1"/>
      <c r="Q10" s="1"/>
      <c r="R10" s="1"/>
      <c r="S10" s="1"/>
      <c r="T10" s="1"/>
      <c r="U10" s="1"/>
      <c r="V10" s="1"/>
      <c r="W10" s="1"/>
      <c r="X10" s="1"/>
      <c r="Y10" s="12"/>
    </row>
    <row r="11" ht="14.25" customHeight="1">
      <c r="A11" s="1"/>
      <c r="B11" s="14"/>
      <c r="C11" s="14"/>
      <c r="D11" s="14"/>
      <c r="E11" s="14"/>
      <c r="F11" s="14"/>
      <c r="G11" s="14"/>
      <c r="H11" s="14"/>
      <c r="I11" s="14"/>
      <c r="J11" s="14"/>
      <c r="K11" s="14"/>
      <c r="L11" s="14"/>
      <c r="M11" s="1"/>
      <c r="N11" s="1"/>
      <c r="O11" s="1"/>
      <c r="P11" s="1"/>
      <c r="Q11" s="1"/>
      <c r="R11" s="1"/>
      <c r="S11" s="1"/>
      <c r="T11" s="1"/>
      <c r="U11" s="1"/>
      <c r="V11" s="1"/>
      <c r="W11" s="1"/>
      <c r="X11" s="1"/>
      <c r="Y11" s="12"/>
    </row>
    <row r="12" ht="14.25" customHeight="1">
      <c r="A12" s="1"/>
      <c r="B12" s="1"/>
      <c r="C12" s="1"/>
      <c r="D12" s="1"/>
      <c r="E12" s="1"/>
      <c r="F12" s="1"/>
      <c r="G12" s="15"/>
      <c r="H12" s="9"/>
      <c r="I12" s="9"/>
      <c r="J12" s="9"/>
      <c r="K12" s="9"/>
      <c r="L12" s="9"/>
      <c r="M12" s="1"/>
      <c r="N12" s="1"/>
      <c r="O12" s="1"/>
      <c r="P12" s="1"/>
      <c r="Q12" s="1"/>
      <c r="R12" s="1"/>
      <c r="S12" s="1"/>
      <c r="T12" s="1"/>
      <c r="U12" s="1"/>
      <c r="V12" s="1"/>
      <c r="W12" s="1"/>
      <c r="X12" s="1"/>
      <c r="Y12" s="12"/>
    </row>
    <row r="13" ht="14.25" customHeight="1">
      <c r="A13" s="1"/>
      <c r="B13" s="1"/>
      <c r="C13" s="16" t="s">
        <v>15</v>
      </c>
      <c r="D13" s="17"/>
      <c r="E13" s="17"/>
      <c r="F13" s="17"/>
      <c r="G13" s="15"/>
      <c r="H13" s="9"/>
      <c r="I13" s="9"/>
      <c r="J13" s="1"/>
      <c r="K13" s="1"/>
      <c r="L13" s="1"/>
      <c r="M13" s="1"/>
      <c r="N13" s="1"/>
      <c r="O13" s="1"/>
      <c r="P13" s="1"/>
      <c r="Q13" s="1"/>
      <c r="R13" s="1"/>
      <c r="S13" s="1"/>
      <c r="T13" s="1"/>
      <c r="U13" s="1"/>
      <c r="V13" s="1"/>
      <c r="W13" s="1"/>
      <c r="X13" s="1"/>
      <c r="Y13" s="1"/>
    </row>
    <row r="14" ht="14.25" customHeight="1">
      <c r="A14" s="1"/>
      <c r="B14" s="1"/>
      <c r="C14" s="3"/>
      <c r="D14" s="1"/>
      <c r="E14" s="1"/>
      <c r="F14" s="1"/>
      <c r="G14" s="15"/>
      <c r="H14" s="9"/>
      <c r="I14" s="9"/>
      <c r="J14" s="1"/>
      <c r="K14" s="1"/>
      <c r="L14" s="1"/>
      <c r="M14" s="1"/>
      <c r="N14" s="1"/>
      <c r="O14" s="1"/>
      <c r="P14" s="1"/>
      <c r="Q14" s="1"/>
      <c r="R14" s="1"/>
      <c r="S14" s="1"/>
      <c r="T14" s="1"/>
      <c r="U14" s="1"/>
      <c r="V14" s="1"/>
      <c r="W14" s="1"/>
      <c r="X14" s="1"/>
      <c r="Y14" s="1"/>
    </row>
    <row r="15" ht="14.25" customHeight="1">
      <c r="A15" s="1"/>
      <c r="B15" s="1"/>
      <c r="C15" s="18" t="s">
        <v>16</v>
      </c>
      <c r="D15" s="19"/>
      <c r="E15" s="1"/>
      <c r="F15" s="1"/>
      <c r="G15" s="15"/>
      <c r="H15" s="9"/>
      <c r="I15" s="9"/>
      <c r="J15" s="1"/>
      <c r="K15" s="1"/>
      <c r="L15" s="1"/>
      <c r="M15" s="1"/>
      <c r="N15" s="1"/>
      <c r="O15" s="1"/>
      <c r="P15" s="1"/>
      <c r="Q15" s="1"/>
      <c r="R15" s="1"/>
      <c r="S15" s="1"/>
      <c r="T15" s="1"/>
      <c r="U15" s="1"/>
      <c r="V15" s="1"/>
      <c r="W15" s="1"/>
      <c r="X15" s="1"/>
      <c r="Y15" s="1"/>
    </row>
    <row r="16" ht="14.25" customHeight="1">
      <c r="A16" s="1"/>
      <c r="B16" s="1"/>
      <c r="C16" s="20" t="str">
        <f>F20</f>
        <v>OSP-3359</v>
      </c>
      <c r="D16" s="21"/>
      <c r="E16" s="1"/>
      <c r="F16" s="1"/>
      <c r="G16" s="15"/>
      <c r="H16" s="9"/>
      <c r="I16" s="9"/>
      <c r="J16" s="9"/>
      <c r="K16" s="9"/>
      <c r="L16" s="9"/>
      <c r="M16" s="1"/>
      <c r="N16" s="1"/>
      <c r="O16" s="1"/>
      <c r="P16" s="1"/>
      <c r="Q16" s="1"/>
      <c r="R16" s="1"/>
      <c r="S16" s="1"/>
      <c r="T16" s="1"/>
      <c r="U16" s="1"/>
      <c r="V16" s="1"/>
      <c r="W16" s="1"/>
      <c r="X16" s="1"/>
      <c r="Y16" s="1"/>
    </row>
    <row r="17" ht="14.25" customHeight="1">
      <c r="A17" s="22"/>
      <c r="B17" s="22"/>
      <c r="C17" s="22"/>
      <c r="D17" s="22"/>
      <c r="E17" s="22"/>
      <c r="F17" s="22"/>
      <c r="G17" s="23"/>
      <c r="H17" s="24"/>
      <c r="I17" s="24"/>
      <c r="J17" s="24"/>
      <c r="K17" s="24"/>
      <c r="L17" s="24"/>
      <c r="M17" s="22"/>
      <c r="N17" s="22"/>
      <c r="O17" s="22"/>
      <c r="P17" s="22"/>
      <c r="Q17" s="22"/>
      <c r="R17" s="22"/>
      <c r="S17" s="22"/>
      <c r="T17" s="22"/>
      <c r="U17" s="22"/>
      <c r="V17" s="22"/>
      <c r="W17" s="22"/>
      <c r="X17" s="22"/>
      <c r="Y17" s="22"/>
    </row>
    <row r="18" ht="14.25" customHeight="1">
      <c r="A18" s="22"/>
      <c r="B18" s="22"/>
      <c r="C18" s="25" t="s">
        <v>17</v>
      </c>
      <c r="D18" s="26"/>
      <c r="E18" s="27"/>
      <c r="F18" s="25" t="s">
        <v>18</v>
      </c>
      <c r="G18" s="26"/>
      <c r="H18" s="26"/>
      <c r="I18" s="28"/>
      <c r="J18" s="28"/>
      <c r="K18" s="28"/>
      <c r="L18" s="29"/>
      <c r="M18" s="22"/>
      <c r="N18" s="22"/>
      <c r="O18" s="22"/>
      <c r="P18" s="22"/>
      <c r="Q18" s="22"/>
      <c r="R18" s="22"/>
      <c r="S18" s="22"/>
      <c r="T18" s="22"/>
      <c r="U18" s="22"/>
      <c r="V18" s="22"/>
      <c r="W18" s="22"/>
      <c r="X18" s="22"/>
      <c r="Y18" s="22"/>
    </row>
    <row r="19" ht="14.25" customHeight="1">
      <c r="A19" s="22"/>
      <c r="B19" s="22"/>
      <c r="C19" s="30"/>
      <c r="D19" s="31"/>
      <c r="E19" s="32"/>
      <c r="F19" s="33"/>
      <c r="G19" s="34"/>
      <c r="H19" s="35"/>
      <c r="I19" s="36"/>
      <c r="J19" s="36"/>
      <c r="K19" s="36"/>
      <c r="L19" s="37"/>
      <c r="M19" s="22"/>
      <c r="N19" s="22"/>
      <c r="O19" s="22"/>
      <c r="P19" s="22"/>
      <c r="Q19" s="22"/>
      <c r="R19" s="22"/>
      <c r="S19" s="22"/>
      <c r="T19" s="22"/>
      <c r="U19" s="22"/>
      <c r="V19" s="22"/>
      <c r="W19" s="22"/>
      <c r="X19" s="22"/>
      <c r="Y19" s="22"/>
    </row>
    <row r="20" ht="14.25" customHeight="1">
      <c r="A20" s="22"/>
      <c r="B20" s="22"/>
      <c r="C20" s="38" t="s">
        <v>19</v>
      </c>
      <c r="D20" s="39"/>
      <c r="E20" s="40"/>
      <c r="F20" s="41" t="s">
        <v>20</v>
      </c>
      <c r="G20" s="42"/>
      <c r="H20" s="42"/>
      <c r="I20" s="42"/>
      <c r="J20" s="42"/>
      <c r="K20" s="42"/>
      <c r="L20" s="43"/>
      <c r="M20" s="22"/>
      <c r="N20" s="22"/>
      <c r="O20" s="22"/>
      <c r="P20" s="22"/>
      <c r="Q20" s="22"/>
      <c r="R20" s="22"/>
      <c r="S20" s="22"/>
      <c r="T20" s="22"/>
      <c r="U20" s="22"/>
      <c r="V20" s="22"/>
      <c r="W20" s="22"/>
      <c r="X20" s="22"/>
      <c r="Y20" s="22"/>
    </row>
    <row r="21" ht="14.25" customHeight="1">
      <c r="A21" s="22"/>
      <c r="B21" s="22"/>
      <c r="C21" s="38" t="s">
        <v>21</v>
      </c>
      <c r="D21" s="39"/>
      <c r="E21" s="40"/>
      <c r="F21" s="44" t="s">
        <v>22</v>
      </c>
      <c r="G21" s="42"/>
      <c r="H21" s="42"/>
      <c r="I21" s="42"/>
      <c r="J21" s="42"/>
      <c r="K21" s="42"/>
      <c r="L21" s="43"/>
      <c r="M21" s="22"/>
      <c r="N21" s="45" t="s">
        <v>23</v>
      </c>
      <c r="O21" s="13"/>
      <c r="P21" s="13"/>
      <c r="Q21" s="22"/>
      <c r="R21" s="22"/>
      <c r="S21" s="22"/>
      <c r="T21" s="22"/>
      <c r="U21" s="22"/>
      <c r="V21" s="22"/>
      <c r="W21" s="22"/>
      <c r="X21" s="22"/>
      <c r="Y21" s="22"/>
    </row>
    <row r="22" ht="14.25" customHeight="1">
      <c r="A22" s="22"/>
      <c r="B22" s="22"/>
      <c r="C22" s="38" t="s">
        <v>24</v>
      </c>
      <c r="D22" s="39"/>
      <c r="E22" s="40"/>
      <c r="F22" s="41" t="s">
        <v>25</v>
      </c>
      <c r="G22" s="42"/>
      <c r="H22" s="42"/>
      <c r="I22" s="42"/>
      <c r="J22" s="42"/>
      <c r="K22" s="42"/>
      <c r="L22" s="43"/>
      <c r="M22" s="22"/>
      <c r="N22" s="13"/>
      <c r="O22" s="13"/>
      <c r="P22" s="13"/>
      <c r="Q22" s="22"/>
      <c r="R22" s="22"/>
      <c r="S22" s="22"/>
      <c r="T22" s="22"/>
      <c r="U22" s="22"/>
      <c r="V22" s="22"/>
      <c r="W22" s="22"/>
      <c r="X22" s="22"/>
      <c r="Y22" s="22"/>
    </row>
    <row r="23" ht="14.25" customHeight="1">
      <c r="A23" s="22"/>
      <c r="B23" s="22"/>
      <c r="C23" s="38" t="s">
        <v>26</v>
      </c>
      <c r="D23" s="39"/>
      <c r="E23" s="40"/>
      <c r="F23" s="46" t="s">
        <v>27</v>
      </c>
      <c r="G23" s="42"/>
      <c r="H23" s="42"/>
      <c r="I23" s="42"/>
      <c r="J23" s="42"/>
      <c r="K23" s="42"/>
      <c r="L23" s="43"/>
      <c r="M23" s="22"/>
      <c r="N23" s="13" t="s">
        <v>28</v>
      </c>
      <c r="O23" s="13"/>
      <c r="P23" s="13"/>
      <c r="Q23" s="22"/>
      <c r="R23" s="22"/>
      <c r="S23" s="22"/>
      <c r="T23" s="22"/>
      <c r="U23" s="22"/>
      <c r="V23" s="22"/>
      <c r="W23" s="22"/>
      <c r="X23" s="22"/>
      <c r="Y23" s="22"/>
    </row>
    <row r="24" ht="14.25" customHeight="1">
      <c r="A24" s="22"/>
      <c r="B24" s="22"/>
      <c r="C24" s="38" t="s">
        <v>29</v>
      </c>
      <c r="D24" s="39"/>
      <c r="E24" s="40"/>
      <c r="F24" s="44" t="s">
        <v>30</v>
      </c>
      <c r="G24" s="42"/>
      <c r="H24" s="42"/>
      <c r="I24" s="42"/>
      <c r="J24" s="42"/>
      <c r="K24" s="42"/>
      <c r="L24" s="43"/>
      <c r="M24" s="22"/>
      <c r="N24" s="22"/>
      <c r="O24" s="22"/>
      <c r="P24" s="22"/>
      <c r="Q24" s="22"/>
      <c r="R24" s="22"/>
      <c r="S24" s="22"/>
      <c r="T24" s="22"/>
      <c r="U24" s="22"/>
      <c r="V24" s="22"/>
      <c r="W24" s="22"/>
      <c r="X24" s="22"/>
      <c r="Y24" s="22"/>
    </row>
    <row r="25" ht="14.25" customHeight="1">
      <c r="A25" s="22"/>
      <c r="B25" s="22"/>
      <c r="C25" s="38" t="s">
        <v>31</v>
      </c>
      <c r="D25" s="39"/>
      <c r="E25" s="40"/>
      <c r="F25" s="44" t="s">
        <v>32</v>
      </c>
      <c r="G25" s="42"/>
      <c r="H25" s="42"/>
      <c r="I25" s="42"/>
      <c r="J25" s="42"/>
      <c r="K25" s="42"/>
      <c r="L25" s="43"/>
      <c r="M25" s="22"/>
      <c r="N25" s="22"/>
      <c r="O25" s="22"/>
      <c r="P25" s="22"/>
      <c r="Q25" s="22"/>
      <c r="R25" s="22"/>
      <c r="S25" s="22"/>
      <c r="T25" s="22"/>
      <c r="U25" s="22"/>
      <c r="V25" s="22"/>
      <c r="W25" s="22"/>
      <c r="X25" s="22"/>
      <c r="Y25" s="22"/>
    </row>
    <row r="26" ht="14.25" customHeight="1">
      <c r="A26" s="22"/>
      <c r="B26" s="22"/>
      <c r="C26" s="38" t="s">
        <v>33</v>
      </c>
      <c r="D26" s="39"/>
      <c r="E26" s="40"/>
      <c r="F26" s="44" t="s">
        <v>22</v>
      </c>
      <c r="G26" s="42"/>
      <c r="H26" s="42"/>
      <c r="I26" s="42"/>
      <c r="J26" s="42"/>
      <c r="K26" s="42"/>
      <c r="L26" s="43"/>
      <c r="M26" s="22"/>
      <c r="N26" s="22"/>
      <c r="O26" s="22"/>
      <c r="P26" s="22"/>
      <c r="Q26" s="22"/>
      <c r="R26" s="22"/>
      <c r="S26" s="22"/>
      <c r="T26" s="22"/>
      <c r="U26" s="22"/>
      <c r="V26" s="22"/>
      <c r="W26" s="22"/>
      <c r="X26" s="22"/>
      <c r="Y26" s="22"/>
    </row>
    <row r="27" ht="14.25" customHeight="1">
      <c r="A27" s="22"/>
      <c r="B27" s="22"/>
      <c r="C27" s="38" t="s">
        <v>34</v>
      </c>
      <c r="D27" s="39"/>
      <c r="E27" s="40"/>
      <c r="F27" s="47">
        <v>43957.0</v>
      </c>
      <c r="G27" s="42"/>
      <c r="H27" s="42"/>
      <c r="I27" s="42"/>
      <c r="J27" s="42"/>
      <c r="K27" s="42"/>
      <c r="L27" s="43"/>
      <c r="M27" s="22"/>
      <c r="N27" s="22"/>
      <c r="O27" s="22"/>
      <c r="P27" s="22"/>
      <c r="Q27" s="22"/>
      <c r="R27" s="22"/>
      <c r="S27" s="22"/>
      <c r="T27" s="22"/>
      <c r="U27" s="22"/>
      <c r="V27" s="22"/>
      <c r="W27" s="22"/>
      <c r="X27" s="22"/>
      <c r="Y27" s="22"/>
    </row>
    <row r="28" ht="14.25" customHeight="1">
      <c r="A28" s="22"/>
      <c r="B28" s="22"/>
      <c r="C28" s="38" t="s">
        <v>35</v>
      </c>
      <c r="D28" s="39"/>
      <c r="E28" s="40"/>
      <c r="F28" s="48">
        <v>43977.0</v>
      </c>
      <c r="G28" s="42"/>
      <c r="H28" s="42"/>
      <c r="I28" s="42"/>
      <c r="J28" s="42"/>
      <c r="K28" s="42"/>
      <c r="L28" s="43"/>
      <c r="M28" s="22"/>
      <c r="N28" s="22"/>
      <c r="O28" s="22"/>
      <c r="P28" s="22"/>
      <c r="Q28" s="22"/>
      <c r="R28" s="22"/>
      <c r="S28" s="22"/>
      <c r="T28" s="22"/>
      <c r="U28" s="22"/>
      <c r="V28" s="22"/>
      <c r="W28" s="22"/>
      <c r="X28" s="22"/>
      <c r="Y28" s="22"/>
    </row>
    <row r="29" ht="14.25" customHeight="1">
      <c r="A29" s="22"/>
      <c r="B29" s="22"/>
      <c r="C29" s="38" t="s">
        <v>36</v>
      </c>
      <c r="D29" s="39"/>
      <c r="E29" s="40"/>
      <c r="F29" s="44" t="s">
        <v>37</v>
      </c>
      <c r="G29" s="42"/>
      <c r="H29" s="42"/>
      <c r="I29" s="42"/>
      <c r="J29" s="42"/>
      <c r="K29" s="42"/>
      <c r="L29" s="43"/>
      <c r="M29" s="22"/>
      <c r="N29" s="22"/>
      <c r="O29" s="22"/>
      <c r="P29" s="22"/>
      <c r="Q29" s="22"/>
      <c r="R29" s="22"/>
      <c r="S29" s="22"/>
      <c r="T29" s="22"/>
      <c r="U29" s="22"/>
      <c r="V29" s="22"/>
      <c r="W29" s="22"/>
      <c r="X29" s="22"/>
      <c r="Y29" s="22"/>
    </row>
    <row r="30" ht="14.25" customHeight="1">
      <c r="A30" s="22"/>
      <c r="B30" s="22"/>
      <c r="C30" s="38" t="s">
        <v>38</v>
      </c>
      <c r="D30" s="39"/>
      <c r="E30" s="40"/>
      <c r="F30" s="44" t="s">
        <v>39</v>
      </c>
      <c r="G30" s="42"/>
      <c r="H30" s="42"/>
      <c r="I30" s="42"/>
      <c r="J30" s="42"/>
      <c r="K30" s="42"/>
      <c r="L30" s="43"/>
      <c r="M30" s="22"/>
      <c r="N30" s="22"/>
      <c r="O30" s="22"/>
      <c r="P30" s="22"/>
      <c r="Q30" s="22"/>
      <c r="R30" s="22"/>
      <c r="S30" s="22"/>
      <c r="T30" s="22"/>
      <c r="U30" s="22"/>
      <c r="V30" s="22"/>
      <c r="W30" s="22"/>
      <c r="X30" s="22"/>
      <c r="Y30" s="22"/>
    </row>
    <row r="31" ht="14.25" customHeight="1">
      <c r="A31" s="22"/>
      <c r="B31" s="22"/>
      <c r="C31" s="38" t="s">
        <v>40</v>
      </c>
      <c r="D31" s="39"/>
      <c r="E31" s="40"/>
      <c r="F31" s="44" t="s">
        <v>41</v>
      </c>
      <c r="G31" s="42"/>
      <c r="H31" s="42"/>
      <c r="I31" s="42"/>
      <c r="J31" s="42"/>
      <c r="K31" s="42"/>
      <c r="L31" s="43"/>
      <c r="M31" s="22"/>
      <c r="N31" s="22"/>
      <c r="O31" s="22"/>
      <c r="P31" s="22"/>
      <c r="Q31" s="22"/>
      <c r="R31" s="22"/>
      <c r="S31" s="22"/>
      <c r="T31" s="22"/>
      <c r="U31" s="22"/>
      <c r="V31" s="22"/>
      <c r="W31" s="22"/>
      <c r="X31" s="22"/>
      <c r="Y31" s="22"/>
    </row>
    <row r="32" ht="14.25" customHeight="1">
      <c r="A32" s="22"/>
      <c r="B32" s="22"/>
      <c r="C32" s="38" t="s">
        <v>42</v>
      </c>
      <c r="D32" s="39"/>
      <c r="E32" s="40"/>
      <c r="F32" s="44" t="s">
        <v>39</v>
      </c>
      <c r="G32" s="42"/>
      <c r="H32" s="42"/>
      <c r="I32" s="42"/>
      <c r="J32" s="42"/>
      <c r="K32" s="42"/>
      <c r="L32" s="43"/>
      <c r="M32" s="22"/>
      <c r="N32" s="22"/>
      <c r="O32" s="22"/>
      <c r="P32" s="22"/>
      <c r="Q32" s="22"/>
      <c r="R32" s="22"/>
      <c r="S32" s="22"/>
      <c r="T32" s="22"/>
      <c r="U32" s="22"/>
      <c r="V32" s="22"/>
      <c r="W32" s="22"/>
      <c r="X32" s="22"/>
      <c r="Y32" s="22"/>
    </row>
    <row r="33" ht="14.25" customHeight="1">
      <c r="A33" s="22"/>
      <c r="B33" s="22"/>
      <c r="C33" s="38" t="s">
        <v>43</v>
      </c>
      <c r="D33" s="39"/>
      <c r="E33" s="40"/>
      <c r="F33" s="44" t="s">
        <v>44</v>
      </c>
      <c r="G33" s="42"/>
      <c r="H33" s="42"/>
      <c r="I33" s="42"/>
      <c r="J33" s="42"/>
      <c r="K33" s="42"/>
      <c r="L33" s="43"/>
      <c r="M33" s="22"/>
      <c r="N33" s="49" t="s">
        <v>45</v>
      </c>
      <c r="O33" s="50"/>
      <c r="Q33" s="50"/>
      <c r="R33" s="50"/>
      <c r="S33" s="50"/>
      <c r="U33" s="22"/>
      <c r="V33" s="22"/>
      <c r="W33" s="22"/>
      <c r="X33" s="22"/>
      <c r="Y33" s="22"/>
    </row>
    <row r="34" ht="14.25" customHeight="1">
      <c r="A34" s="22"/>
      <c r="B34" s="22"/>
      <c r="C34" s="38" t="s">
        <v>46</v>
      </c>
      <c r="D34" s="39"/>
      <c r="E34" s="40"/>
      <c r="F34" s="44" t="s">
        <v>47</v>
      </c>
      <c r="G34" s="42"/>
      <c r="H34" s="42"/>
      <c r="I34" s="42"/>
      <c r="J34" s="42"/>
      <c r="K34" s="42"/>
      <c r="L34" s="43"/>
      <c r="M34" s="22"/>
      <c r="N34" s="51" t="s">
        <v>48</v>
      </c>
      <c r="O34" s="50"/>
      <c r="Q34" s="50"/>
      <c r="R34" s="50"/>
      <c r="S34" s="50"/>
      <c r="U34" s="22"/>
      <c r="V34" s="22"/>
      <c r="W34" s="22"/>
      <c r="X34" s="22"/>
      <c r="Y34" s="22"/>
    </row>
    <row r="35" ht="14.25" customHeight="1">
      <c r="A35" s="22"/>
      <c r="B35" s="22"/>
      <c r="C35" s="52" t="s">
        <v>49</v>
      </c>
      <c r="D35" s="53"/>
      <c r="E35" s="54"/>
      <c r="F35" s="55">
        <v>11.0</v>
      </c>
      <c r="G35" s="56"/>
      <c r="H35" s="56"/>
      <c r="I35" s="56"/>
      <c r="J35" s="56"/>
      <c r="K35" s="56"/>
      <c r="L35" s="57"/>
      <c r="M35" s="22"/>
      <c r="N35" s="51" t="s">
        <v>50</v>
      </c>
      <c r="O35" s="50"/>
      <c r="Q35" s="50"/>
      <c r="R35" s="50"/>
      <c r="S35" s="50"/>
      <c r="U35" s="22"/>
      <c r="V35" s="22"/>
      <c r="W35" s="22"/>
      <c r="X35" s="22"/>
      <c r="Y35" s="22"/>
    </row>
    <row r="36" ht="14.25" customHeight="1">
      <c r="A36" s="22"/>
      <c r="B36" s="22"/>
      <c r="C36" s="58" t="s">
        <v>51</v>
      </c>
      <c r="D36" s="42"/>
      <c r="E36" s="59"/>
      <c r="F36" s="60" t="s">
        <v>52</v>
      </c>
      <c r="G36" s="42"/>
      <c r="H36" s="42"/>
      <c r="I36" s="42"/>
      <c r="J36" s="42"/>
      <c r="K36" s="42"/>
      <c r="L36" s="43"/>
      <c r="M36" s="22"/>
      <c r="N36" s="51" t="s">
        <v>53</v>
      </c>
      <c r="O36" s="22"/>
      <c r="Q36" s="22"/>
      <c r="R36" s="22"/>
      <c r="S36" s="22"/>
      <c r="T36" s="22"/>
      <c r="U36" s="22"/>
      <c r="V36" s="22"/>
      <c r="W36" s="22"/>
      <c r="X36" s="22"/>
      <c r="Y36" s="22"/>
    </row>
    <row r="37" ht="14.25" customHeight="1">
      <c r="A37" s="1"/>
      <c r="B37" s="1"/>
      <c r="C37" s="58" t="s">
        <v>54</v>
      </c>
      <c r="D37" s="42"/>
      <c r="E37" s="59"/>
      <c r="F37" s="61" t="s">
        <v>55</v>
      </c>
      <c r="G37" s="42"/>
      <c r="H37" s="42"/>
      <c r="I37" s="42"/>
      <c r="J37" s="42"/>
      <c r="K37" s="42"/>
      <c r="L37" s="43"/>
      <c r="M37" s="1"/>
      <c r="N37" s="51" t="s">
        <v>56</v>
      </c>
      <c r="O37" s="1"/>
      <c r="P37" s="1"/>
      <c r="Q37" s="1"/>
      <c r="R37" s="1"/>
      <c r="S37" s="1"/>
      <c r="T37" s="1"/>
      <c r="U37" s="1"/>
      <c r="V37" s="1"/>
      <c r="W37" s="1"/>
      <c r="X37" s="1"/>
      <c r="Y37" s="1"/>
    </row>
    <row r="38">
      <c r="A38" s="12"/>
      <c r="B38" s="12"/>
      <c r="C38" s="58" t="s">
        <v>57</v>
      </c>
      <c r="D38" s="42"/>
      <c r="E38" s="59"/>
      <c r="F38" s="44">
        <v>7.0</v>
      </c>
      <c r="G38" s="42"/>
      <c r="H38" s="42"/>
      <c r="I38" s="42"/>
      <c r="J38" s="42"/>
      <c r="K38" s="42"/>
      <c r="L38" s="43"/>
      <c r="M38" s="12"/>
      <c r="N38" s="12"/>
      <c r="O38" s="12"/>
      <c r="P38" s="12"/>
      <c r="Q38" s="12"/>
      <c r="R38" s="12"/>
      <c r="S38" s="12"/>
      <c r="T38" s="12"/>
      <c r="U38" s="12"/>
      <c r="V38" s="12"/>
      <c r="W38" s="12"/>
      <c r="X38" s="12"/>
      <c r="Y38" s="12"/>
    </row>
    <row r="39">
      <c r="A39" s="12"/>
      <c r="B39" s="12"/>
      <c r="C39" s="58" t="s">
        <v>58</v>
      </c>
      <c r="D39" s="42"/>
      <c r="E39" s="59"/>
      <c r="F39" s="41">
        <v>1.0</v>
      </c>
      <c r="G39" s="42"/>
      <c r="H39" s="42"/>
      <c r="I39" s="42"/>
      <c r="J39" s="42"/>
      <c r="K39" s="42"/>
      <c r="L39" s="43"/>
      <c r="M39" s="12"/>
      <c r="N39" s="62"/>
      <c r="O39" s="12"/>
      <c r="P39" s="12"/>
      <c r="Q39" s="12"/>
      <c r="R39" s="12"/>
      <c r="S39" s="12"/>
      <c r="T39" s="12"/>
      <c r="U39" s="12"/>
      <c r="V39" s="12"/>
      <c r="W39" s="12"/>
      <c r="X39" s="12"/>
      <c r="Y39" s="12"/>
    </row>
    <row r="40">
      <c r="A40" s="12"/>
      <c r="B40" s="12"/>
      <c r="C40" s="63" t="s">
        <v>59</v>
      </c>
      <c r="D40" s="64"/>
      <c r="E40" s="65"/>
      <c r="F40" s="66" t="s">
        <v>60</v>
      </c>
      <c r="G40" s="64"/>
      <c r="H40" s="64"/>
      <c r="I40" s="64"/>
      <c r="J40" s="64"/>
      <c r="K40" s="64"/>
      <c r="L40" s="67"/>
      <c r="M40" s="12"/>
      <c r="N40" s="62"/>
      <c r="O40" s="12"/>
      <c r="P40" s="12"/>
      <c r="Q40" s="12"/>
      <c r="R40" s="12"/>
      <c r="S40" s="12"/>
      <c r="T40" s="12"/>
      <c r="U40" s="12"/>
      <c r="V40" s="12"/>
      <c r="W40" s="12"/>
      <c r="X40" s="12"/>
      <c r="Y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c r="A43" s="12"/>
      <c r="B43" s="12"/>
      <c r="I43" s="12"/>
      <c r="J43" s="12"/>
      <c r="K43" s="12"/>
      <c r="L43" s="12"/>
      <c r="M43" s="12"/>
      <c r="N43" s="12"/>
      <c r="O43" s="12"/>
      <c r="P43" s="12"/>
      <c r="Q43" s="12"/>
      <c r="R43" s="12"/>
      <c r="S43" s="12"/>
      <c r="T43" s="12"/>
      <c r="U43" s="12"/>
      <c r="V43" s="12"/>
      <c r="W43" s="12"/>
      <c r="X43" s="12"/>
      <c r="Y43" s="12"/>
    </row>
    <row r="44">
      <c r="A44" s="12"/>
      <c r="B44" s="12"/>
      <c r="I44" s="12"/>
      <c r="J44" s="12"/>
      <c r="K44" s="12"/>
      <c r="L44" s="12"/>
      <c r="M44" s="12"/>
      <c r="N44" s="12"/>
      <c r="O44" s="12"/>
      <c r="P44" s="12"/>
      <c r="Q44" s="12"/>
      <c r="R44" s="12"/>
      <c r="S44" s="12"/>
      <c r="T44" s="12"/>
      <c r="U44" s="12"/>
      <c r="V44" s="12"/>
      <c r="W44" s="12"/>
      <c r="X44" s="12"/>
      <c r="Y44" s="12"/>
    </row>
    <row r="45">
      <c r="A45" s="12"/>
      <c r="B45" s="12"/>
      <c r="I45" s="12"/>
      <c r="J45" s="12"/>
      <c r="K45" s="12"/>
      <c r="L45" s="12"/>
      <c r="M45" s="12"/>
      <c r="N45" s="12"/>
      <c r="O45" s="12"/>
      <c r="P45" s="12"/>
      <c r="Q45" s="12"/>
      <c r="R45" s="12"/>
      <c r="S45" s="12"/>
      <c r="T45" s="12"/>
      <c r="U45" s="12"/>
      <c r="V45" s="12"/>
      <c r="W45" s="12"/>
      <c r="X45" s="12"/>
      <c r="Y45" s="12"/>
    </row>
    <row r="46">
      <c r="A46" s="12"/>
      <c r="B46" s="12"/>
      <c r="I46" s="12"/>
      <c r="J46" s="12"/>
      <c r="K46" s="12"/>
      <c r="L46" s="12"/>
      <c r="M46" s="12"/>
      <c r="N46" s="12"/>
      <c r="O46" s="12"/>
      <c r="P46" s="12"/>
      <c r="Q46" s="12"/>
      <c r="R46" s="12"/>
      <c r="S46" s="12"/>
      <c r="T46" s="12"/>
      <c r="U46" s="12"/>
      <c r="V46" s="12"/>
      <c r="W46" s="12"/>
      <c r="X46" s="12"/>
      <c r="Y46" s="12"/>
    </row>
    <row r="47">
      <c r="A47" s="12"/>
      <c r="B47" s="12"/>
      <c r="I47" s="12"/>
      <c r="J47" s="12"/>
      <c r="K47" s="12"/>
      <c r="L47" s="12"/>
      <c r="M47" s="12"/>
      <c r="N47" s="12"/>
      <c r="O47" s="12"/>
      <c r="P47" s="12"/>
      <c r="Q47" s="12"/>
      <c r="R47" s="12"/>
      <c r="S47" s="12"/>
      <c r="T47" s="12"/>
      <c r="U47" s="12"/>
      <c r="V47" s="12"/>
      <c r="W47" s="12"/>
      <c r="X47" s="12"/>
      <c r="Y47" s="12"/>
    </row>
    <row r="48">
      <c r="A48" s="12"/>
      <c r="B48" s="12"/>
      <c r="C48" s="12"/>
      <c r="F48" s="50"/>
      <c r="G48" s="50"/>
      <c r="H48" s="50"/>
      <c r="I48" s="12"/>
      <c r="J48" s="12"/>
      <c r="K48" s="12"/>
      <c r="L48" s="12"/>
      <c r="M48" s="12"/>
      <c r="N48" s="12"/>
      <c r="O48" s="12"/>
      <c r="P48" s="12"/>
      <c r="Q48" s="12"/>
      <c r="R48" s="12"/>
      <c r="S48" s="12"/>
      <c r="T48" s="12"/>
      <c r="U48" s="12"/>
      <c r="V48" s="12"/>
      <c r="W48" s="12"/>
      <c r="X48" s="12"/>
      <c r="Y48" s="12"/>
    </row>
    <row r="49">
      <c r="A49" s="12"/>
      <c r="B49" s="12"/>
      <c r="C49" s="12"/>
      <c r="F49" s="50"/>
      <c r="G49" s="50"/>
      <c r="H49" s="50"/>
      <c r="I49" s="12"/>
      <c r="J49" s="12"/>
      <c r="K49" s="12"/>
      <c r="L49" s="12"/>
      <c r="M49" s="12"/>
      <c r="N49" s="12"/>
      <c r="O49" s="12"/>
      <c r="P49" s="12"/>
      <c r="Q49" s="12"/>
      <c r="R49" s="12"/>
      <c r="S49" s="12"/>
      <c r="T49" s="12"/>
      <c r="U49" s="12"/>
      <c r="V49" s="12"/>
      <c r="W49" s="12"/>
      <c r="X49" s="12"/>
      <c r="Y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sheetData>
  <mergeCells count="30">
    <mergeCell ref="C18:E18"/>
    <mergeCell ref="F18:H18"/>
    <mergeCell ref="F20:L20"/>
    <mergeCell ref="F21:L21"/>
    <mergeCell ref="F22:L22"/>
    <mergeCell ref="F23:L23"/>
    <mergeCell ref="F24:L24"/>
    <mergeCell ref="F25:L25"/>
    <mergeCell ref="F26:L26"/>
    <mergeCell ref="F27:L27"/>
    <mergeCell ref="F28:L28"/>
    <mergeCell ref="F29:L29"/>
    <mergeCell ref="F30:L30"/>
    <mergeCell ref="F31:L31"/>
    <mergeCell ref="C37:E37"/>
    <mergeCell ref="C38:E38"/>
    <mergeCell ref="C39:E39"/>
    <mergeCell ref="C40:E40"/>
    <mergeCell ref="C48:E48"/>
    <mergeCell ref="C49:E49"/>
    <mergeCell ref="F38:L38"/>
    <mergeCell ref="F39:L39"/>
    <mergeCell ref="F40:L40"/>
    <mergeCell ref="F32:L32"/>
    <mergeCell ref="F33:L33"/>
    <mergeCell ref="F34:L34"/>
    <mergeCell ref="F35:L35"/>
    <mergeCell ref="C36:E36"/>
    <mergeCell ref="F36:L36"/>
    <mergeCell ref="F37:L37"/>
  </mergeCells>
  <conditionalFormatting sqref="C16">
    <cfRule type="containsText" dxfId="1" priority="1" operator="containsText" text="e.g.:">
      <formula>NOT(ISERROR(SEARCH(("e.g.:"),(C16))))</formula>
    </cfRule>
  </conditionalFormatting>
  <conditionalFormatting sqref="F20:F35 F38:F39">
    <cfRule type="containsText" dxfId="1" priority="2" operator="containsText" text="e.g.:">
      <formula>NOT(ISERROR(SEARCH(("e.g.:"),(F20))))</formula>
    </cfRule>
  </conditionalFormatting>
  <conditionalFormatting sqref="F20:F35 F38:F39">
    <cfRule type="notContainsText" dxfId="2" priority="3" operator="notContains" text="e.g.:">
      <formula>ISERROR(SEARCH(("e.g.:"),(F20)))</formula>
    </cfRule>
  </conditionalFormatting>
  <conditionalFormatting sqref="C16">
    <cfRule type="notContainsText" dxfId="2" priority="4" operator="notContains" text="e.g.:">
      <formula>ISERROR(SEARCH(("e.g.:"),(C16)))</formula>
    </cfRule>
  </conditionalFormatting>
  <dataValidations>
    <dataValidation type="list" allowBlank="1" sqref="F37 F40">
      <formula1>"Yes,No,."</formula1>
    </dataValidation>
    <dataValidation type="list" allowBlank="1" sqref="F36">
      <formula1>"In Store,Online,Both,."</formula1>
    </dataValidation>
    <dataValidation type="list" allowBlank="1" sqref="F33">
      <formula1>"Single Week [S],Parallel [P],Multi Week [M],Choice [C],."</formula1>
    </dataValidation>
  </dataValidations>
  <printOptions/>
  <pageMargins bottom="0.3937007874015748" footer="0.0" header="0.0" left="0.3937007874015748" right="0.3937007874015748" top="0.3937007874015748"/>
  <pageSetup paperSize="9" scale="6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6.29"/>
    <col customWidth="1" min="2" max="2" width="6.57"/>
    <col customWidth="1" min="3" max="6" width="12.71"/>
    <col customWidth="1" min="7" max="7" width="15.71"/>
    <col customWidth="1" min="8" max="9" width="16.57"/>
    <col customWidth="1" min="10" max="10" width="16.43"/>
    <col customWidth="1" min="11" max="11" width="16.0"/>
    <col customWidth="1" min="12" max="12" width="14.14"/>
    <col customWidth="1" min="13" max="13" width="14.86"/>
    <col customWidth="1" min="14" max="14" width="17.29"/>
    <col customWidth="1" min="15" max="58" width="12.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row>
    <row r="4" ht="14.25" customHeight="1">
      <c r="A4" s="1"/>
      <c r="B4" s="1"/>
      <c r="D4" s="9"/>
      <c r="E4" s="9"/>
      <c r="F4" s="1"/>
      <c r="G4" s="1"/>
      <c r="H4" s="1"/>
      <c r="I4" s="1"/>
      <c r="J4" s="9"/>
      <c r="K4" s="9"/>
      <c r="L4" s="9"/>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row>
    <row r="5" ht="14.25" customHeight="1">
      <c r="A5" s="1"/>
      <c r="B5" s="3" t="s">
        <v>10</v>
      </c>
      <c r="C5" s="9"/>
      <c r="D5" s="68"/>
      <c r="E5" s="10"/>
      <c r="F5" s="10"/>
      <c r="G5" s="69"/>
      <c r="H5" s="10"/>
      <c r="I5" s="10"/>
      <c r="J5" s="11"/>
      <c r="K5" s="11"/>
      <c r="L5" s="11"/>
      <c r="M5" s="10"/>
      <c r="N5" s="10"/>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row>
    <row r="6" ht="14.25" customHeight="1">
      <c r="A6" s="1"/>
      <c r="B6" s="1" t="s">
        <v>61</v>
      </c>
      <c r="C6" s="9"/>
      <c r="D6" s="70"/>
      <c r="E6" s="1"/>
      <c r="F6" s="1"/>
      <c r="H6" s="1"/>
      <c r="I6" s="1"/>
      <c r="J6" s="9"/>
      <c r="K6" s="9"/>
      <c r="L6" s="9"/>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ht="14.25" customHeight="1">
      <c r="A7" s="1"/>
      <c r="B7" s="1" t="s">
        <v>12</v>
      </c>
      <c r="C7" s="9"/>
      <c r="D7" s="9"/>
      <c r="E7" s="1"/>
      <c r="F7" s="1"/>
      <c r="H7" s="1"/>
      <c r="I7" s="1"/>
      <c r="J7" s="9"/>
      <c r="K7" s="9"/>
      <c r="L7" s="9"/>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row>
    <row r="8" ht="14.25" customHeight="1">
      <c r="A8" s="1"/>
      <c r="B8" s="7" t="s">
        <v>62</v>
      </c>
      <c r="C8" s="9"/>
      <c r="D8" s="9"/>
      <c r="E8" s="1"/>
      <c r="F8" s="1"/>
      <c r="H8" s="1"/>
      <c r="I8" s="1"/>
      <c r="J8" s="9"/>
      <c r="K8" s="9"/>
      <c r="L8" s="9"/>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ht="14.25" customHeight="1">
      <c r="A9" s="1"/>
      <c r="B9" s="8" t="s">
        <v>63</v>
      </c>
      <c r="C9" s="9"/>
      <c r="D9" s="9"/>
      <c r="E9" s="1"/>
      <c r="F9" s="1"/>
      <c r="H9" s="1"/>
      <c r="I9" s="1"/>
      <c r="J9" s="9"/>
      <c r="K9" s="9"/>
      <c r="L9" s="9"/>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ht="14.25" customHeight="1">
      <c r="A10" s="1"/>
      <c r="B10" s="1" t="s">
        <v>14</v>
      </c>
      <c r="C10" s="9"/>
      <c r="D10" s="9"/>
      <c r="E10" s="1"/>
      <c r="F10" s="1"/>
      <c r="H10" s="1"/>
      <c r="I10" s="1"/>
      <c r="J10" s="9"/>
      <c r="K10" s="9"/>
      <c r="L10" s="9"/>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ht="14.25" customHeight="1">
      <c r="A11" s="1"/>
      <c r="B11" s="1"/>
      <c r="C11" s="9"/>
      <c r="D11" s="9"/>
      <c r="E11" s="1"/>
      <c r="F11" s="1"/>
      <c r="H11" s="1"/>
      <c r="I11" s="1"/>
      <c r="J11" s="9"/>
      <c r="K11" s="9"/>
      <c r="L11" s="9"/>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row>
    <row r="12" ht="14.25" customHeight="1">
      <c r="A12" s="1"/>
      <c r="B12" s="71" t="s">
        <v>64</v>
      </c>
      <c r="C12" s="72"/>
      <c r="D12" s="72"/>
      <c r="E12" s="73"/>
      <c r="F12" s="73"/>
      <c r="G12" s="74"/>
      <c r="H12" s="1"/>
      <c r="I12" s="1"/>
      <c r="J12" s="9"/>
      <c r="K12" s="9"/>
      <c r="L12" s="9"/>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row>
    <row r="13" ht="14.25" customHeight="1">
      <c r="A13" s="1"/>
      <c r="B13" s="71" t="s">
        <v>65</v>
      </c>
      <c r="C13" s="72"/>
      <c r="D13" s="72"/>
      <c r="E13" s="73"/>
      <c r="F13" s="73"/>
      <c r="G13" s="74"/>
      <c r="H13" s="75"/>
      <c r="I13" s="75"/>
      <c r="J13" s="76"/>
      <c r="K13" s="76"/>
      <c r="L13" s="76"/>
      <c r="M13" s="75"/>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row>
    <row r="14" ht="14.25" customHeight="1">
      <c r="A14" s="1"/>
      <c r="B14" s="71" t="s">
        <v>66</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row>
    <row r="15" ht="14.25" customHeight="1">
      <c r="A15" s="1"/>
      <c r="B15" s="14"/>
      <c r="C15" s="14"/>
      <c r="D15" s="14"/>
      <c r="E15" s="14"/>
      <c r="F15" s="14"/>
      <c r="G15" s="14"/>
      <c r="H15" s="14"/>
      <c r="I15" s="14"/>
      <c r="J15" s="14"/>
      <c r="K15" s="14"/>
      <c r="L15" s="14"/>
      <c r="M15" s="14"/>
      <c r="N15" s="14"/>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row>
    <row r="16" ht="14.25" customHeight="1">
      <c r="A16" s="1"/>
      <c r="B16" s="1"/>
      <c r="C16" s="1"/>
      <c r="D16" s="1"/>
      <c r="E16" s="1"/>
      <c r="F16" s="1"/>
      <c r="G16" s="15"/>
      <c r="H16" s="9"/>
      <c r="I16" s="9"/>
      <c r="J16" s="9"/>
      <c r="K16" s="9"/>
      <c r="L16" s="9"/>
      <c r="M16" s="9"/>
      <c r="N16" s="9"/>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ht="14.25" customHeight="1">
      <c r="A17" s="1"/>
      <c r="B17" s="1"/>
      <c r="C17" s="77" t="s">
        <v>67</v>
      </c>
      <c r="D17" s="17"/>
      <c r="E17" s="78"/>
      <c r="F17" s="17"/>
      <c r="G17" s="79"/>
      <c r="H17" s="80"/>
      <c r="I17" s="80"/>
      <c r="J17" s="17"/>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row>
    <row r="18" ht="14.25" customHeight="1">
      <c r="A18" s="1"/>
      <c r="B18" s="1"/>
      <c r="C18" s="3"/>
      <c r="D18" s="1"/>
      <c r="E18" s="1"/>
      <c r="F18" s="1"/>
      <c r="G18" s="15"/>
      <c r="H18" s="9"/>
      <c r="I18" s="9"/>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row>
    <row r="19" ht="14.25" customHeight="1">
      <c r="A19" s="1"/>
      <c r="B19" s="1"/>
      <c r="C19" s="18" t="s">
        <v>16</v>
      </c>
      <c r="D19" s="19"/>
      <c r="E19" s="1"/>
      <c r="F19" s="1"/>
      <c r="G19" s="15"/>
      <c r="H19" s="9"/>
      <c r="I19" s="9"/>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row>
    <row r="20" ht="14.25" customHeight="1">
      <c r="A20" s="1"/>
      <c r="B20" s="1"/>
      <c r="C20" s="81" t="s">
        <v>68</v>
      </c>
      <c r="D20" s="21"/>
      <c r="E20" s="1"/>
      <c r="F20" s="1"/>
      <c r="G20" s="15"/>
      <c r="H20" s="9"/>
      <c r="I20" s="9"/>
      <c r="J20" s="9"/>
      <c r="K20" s="9"/>
      <c r="L20" s="9"/>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row>
    <row r="21" ht="14.25" customHeight="1">
      <c r="A21" s="1"/>
      <c r="B21" s="1"/>
      <c r="C21" s="1"/>
      <c r="D21" s="1"/>
      <c r="E21" s="1"/>
      <c r="F21" s="1"/>
      <c r="G21" s="15"/>
      <c r="H21" s="9"/>
      <c r="I21" s="9"/>
      <c r="J21" s="9"/>
      <c r="K21" s="9"/>
      <c r="L21" s="9"/>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ht="14.25" customHeight="1">
      <c r="A22" s="14"/>
      <c r="B22" s="14"/>
      <c r="C22" s="14"/>
      <c r="D22" s="14"/>
      <c r="E22" s="14"/>
      <c r="F22" s="14"/>
      <c r="G22" s="14"/>
      <c r="H22" s="14"/>
      <c r="I22" s="14"/>
      <c r="J22" s="14"/>
      <c r="K22" s="14"/>
      <c r="L22" s="14"/>
      <c r="M22" s="14"/>
      <c r="N22" s="14"/>
      <c r="O22" s="12"/>
      <c r="P22" s="12"/>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2"/>
      <c r="BF22" s="12"/>
    </row>
    <row r="23" ht="14.25" customHeight="1">
      <c r="A23" s="1"/>
      <c r="B23" s="1"/>
      <c r="C23" s="1"/>
      <c r="D23" s="1"/>
      <c r="E23" s="1"/>
      <c r="F23" s="1"/>
      <c r="G23" s="1"/>
      <c r="H23" s="1"/>
      <c r="I23" s="1"/>
      <c r="J23" s="1"/>
      <c r="K23" s="1"/>
      <c r="L23" s="1"/>
      <c r="M23" s="1"/>
      <c r="N23" s="1"/>
      <c r="O23" s="12"/>
      <c r="P23" s="12"/>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2"/>
      <c r="BF23" s="12"/>
    </row>
    <row r="24" ht="14.25" customHeight="1">
      <c r="A24" s="1"/>
      <c r="B24" s="82" t="s">
        <v>69</v>
      </c>
      <c r="C24" s="83" t="s">
        <v>70</v>
      </c>
      <c r="D24" s="84"/>
      <c r="E24" s="84"/>
      <c r="F24" s="1"/>
      <c r="G24" s="1"/>
      <c r="H24" s="1"/>
      <c r="I24" s="1"/>
      <c r="J24" s="12"/>
      <c r="K24" s="12"/>
      <c r="L24" s="12"/>
      <c r="M24" s="12"/>
      <c r="N24" s="1"/>
      <c r="O24" s="1"/>
      <c r="P24" s="85"/>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2"/>
      <c r="AU24" s="12"/>
      <c r="AV24" s="12"/>
      <c r="AW24" s="12"/>
      <c r="AX24" s="12"/>
      <c r="AY24" s="12"/>
      <c r="AZ24" s="12"/>
      <c r="BA24" s="12"/>
      <c r="BB24" s="12"/>
      <c r="BC24" s="12"/>
      <c r="BD24" s="12"/>
      <c r="BE24" s="12"/>
      <c r="BF24" s="12"/>
    </row>
    <row r="25" ht="14.25" customHeight="1">
      <c r="A25" s="1"/>
      <c r="B25" s="1"/>
      <c r="C25" s="1"/>
      <c r="D25" s="1"/>
      <c r="E25" s="1"/>
      <c r="F25" s="1"/>
      <c r="G25" s="1"/>
      <c r="H25" s="1"/>
      <c r="I25" s="1"/>
      <c r="J25" s="12"/>
      <c r="K25" s="12"/>
      <c r="L25" s="12"/>
      <c r="M25" s="12"/>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2"/>
      <c r="AU25" s="12"/>
      <c r="AV25" s="12"/>
      <c r="AW25" s="12"/>
      <c r="AX25" s="12"/>
      <c r="AY25" s="12"/>
      <c r="AZ25" s="12"/>
      <c r="BA25" s="12"/>
      <c r="BB25" s="12"/>
      <c r="BC25" s="12"/>
      <c r="BD25" s="12"/>
      <c r="BE25" s="12"/>
      <c r="BF25" s="12"/>
    </row>
    <row r="26" ht="14.25" customHeight="1">
      <c r="A26" s="1"/>
      <c r="B26" s="85" t="s">
        <v>71</v>
      </c>
      <c r="C26" s="86" t="s">
        <v>72</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2"/>
      <c r="AW26" s="12"/>
      <c r="AX26" s="12"/>
      <c r="AY26" s="12"/>
      <c r="AZ26" s="12"/>
      <c r="BA26" s="12"/>
      <c r="BB26" s="12"/>
      <c r="BC26" s="12"/>
      <c r="BD26" s="12"/>
      <c r="BE26" s="12"/>
      <c r="BF26" s="12"/>
    </row>
    <row r="27" ht="14.25" customHeight="1">
      <c r="A27" s="1"/>
      <c r="B27" s="1"/>
      <c r="C27" s="87" t="s">
        <v>73</v>
      </c>
      <c r="F27" s="1"/>
      <c r="G27" s="12"/>
      <c r="H27" s="12"/>
      <c r="I27" s="12"/>
      <c r="J27" s="12"/>
      <c r="K27" s="12"/>
      <c r="L27" s="12"/>
      <c r="M27" s="12"/>
      <c r="N27" s="12"/>
      <c r="O27" s="12"/>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2"/>
      <c r="AW27" s="12"/>
      <c r="AX27" s="12"/>
      <c r="AY27" s="12"/>
      <c r="AZ27" s="12"/>
      <c r="BA27" s="12"/>
      <c r="BB27" s="12"/>
      <c r="BC27" s="12"/>
      <c r="BD27" s="12"/>
      <c r="BE27" s="12"/>
      <c r="BF27" s="12"/>
    </row>
    <row r="28" ht="14.25" customHeight="1">
      <c r="A28" s="1"/>
      <c r="B28" s="88" t="s">
        <v>74</v>
      </c>
      <c r="C28" s="89" t="s">
        <v>75</v>
      </c>
      <c r="D28" s="26"/>
      <c r="E28" s="27"/>
      <c r="F28" s="1"/>
      <c r="G28" s="12"/>
      <c r="H28" s="12"/>
      <c r="I28" s="12"/>
      <c r="J28" s="12"/>
      <c r="K28" s="12"/>
      <c r="L28" s="12"/>
      <c r="M28" s="12"/>
      <c r="N28" s="12"/>
      <c r="O28" s="12"/>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2"/>
      <c r="AW28" s="12"/>
      <c r="AX28" s="12"/>
      <c r="AY28" s="12"/>
      <c r="AZ28" s="12"/>
      <c r="BA28" s="12"/>
      <c r="BB28" s="12"/>
      <c r="BC28" s="12"/>
      <c r="BD28" s="12"/>
      <c r="BE28" s="12"/>
      <c r="BF28" s="12"/>
    </row>
    <row r="29" ht="14.25" customHeight="1">
      <c r="A29" s="1"/>
      <c r="B29" s="88" t="s">
        <v>76</v>
      </c>
      <c r="C29" s="89" t="s">
        <v>77</v>
      </c>
      <c r="D29" s="26"/>
      <c r="E29" s="27"/>
      <c r="F29" s="1"/>
      <c r="G29" s="12"/>
      <c r="H29" s="12"/>
      <c r="I29" s="12"/>
      <c r="J29" s="12"/>
      <c r="K29" s="12"/>
      <c r="L29" s="12"/>
      <c r="M29" s="12"/>
      <c r="N29" s="12"/>
      <c r="O29" s="12"/>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2"/>
      <c r="AW29" s="12"/>
      <c r="AX29" s="12"/>
      <c r="AY29" s="12"/>
      <c r="AZ29" s="12"/>
      <c r="BA29" s="12"/>
      <c r="BB29" s="12"/>
      <c r="BC29" s="12"/>
      <c r="BD29" s="12"/>
      <c r="BE29" s="12"/>
      <c r="BF29" s="12"/>
    </row>
    <row r="30" ht="14.25" customHeight="1">
      <c r="A30" s="1"/>
      <c r="B30" s="90"/>
      <c r="C30" s="9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2"/>
      <c r="AW30" s="12"/>
      <c r="AX30" s="12"/>
      <c r="AY30" s="12"/>
      <c r="AZ30" s="12"/>
      <c r="BA30" s="12"/>
      <c r="BB30" s="12"/>
      <c r="BC30" s="12"/>
      <c r="BD30" s="12"/>
      <c r="BE30" s="12"/>
      <c r="BF30" s="12"/>
    </row>
    <row r="31" ht="14.25" customHeight="1">
      <c r="A31" s="1"/>
      <c r="B31" s="90"/>
      <c r="C31" s="9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2"/>
      <c r="AW31" s="12"/>
      <c r="AX31" s="12"/>
      <c r="AY31" s="12"/>
      <c r="AZ31" s="12"/>
      <c r="BA31" s="12"/>
      <c r="BB31" s="12"/>
      <c r="BC31" s="12"/>
      <c r="BD31" s="12"/>
      <c r="BE31" s="12"/>
      <c r="BF31" s="12"/>
    </row>
    <row r="32" ht="14.25" customHeight="1">
      <c r="A32" s="1"/>
      <c r="B32" s="2"/>
      <c r="C32" s="9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2"/>
      <c r="AW32" s="12"/>
      <c r="AX32" s="12"/>
      <c r="AY32" s="12"/>
      <c r="AZ32" s="12"/>
      <c r="BA32" s="12"/>
      <c r="BB32" s="12"/>
      <c r="BC32" s="12"/>
      <c r="BD32" s="12"/>
      <c r="BE32" s="12"/>
      <c r="BF32" s="12"/>
    </row>
    <row r="33" ht="14.25" customHeight="1">
      <c r="A33" s="1"/>
      <c r="B33" s="92" t="s">
        <v>78</v>
      </c>
      <c r="C33" s="93" t="s">
        <v>79</v>
      </c>
      <c r="D33" s="22"/>
      <c r="E33" s="22"/>
      <c r="F33" s="22"/>
      <c r="G33" s="1"/>
      <c r="H33" s="85" t="s">
        <v>80</v>
      </c>
      <c r="I33" s="85"/>
      <c r="J33" s="85"/>
      <c r="K33" s="85"/>
      <c r="L33" s="85"/>
      <c r="M33" s="85"/>
      <c r="N33" s="85"/>
      <c r="O33" s="1"/>
      <c r="P33" s="45"/>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2"/>
      <c r="AW33" s="12"/>
      <c r="AX33" s="12"/>
      <c r="AY33" s="12"/>
      <c r="AZ33" s="12"/>
      <c r="BA33" s="12"/>
      <c r="BB33" s="12"/>
      <c r="BC33" s="12"/>
      <c r="BD33" s="12"/>
      <c r="BE33" s="12"/>
      <c r="BF33" s="12"/>
    </row>
    <row r="34" ht="43.5" customHeight="1">
      <c r="A34" s="1"/>
      <c r="B34" s="1"/>
      <c r="C34" s="12"/>
      <c r="D34" s="1"/>
      <c r="E34" s="1"/>
      <c r="F34" s="1"/>
      <c r="G34" s="1"/>
      <c r="H34" s="94" t="s">
        <v>81</v>
      </c>
      <c r="I34" s="94" t="s">
        <v>82</v>
      </c>
      <c r="J34" s="94" t="s">
        <v>83</v>
      </c>
      <c r="K34" s="95" t="s">
        <v>84</v>
      </c>
      <c r="L34" s="94" t="s">
        <v>85</v>
      </c>
      <c r="M34" s="94" t="s">
        <v>86</v>
      </c>
      <c r="N34" s="94" t="s">
        <v>87</v>
      </c>
      <c r="O34" s="94" t="s">
        <v>88</v>
      </c>
      <c r="P34" s="94" t="s">
        <v>89</v>
      </c>
      <c r="Q34" s="94" t="s">
        <v>90</v>
      </c>
      <c r="R34" s="95" t="s">
        <v>91</v>
      </c>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2"/>
      <c r="AW34" s="12"/>
      <c r="AX34" s="12"/>
      <c r="AY34" s="12"/>
      <c r="AZ34" s="12"/>
      <c r="BA34" s="12"/>
      <c r="BB34" s="12"/>
      <c r="BC34" s="12"/>
      <c r="BD34" s="12"/>
      <c r="BE34" s="12"/>
      <c r="BF34" s="12"/>
    </row>
    <row r="35" ht="14.25" customHeight="1">
      <c r="A35" s="1"/>
      <c r="B35" s="1"/>
      <c r="C35" s="1" t="s">
        <v>92</v>
      </c>
      <c r="D35" s="1"/>
      <c r="E35" s="1"/>
      <c r="F35" s="1"/>
      <c r="G35" s="1"/>
      <c r="H35" s="88" t="b">
        <v>1</v>
      </c>
      <c r="I35" s="88" t="b">
        <v>0</v>
      </c>
      <c r="J35" s="88" t="b">
        <v>0</v>
      </c>
      <c r="K35" s="88" t="b">
        <v>0</v>
      </c>
      <c r="L35" s="88" t="b">
        <v>0</v>
      </c>
      <c r="M35" s="88" t="b">
        <v>0</v>
      </c>
      <c r="N35" s="88" t="b">
        <v>0</v>
      </c>
      <c r="O35" s="88" t="b">
        <v>0</v>
      </c>
      <c r="P35" s="88" t="b">
        <v>0</v>
      </c>
      <c r="Q35" s="88" t="b">
        <v>0</v>
      </c>
      <c r="R35" s="88" t="b">
        <v>0</v>
      </c>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row>
    <row r="36" ht="14.25" customHeight="1">
      <c r="A36" s="1"/>
      <c r="B36" s="1"/>
      <c r="C36" s="96"/>
      <c r="D36" s="1"/>
      <c r="E36" s="1"/>
      <c r="F36" s="1"/>
      <c r="G36" s="1"/>
      <c r="H36" s="2"/>
      <c r="I36" s="2"/>
      <c r="J36" s="2"/>
      <c r="K36" s="2"/>
      <c r="L36" s="2"/>
      <c r="M36" s="2"/>
      <c r="N36" s="2"/>
      <c r="O36" s="2"/>
      <c r="P36" s="2"/>
      <c r="Q36" s="2"/>
      <c r="R36" s="2"/>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row>
    <row r="37" ht="14.25" customHeight="1">
      <c r="A37" s="1"/>
      <c r="B37" s="85"/>
      <c r="C37" s="3" t="s">
        <v>93</v>
      </c>
      <c r="D37" s="1"/>
      <c r="E37" s="1"/>
      <c r="F37" s="1"/>
      <c r="G37" s="12"/>
      <c r="H37" s="97"/>
      <c r="I37" s="97"/>
      <c r="J37" s="97"/>
      <c r="K37" s="97"/>
      <c r="L37" s="97"/>
      <c r="M37" s="97"/>
      <c r="N37" s="97"/>
      <c r="O37" s="97"/>
      <c r="P37" s="97"/>
      <c r="Q37" s="97"/>
      <c r="R37" s="97"/>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2"/>
      <c r="AW37" s="12"/>
      <c r="AX37" s="12"/>
      <c r="AY37" s="12"/>
      <c r="AZ37" s="12"/>
      <c r="BA37" s="12"/>
      <c r="BB37" s="12"/>
      <c r="BC37" s="12"/>
      <c r="BD37" s="12"/>
      <c r="BE37" s="12"/>
      <c r="BF37" s="12"/>
    </row>
    <row r="38" ht="14.25" customHeight="1">
      <c r="A38" s="1"/>
      <c r="B38" s="85"/>
      <c r="C38" s="98" t="s">
        <v>94</v>
      </c>
      <c r="G38" s="1"/>
      <c r="H38" s="88" t="s">
        <v>76</v>
      </c>
      <c r="I38" s="88" t="s">
        <v>76</v>
      </c>
      <c r="J38" s="88" t="s">
        <v>76</v>
      </c>
      <c r="K38" s="88" t="s">
        <v>76</v>
      </c>
      <c r="L38" s="88" t="s">
        <v>76</v>
      </c>
      <c r="M38" s="88" t="s">
        <v>76</v>
      </c>
      <c r="N38" s="88" t="s">
        <v>76</v>
      </c>
      <c r="O38" s="88" t="s">
        <v>76</v>
      </c>
      <c r="P38" s="88" t="s">
        <v>76</v>
      </c>
      <c r="Q38" s="88" t="s">
        <v>76</v>
      </c>
      <c r="R38" s="88" t="s">
        <v>76</v>
      </c>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2"/>
      <c r="AW38" s="12"/>
      <c r="AX38" s="12"/>
      <c r="AY38" s="12"/>
      <c r="AZ38" s="12"/>
      <c r="BA38" s="12"/>
      <c r="BB38" s="12"/>
      <c r="BC38" s="12"/>
      <c r="BD38" s="12"/>
      <c r="BE38" s="12"/>
      <c r="BF38" s="12"/>
    </row>
    <row r="39" ht="18.75" customHeight="1">
      <c r="A39" s="1"/>
      <c r="B39" s="85"/>
      <c r="C39" s="98" t="s">
        <v>95</v>
      </c>
      <c r="G39" s="1"/>
      <c r="H39" s="88" t="s">
        <v>76</v>
      </c>
      <c r="I39" s="88" t="s">
        <v>76</v>
      </c>
      <c r="J39" s="88" t="s">
        <v>76</v>
      </c>
      <c r="K39" s="88" t="s">
        <v>76</v>
      </c>
      <c r="L39" s="88" t="s">
        <v>76</v>
      </c>
      <c r="M39" s="88" t="s">
        <v>76</v>
      </c>
      <c r="N39" s="88" t="s">
        <v>76</v>
      </c>
      <c r="O39" s="88" t="s">
        <v>76</v>
      </c>
      <c r="P39" s="88" t="s">
        <v>76</v>
      </c>
      <c r="Q39" s="88" t="s">
        <v>76</v>
      </c>
      <c r="R39" s="88" t="s">
        <v>76</v>
      </c>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2"/>
      <c r="AW39" s="12"/>
      <c r="AX39" s="12"/>
      <c r="AY39" s="12"/>
      <c r="AZ39" s="12"/>
      <c r="BA39" s="12"/>
      <c r="BB39" s="12"/>
      <c r="BC39" s="12"/>
      <c r="BD39" s="12"/>
      <c r="BE39" s="12"/>
      <c r="BF39" s="12"/>
    </row>
    <row r="40" ht="14.25" customHeight="1">
      <c r="A40" s="1"/>
      <c r="B40" s="85"/>
      <c r="C40" s="98" t="s">
        <v>96</v>
      </c>
      <c r="G40" s="1"/>
      <c r="H40" s="88" t="s">
        <v>76</v>
      </c>
      <c r="I40" s="88" t="s">
        <v>76</v>
      </c>
      <c r="J40" s="88" t="s">
        <v>76</v>
      </c>
      <c r="K40" s="88" t="s">
        <v>76</v>
      </c>
      <c r="L40" s="88" t="s">
        <v>76</v>
      </c>
      <c r="M40" s="88" t="s">
        <v>76</v>
      </c>
      <c r="N40" s="88" t="s">
        <v>76</v>
      </c>
      <c r="O40" s="88" t="s">
        <v>76</v>
      </c>
      <c r="P40" s="88" t="s">
        <v>76</v>
      </c>
      <c r="Q40" s="88" t="s">
        <v>76</v>
      </c>
      <c r="R40" s="88" t="s">
        <v>76</v>
      </c>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2"/>
      <c r="AW40" s="12"/>
      <c r="AX40" s="12"/>
      <c r="AY40" s="12"/>
      <c r="AZ40" s="12"/>
      <c r="BA40" s="12"/>
      <c r="BB40" s="12"/>
      <c r="BC40" s="12"/>
      <c r="BD40" s="12"/>
      <c r="BE40" s="12"/>
      <c r="BF40" s="12"/>
    </row>
    <row r="41" ht="14.25" customHeight="1">
      <c r="A41" s="1"/>
      <c r="B41" s="85"/>
      <c r="C41" s="98" t="s">
        <v>96</v>
      </c>
      <c r="G41" s="1"/>
      <c r="H41" s="88" t="s">
        <v>76</v>
      </c>
      <c r="I41" s="88" t="s">
        <v>76</v>
      </c>
      <c r="J41" s="88" t="s">
        <v>76</v>
      </c>
      <c r="K41" s="88" t="s">
        <v>76</v>
      </c>
      <c r="L41" s="88" t="s">
        <v>76</v>
      </c>
      <c r="M41" s="88" t="s">
        <v>76</v>
      </c>
      <c r="N41" s="88" t="s">
        <v>76</v>
      </c>
      <c r="O41" s="88" t="s">
        <v>76</v>
      </c>
      <c r="P41" s="88" t="s">
        <v>76</v>
      </c>
      <c r="Q41" s="88" t="s">
        <v>76</v>
      </c>
      <c r="R41" s="88" t="s">
        <v>76</v>
      </c>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2"/>
      <c r="AW41" s="12"/>
      <c r="AX41" s="12"/>
      <c r="AY41" s="12"/>
      <c r="AZ41" s="12"/>
      <c r="BA41" s="12"/>
      <c r="BB41" s="12"/>
      <c r="BC41" s="12"/>
      <c r="BD41" s="12"/>
      <c r="BE41" s="12"/>
      <c r="BF41" s="12"/>
    </row>
    <row r="42" ht="14.25" customHeight="1">
      <c r="A42" s="1"/>
      <c r="B42" s="85"/>
      <c r="C42" s="98" t="s">
        <v>96</v>
      </c>
      <c r="G42" s="1"/>
      <c r="H42" s="88" t="s">
        <v>76</v>
      </c>
      <c r="I42" s="88" t="s">
        <v>76</v>
      </c>
      <c r="J42" s="88" t="s">
        <v>76</v>
      </c>
      <c r="K42" s="88" t="s">
        <v>76</v>
      </c>
      <c r="L42" s="88" t="s">
        <v>76</v>
      </c>
      <c r="M42" s="88" t="s">
        <v>76</v>
      </c>
      <c r="N42" s="88" t="s">
        <v>76</v>
      </c>
      <c r="O42" s="88" t="s">
        <v>76</v>
      </c>
      <c r="P42" s="88" t="s">
        <v>76</v>
      </c>
      <c r="Q42" s="88" t="s">
        <v>76</v>
      </c>
      <c r="R42" s="88" t="s">
        <v>76</v>
      </c>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2"/>
      <c r="AW42" s="12"/>
      <c r="AX42" s="12"/>
      <c r="AY42" s="12"/>
      <c r="AZ42" s="12"/>
      <c r="BA42" s="12"/>
      <c r="BB42" s="12"/>
      <c r="BC42" s="12"/>
      <c r="BD42" s="12"/>
      <c r="BE42" s="12"/>
      <c r="BF42" s="12"/>
    </row>
    <row r="43" ht="14.25" customHeight="1">
      <c r="A43" s="1"/>
      <c r="B43" s="85"/>
      <c r="C43" s="98" t="s">
        <v>96</v>
      </c>
      <c r="G43" s="12"/>
      <c r="H43" s="88" t="s">
        <v>76</v>
      </c>
      <c r="I43" s="88" t="s">
        <v>76</v>
      </c>
      <c r="J43" s="88" t="s">
        <v>76</v>
      </c>
      <c r="K43" s="88" t="s">
        <v>76</v>
      </c>
      <c r="L43" s="88" t="s">
        <v>76</v>
      </c>
      <c r="M43" s="88" t="s">
        <v>76</v>
      </c>
      <c r="N43" s="88" t="s">
        <v>76</v>
      </c>
      <c r="O43" s="88" t="s">
        <v>76</v>
      </c>
      <c r="P43" s="88" t="s">
        <v>76</v>
      </c>
      <c r="Q43" s="88" t="s">
        <v>76</v>
      </c>
      <c r="R43" s="88" t="s">
        <v>76</v>
      </c>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2"/>
      <c r="AW43" s="12"/>
      <c r="AX43" s="12"/>
      <c r="AY43" s="12"/>
      <c r="AZ43" s="12"/>
      <c r="BA43" s="12"/>
      <c r="BB43" s="12"/>
      <c r="BC43" s="12"/>
      <c r="BD43" s="12"/>
      <c r="BE43" s="12"/>
      <c r="BF43" s="12"/>
    </row>
    <row r="44" ht="15.0" customHeight="1">
      <c r="A44" s="1"/>
      <c r="B44" s="85"/>
      <c r="C44" s="98" t="s">
        <v>96</v>
      </c>
      <c r="G44" s="12"/>
      <c r="H44" s="88" t="s">
        <v>76</v>
      </c>
      <c r="I44" s="88" t="s">
        <v>76</v>
      </c>
      <c r="J44" s="88" t="s">
        <v>76</v>
      </c>
      <c r="K44" s="88" t="s">
        <v>76</v>
      </c>
      <c r="L44" s="88" t="s">
        <v>76</v>
      </c>
      <c r="M44" s="88" t="s">
        <v>76</v>
      </c>
      <c r="N44" s="88" t="s">
        <v>76</v>
      </c>
      <c r="O44" s="88" t="s">
        <v>76</v>
      </c>
      <c r="P44" s="88" t="s">
        <v>76</v>
      </c>
      <c r="Q44" s="88" t="s">
        <v>76</v>
      </c>
      <c r="R44" s="88" t="s">
        <v>76</v>
      </c>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2"/>
      <c r="AW44" s="12"/>
      <c r="AX44" s="12"/>
      <c r="AY44" s="12"/>
      <c r="AZ44" s="12"/>
      <c r="BA44" s="12"/>
      <c r="BB44" s="12"/>
      <c r="BC44" s="12"/>
      <c r="BD44" s="12"/>
      <c r="BE44" s="12"/>
      <c r="BF44" s="12"/>
    </row>
    <row r="45" ht="14.25" customHeight="1">
      <c r="A45" s="1"/>
      <c r="B45" s="85"/>
      <c r="C45" s="98" t="s">
        <v>96</v>
      </c>
      <c r="G45" s="12"/>
      <c r="H45" s="88" t="s">
        <v>76</v>
      </c>
      <c r="I45" s="88" t="s">
        <v>76</v>
      </c>
      <c r="J45" s="88" t="s">
        <v>76</v>
      </c>
      <c r="K45" s="88" t="s">
        <v>76</v>
      </c>
      <c r="L45" s="88" t="s">
        <v>76</v>
      </c>
      <c r="M45" s="88" t="s">
        <v>76</v>
      </c>
      <c r="N45" s="88" t="s">
        <v>76</v>
      </c>
      <c r="O45" s="88" t="s">
        <v>76</v>
      </c>
      <c r="P45" s="88" t="s">
        <v>76</v>
      </c>
      <c r="Q45" s="88" t="s">
        <v>76</v>
      </c>
      <c r="R45" s="88" t="s">
        <v>76</v>
      </c>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2"/>
      <c r="AW45" s="12"/>
      <c r="AX45" s="12"/>
      <c r="AY45" s="12"/>
      <c r="AZ45" s="12"/>
      <c r="BA45" s="12"/>
      <c r="BB45" s="12"/>
      <c r="BC45" s="12"/>
      <c r="BD45" s="12"/>
      <c r="BE45" s="12"/>
      <c r="BF45" s="12"/>
    </row>
    <row r="46" ht="14.25" customHeight="1">
      <c r="A46" s="1"/>
      <c r="B46" s="85"/>
      <c r="C46" s="98" t="s">
        <v>96</v>
      </c>
      <c r="G46" s="12"/>
      <c r="H46" s="88" t="s">
        <v>76</v>
      </c>
      <c r="I46" s="88" t="s">
        <v>76</v>
      </c>
      <c r="J46" s="88" t="s">
        <v>76</v>
      </c>
      <c r="K46" s="88" t="s">
        <v>76</v>
      </c>
      <c r="L46" s="88" t="s">
        <v>76</v>
      </c>
      <c r="M46" s="88" t="s">
        <v>76</v>
      </c>
      <c r="N46" s="88" t="s">
        <v>76</v>
      </c>
      <c r="O46" s="88" t="s">
        <v>76</v>
      </c>
      <c r="P46" s="88" t="s">
        <v>76</v>
      </c>
      <c r="Q46" s="88" t="s">
        <v>76</v>
      </c>
      <c r="R46" s="88" t="s">
        <v>76</v>
      </c>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2"/>
      <c r="AW46" s="12"/>
      <c r="AX46" s="12"/>
      <c r="AY46" s="12"/>
      <c r="AZ46" s="12"/>
      <c r="BA46" s="12"/>
      <c r="BB46" s="12"/>
      <c r="BC46" s="12"/>
      <c r="BD46" s="12"/>
      <c r="BE46" s="12"/>
      <c r="BF46" s="12"/>
    </row>
    <row r="47" ht="14.25" customHeight="1">
      <c r="A47" s="1"/>
      <c r="B47" s="85"/>
      <c r="C47" s="98" t="s">
        <v>96</v>
      </c>
      <c r="G47" s="12"/>
      <c r="H47" s="88" t="s">
        <v>76</v>
      </c>
      <c r="I47" s="88" t="s">
        <v>76</v>
      </c>
      <c r="J47" s="88" t="s">
        <v>76</v>
      </c>
      <c r="K47" s="88" t="s">
        <v>76</v>
      </c>
      <c r="L47" s="88" t="s">
        <v>76</v>
      </c>
      <c r="M47" s="88" t="s">
        <v>76</v>
      </c>
      <c r="N47" s="88" t="s">
        <v>76</v>
      </c>
      <c r="O47" s="88" t="s">
        <v>76</v>
      </c>
      <c r="P47" s="88" t="s">
        <v>76</v>
      </c>
      <c r="Q47" s="88" t="s">
        <v>76</v>
      </c>
      <c r="R47" s="88" t="s">
        <v>76</v>
      </c>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2"/>
      <c r="AW47" s="12"/>
      <c r="AX47" s="12"/>
      <c r="AY47" s="12"/>
      <c r="AZ47" s="12"/>
      <c r="BA47" s="12"/>
      <c r="BB47" s="12"/>
      <c r="BC47" s="12"/>
      <c r="BD47" s="12"/>
      <c r="BE47" s="12"/>
      <c r="BF47" s="12"/>
    </row>
    <row r="48" ht="14.25" customHeight="1">
      <c r="A48" s="1"/>
      <c r="B48" s="85"/>
      <c r="C48" s="1"/>
      <c r="D48" s="1"/>
      <c r="E48" s="1"/>
      <c r="F48" s="1"/>
      <c r="G48" s="12"/>
      <c r="H48" s="2"/>
      <c r="I48" s="2"/>
      <c r="J48" s="2"/>
      <c r="K48" s="2"/>
      <c r="L48" s="2"/>
      <c r="M48" s="2"/>
      <c r="N48" s="2"/>
      <c r="O48" s="2"/>
      <c r="P48" s="2"/>
      <c r="Q48" s="2"/>
      <c r="R48" s="2"/>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2"/>
      <c r="AW48" s="12"/>
      <c r="AX48" s="12"/>
      <c r="AY48" s="12"/>
      <c r="AZ48" s="12"/>
      <c r="BA48" s="12"/>
      <c r="BB48" s="12"/>
      <c r="BC48" s="12"/>
      <c r="BD48" s="12"/>
      <c r="BE48" s="12"/>
      <c r="BF48" s="12"/>
    </row>
    <row r="49" ht="14.25" customHeight="1">
      <c r="A49" s="1"/>
      <c r="B49" s="92" t="s">
        <v>97</v>
      </c>
      <c r="C49" s="99" t="s">
        <v>98</v>
      </c>
      <c r="D49" s="100"/>
      <c r="E49" s="100"/>
      <c r="F49" s="100"/>
      <c r="G49" s="100"/>
      <c r="H49" s="88" t="s">
        <v>76</v>
      </c>
      <c r="I49" s="88" t="s">
        <v>76</v>
      </c>
      <c r="J49" s="88" t="s">
        <v>76</v>
      </c>
      <c r="K49" s="88" t="s">
        <v>76</v>
      </c>
      <c r="L49" s="88" t="s">
        <v>76</v>
      </c>
      <c r="M49" s="88" t="s">
        <v>76</v>
      </c>
      <c r="N49" s="88" t="s">
        <v>76</v>
      </c>
      <c r="O49" s="88" t="s">
        <v>76</v>
      </c>
      <c r="P49" s="88" t="s">
        <v>76</v>
      </c>
      <c r="Q49" s="88" t="s">
        <v>76</v>
      </c>
      <c r="R49" s="88" t="s">
        <v>76</v>
      </c>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2"/>
      <c r="AW49" s="12"/>
      <c r="AX49" s="12"/>
      <c r="AY49" s="12"/>
      <c r="AZ49" s="12"/>
      <c r="BA49" s="12"/>
      <c r="BB49" s="12"/>
      <c r="BC49" s="12"/>
      <c r="BD49" s="12"/>
      <c r="BE49" s="12"/>
      <c r="BF49" s="12"/>
    </row>
    <row r="50" ht="14.25" customHeight="1">
      <c r="A50" s="1"/>
      <c r="B50" s="85"/>
      <c r="C50" s="7" t="s">
        <v>99</v>
      </c>
      <c r="G50" s="12"/>
      <c r="H50" s="88" t="s">
        <v>76</v>
      </c>
      <c r="I50" s="88" t="s">
        <v>76</v>
      </c>
      <c r="J50" s="88" t="s">
        <v>76</v>
      </c>
      <c r="K50" s="88" t="s">
        <v>76</v>
      </c>
      <c r="L50" s="88" t="s">
        <v>76</v>
      </c>
      <c r="M50" s="88" t="s">
        <v>76</v>
      </c>
      <c r="N50" s="88" t="s">
        <v>76</v>
      </c>
      <c r="O50" s="88" t="s">
        <v>76</v>
      </c>
      <c r="P50" s="88" t="s">
        <v>76</v>
      </c>
      <c r="Q50" s="88" t="s">
        <v>76</v>
      </c>
      <c r="R50" s="88" t="s">
        <v>76</v>
      </c>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2"/>
      <c r="AW50" s="12"/>
      <c r="AX50" s="12"/>
      <c r="AY50" s="12"/>
      <c r="AZ50" s="12"/>
      <c r="BA50" s="12"/>
      <c r="BB50" s="12"/>
      <c r="BC50" s="12"/>
      <c r="BD50" s="12"/>
      <c r="BE50" s="12"/>
      <c r="BF50" s="12"/>
    </row>
    <row r="51" ht="14.25" customHeight="1">
      <c r="A51" s="1"/>
      <c r="B51" s="85"/>
      <c r="C51" s="7" t="s">
        <v>100</v>
      </c>
      <c r="G51" s="12"/>
      <c r="H51" s="88" t="s">
        <v>76</v>
      </c>
      <c r="I51" s="88" t="s">
        <v>76</v>
      </c>
      <c r="J51" s="88" t="s">
        <v>76</v>
      </c>
      <c r="K51" s="88" t="s">
        <v>76</v>
      </c>
      <c r="L51" s="88" t="s">
        <v>76</v>
      </c>
      <c r="M51" s="88" t="s">
        <v>76</v>
      </c>
      <c r="N51" s="88" t="s">
        <v>76</v>
      </c>
      <c r="O51" s="88" t="s">
        <v>76</v>
      </c>
      <c r="P51" s="88" t="s">
        <v>76</v>
      </c>
      <c r="Q51" s="88" t="s">
        <v>76</v>
      </c>
      <c r="R51" s="88" t="s">
        <v>76</v>
      </c>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2"/>
      <c r="AW51" s="12"/>
      <c r="AX51" s="12"/>
      <c r="AY51" s="12"/>
      <c r="AZ51" s="12"/>
      <c r="BA51" s="12"/>
      <c r="BB51" s="12"/>
      <c r="BC51" s="12"/>
      <c r="BD51" s="12"/>
      <c r="BE51" s="12"/>
      <c r="BF51" s="12"/>
    </row>
    <row r="52" ht="14.25" customHeight="1">
      <c r="A52" s="1"/>
      <c r="B52" s="85"/>
      <c r="C52" s="7" t="s">
        <v>100</v>
      </c>
      <c r="G52" s="12"/>
      <c r="H52" s="88" t="s">
        <v>76</v>
      </c>
      <c r="I52" s="88" t="s">
        <v>76</v>
      </c>
      <c r="J52" s="88" t="s">
        <v>76</v>
      </c>
      <c r="K52" s="88" t="s">
        <v>76</v>
      </c>
      <c r="L52" s="88" t="s">
        <v>76</v>
      </c>
      <c r="M52" s="88" t="s">
        <v>76</v>
      </c>
      <c r="N52" s="88" t="s">
        <v>76</v>
      </c>
      <c r="O52" s="88" t="s">
        <v>76</v>
      </c>
      <c r="P52" s="88" t="s">
        <v>76</v>
      </c>
      <c r="Q52" s="88" t="s">
        <v>76</v>
      </c>
      <c r="R52" s="88" t="s">
        <v>76</v>
      </c>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2"/>
      <c r="AW52" s="12"/>
      <c r="AX52" s="12"/>
      <c r="AY52" s="12"/>
      <c r="AZ52" s="12"/>
      <c r="BA52" s="12"/>
      <c r="BB52" s="12"/>
      <c r="BC52" s="12"/>
      <c r="BD52" s="12"/>
      <c r="BE52" s="12"/>
      <c r="BF52" s="12"/>
    </row>
    <row r="53" ht="14.25" customHeight="1">
      <c r="A53" s="1"/>
      <c r="B53" s="85"/>
      <c r="C53" s="7" t="s">
        <v>100</v>
      </c>
      <c r="G53" s="12"/>
      <c r="H53" s="88" t="s">
        <v>76</v>
      </c>
      <c r="I53" s="88" t="s">
        <v>76</v>
      </c>
      <c r="J53" s="88" t="s">
        <v>76</v>
      </c>
      <c r="K53" s="88" t="s">
        <v>76</v>
      </c>
      <c r="L53" s="88" t="s">
        <v>76</v>
      </c>
      <c r="M53" s="88" t="s">
        <v>76</v>
      </c>
      <c r="N53" s="88" t="s">
        <v>76</v>
      </c>
      <c r="O53" s="88" t="s">
        <v>76</v>
      </c>
      <c r="P53" s="88" t="s">
        <v>76</v>
      </c>
      <c r="Q53" s="88" t="s">
        <v>76</v>
      </c>
      <c r="R53" s="88" t="s">
        <v>76</v>
      </c>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2"/>
      <c r="AW53" s="12"/>
      <c r="AX53" s="12"/>
      <c r="AY53" s="12"/>
      <c r="AZ53" s="12"/>
      <c r="BA53" s="12"/>
      <c r="BB53" s="12"/>
      <c r="BC53" s="12"/>
      <c r="BD53" s="12"/>
      <c r="BE53" s="12"/>
      <c r="BF53" s="12"/>
    </row>
    <row r="54" ht="14.25" customHeight="1">
      <c r="A54" s="1"/>
      <c r="B54" s="85"/>
      <c r="C54" s="7" t="s">
        <v>100</v>
      </c>
      <c r="G54" s="12"/>
      <c r="H54" s="88" t="s">
        <v>76</v>
      </c>
      <c r="I54" s="88" t="s">
        <v>76</v>
      </c>
      <c r="J54" s="88" t="s">
        <v>76</v>
      </c>
      <c r="K54" s="88" t="s">
        <v>76</v>
      </c>
      <c r="L54" s="88" t="s">
        <v>76</v>
      </c>
      <c r="M54" s="88" t="s">
        <v>76</v>
      </c>
      <c r="N54" s="88" t="s">
        <v>76</v>
      </c>
      <c r="O54" s="88" t="s">
        <v>76</v>
      </c>
      <c r="P54" s="88" t="s">
        <v>76</v>
      </c>
      <c r="Q54" s="88" t="s">
        <v>76</v>
      </c>
      <c r="R54" s="88" t="s">
        <v>76</v>
      </c>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2"/>
      <c r="AW54" s="12"/>
      <c r="AX54" s="12"/>
      <c r="AY54" s="12"/>
      <c r="AZ54" s="12"/>
      <c r="BA54" s="12"/>
      <c r="BB54" s="12"/>
      <c r="BC54" s="12"/>
      <c r="BD54" s="12"/>
      <c r="BE54" s="12"/>
      <c r="BF54" s="12"/>
    </row>
    <row r="55" ht="14.25" customHeight="1">
      <c r="A55" s="1"/>
      <c r="B55" s="85"/>
      <c r="C55" s="7"/>
      <c r="D55" s="1"/>
      <c r="E55" s="1"/>
      <c r="F55" s="1"/>
      <c r="G55" s="12"/>
      <c r="H55" s="12"/>
      <c r="I55" s="12"/>
      <c r="J55" s="12"/>
      <c r="K55" s="12"/>
      <c r="L55" s="12"/>
      <c r="M55" s="12"/>
      <c r="N55" s="12"/>
      <c r="O55" s="12"/>
      <c r="P55" s="12"/>
      <c r="Q55" s="12"/>
      <c r="R55" s="12"/>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2"/>
      <c r="AW55" s="12"/>
      <c r="AX55" s="12"/>
      <c r="AY55" s="12"/>
      <c r="AZ55" s="12"/>
      <c r="BA55" s="12"/>
      <c r="BB55" s="12"/>
      <c r="BC55" s="12"/>
      <c r="BD55" s="12"/>
      <c r="BE55" s="12"/>
      <c r="BF55" s="12"/>
    </row>
    <row r="56" ht="14.25" customHeight="1">
      <c r="A56" s="1"/>
      <c r="B56" s="85"/>
      <c r="C56" s="12"/>
      <c r="D56" s="1"/>
      <c r="E56" s="1"/>
      <c r="F56" s="1"/>
      <c r="G56" s="12"/>
      <c r="H56" s="12"/>
      <c r="I56" s="12"/>
      <c r="J56" s="12"/>
      <c r="K56" s="12"/>
      <c r="L56" s="12"/>
      <c r="M56" s="12"/>
      <c r="N56" s="12"/>
      <c r="O56" s="12"/>
      <c r="P56" s="12"/>
      <c r="Q56" s="12"/>
      <c r="R56" s="12"/>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2"/>
      <c r="AW56" s="12"/>
      <c r="AX56" s="12"/>
      <c r="AY56" s="12"/>
      <c r="AZ56" s="12"/>
      <c r="BA56" s="12"/>
      <c r="BB56" s="12"/>
      <c r="BC56" s="12"/>
      <c r="BD56" s="12"/>
      <c r="BE56" s="12"/>
      <c r="BF56" s="12"/>
    </row>
    <row r="57" ht="14.25" customHeight="1">
      <c r="A57" s="1"/>
      <c r="B57" s="5" t="s">
        <v>101</v>
      </c>
      <c r="C57" s="7" t="s">
        <v>102</v>
      </c>
      <c r="D57" s="1"/>
      <c r="E57" s="1"/>
      <c r="F57" s="1"/>
      <c r="G57" s="12"/>
      <c r="H57" s="88" t="s">
        <v>76</v>
      </c>
      <c r="I57" s="88" t="s">
        <v>76</v>
      </c>
      <c r="J57" s="88" t="s">
        <v>76</v>
      </c>
      <c r="K57" s="88" t="s">
        <v>76</v>
      </c>
      <c r="L57" s="88" t="s">
        <v>76</v>
      </c>
      <c r="M57" s="88" t="s">
        <v>76</v>
      </c>
      <c r="N57" s="88" t="s">
        <v>76</v>
      </c>
      <c r="O57" s="88" t="s">
        <v>76</v>
      </c>
      <c r="P57" s="88" t="s">
        <v>76</v>
      </c>
      <c r="Q57" s="88" t="s">
        <v>76</v>
      </c>
      <c r="R57" s="88" t="s">
        <v>76</v>
      </c>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2"/>
      <c r="AW57" s="12"/>
      <c r="AX57" s="12"/>
      <c r="AY57" s="12"/>
      <c r="AZ57" s="12"/>
      <c r="BA57" s="12"/>
      <c r="BB57" s="12"/>
      <c r="BC57" s="12"/>
      <c r="BD57" s="12"/>
      <c r="BE57" s="12"/>
      <c r="BF57" s="12"/>
    </row>
    <row r="58" ht="14.25" customHeight="1">
      <c r="A58" s="1"/>
      <c r="B58" s="85"/>
      <c r="C58" s="1"/>
      <c r="D58" s="101" t="s">
        <v>103</v>
      </c>
      <c r="E58" s="101"/>
      <c r="F58" s="101"/>
      <c r="G58" s="12"/>
      <c r="H58" s="88" t="s">
        <v>76</v>
      </c>
      <c r="I58" s="88" t="s">
        <v>76</v>
      </c>
      <c r="J58" s="88" t="s">
        <v>76</v>
      </c>
      <c r="K58" s="88" t="s">
        <v>76</v>
      </c>
      <c r="L58" s="88" t="s">
        <v>76</v>
      </c>
      <c r="M58" s="88" t="s">
        <v>76</v>
      </c>
      <c r="N58" s="88" t="s">
        <v>76</v>
      </c>
      <c r="O58" s="88" t="s">
        <v>76</v>
      </c>
      <c r="P58" s="88" t="s">
        <v>76</v>
      </c>
      <c r="Q58" s="88" t="s">
        <v>76</v>
      </c>
      <c r="R58" s="88" t="s">
        <v>76</v>
      </c>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2"/>
      <c r="AW58" s="12"/>
      <c r="AX58" s="12"/>
      <c r="AY58" s="12"/>
      <c r="AZ58" s="12"/>
      <c r="BA58" s="12"/>
      <c r="BB58" s="12"/>
      <c r="BC58" s="12"/>
      <c r="BD58" s="12"/>
      <c r="BE58" s="12"/>
      <c r="BF58" s="12"/>
    </row>
    <row r="59" ht="14.25" customHeight="1">
      <c r="A59" s="1"/>
      <c r="B59" s="85"/>
      <c r="C59" s="1"/>
      <c r="D59" s="102" t="s">
        <v>104</v>
      </c>
      <c r="E59" s="26"/>
      <c r="F59" s="27"/>
      <c r="G59" s="12"/>
      <c r="H59" s="88" t="s">
        <v>76</v>
      </c>
      <c r="I59" s="88" t="s">
        <v>76</v>
      </c>
      <c r="J59" s="88" t="s">
        <v>76</v>
      </c>
      <c r="K59" s="88" t="s">
        <v>76</v>
      </c>
      <c r="L59" s="88" t="s">
        <v>76</v>
      </c>
      <c r="M59" s="88" t="s">
        <v>76</v>
      </c>
      <c r="N59" s="88" t="s">
        <v>76</v>
      </c>
      <c r="O59" s="88" t="s">
        <v>76</v>
      </c>
      <c r="P59" s="88" t="s">
        <v>76</v>
      </c>
      <c r="Q59" s="88" t="s">
        <v>76</v>
      </c>
      <c r="R59" s="88" t="s">
        <v>76</v>
      </c>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2"/>
      <c r="AW59" s="12"/>
      <c r="AX59" s="12"/>
      <c r="AY59" s="12"/>
      <c r="AZ59" s="12"/>
      <c r="BA59" s="12"/>
      <c r="BB59" s="12"/>
      <c r="BC59" s="12"/>
      <c r="BD59" s="12"/>
      <c r="BE59" s="12"/>
      <c r="BF59" s="12"/>
    </row>
    <row r="60" ht="14.25" customHeight="1">
      <c r="A60" s="1"/>
      <c r="B60" s="85"/>
      <c r="C60" s="1"/>
      <c r="D60" s="103" t="s">
        <v>105</v>
      </c>
      <c r="E60" s="26"/>
      <c r="F60" s="27"/>
      <c r="G60" s="12"/>
      <c r="H60" s="88" t="s">
        <v>76</v>
      </c>
      <c r="I60" s="88" t="s">
        <v>76</v>
      </c>
      <c r="J60" s="88" t="s">
        <v>76</v>
      </c>
      <c r="K60" s="88" t="s">
        <v>76</v>
      </c>
      <c r="L60" s="88" t="s">
        <v>76</v>
      </c>
      <c r="M60" s="88" t="s">
        <v>76</v>
      </c>
      <c r="N60" s="88" t="s">
        <v>76</v>
      </c>
      <c r="O60" s="88" t="s">
        <v>76</v>
      </c>
      <c r="P60" s="88" t="s">
        <v>76</v>
      </c>
      <c r="Q60" s="88" t="s">
        <v>76</v>
      </c>
      <c r="R60" s="88" t="s">
        <v>76</v>
      </c>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2"/>
      <c r="AW60" s="12"/>
      <c r="AX60" s="12"/>
      <c r="AY60" s="12"/>
      <c r="AZ60" s="12"/>
      <c r="BA60" s="12"/>
      <c r="BB60" s="12"/>
      <c r="BC60" s="12"/>
      <c r="BD60" s="12"/>
      <c r="BE60" s="12"/>
      <c r="BF60" s="12"/>
    </row>
    <row r="61" ht="14.25" customHeight="1">
      <c r="A61" s="1"/>
      <c r="B61" s="85"/>
      <c r="C61" s="1"/>
      <c r="D61" s="104" t="s">
        <v>106</v>
      </c>
      <c r="E61" s="26"/>
      <c r="F61" s="27"/>
      <c r="G61" s="12"/>
      <c r="H61" s="88" t="s">
        <v>76</v>
      </c>
      <c r="I61" s="88" t="s">
        <v>76</v>
      </c>
      <c r="J61" s="88" t="s">
        <v>76</v>
      </c>
      <c r="K61" s="88" t="s">
        <v>76</v>
      </c>
      <c r="L61" s="88" t="s">
        <v>76</v>
      </c>
      <c r="M61" s="88" t="s">
        <v>76</v>
      </c>
      <c r="N61" s="88" t="s">
        <v>76</v>
      </c>
      <c r="O61" s="88" t="s">
        <v>76</v>
      </c>
      <c r="P61" s="88" t="s">
        <v>76</v>
      </c>
      <c r="Q61" s="88" t="s">
        <v>76</v>
      </c>
      <c r="R61" s="88" t="s">
        <v>76</v>
      </c>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2"/>
      <c r="AW61" s="12"/>
      <c r="AX61" s="12"/>
      <c r="AY61" s="12"/>
      <c r="AZ61" s="12"/>
      <c r="BA61" s="12"/>
      <c r="BB61" s="12"/>
      <c r="BC61" s="12"/>
      <c r="BD61" s="12"/>
      <c r="BE61" s="12"/>
      <c r="BF61" s="12"/>
    </row>
    <row r="62" ht="14.25" customHeight="1">
      <c r="A62" s="1"/>
      <c r="B62" s="85"/>
      <c r="C62" s="12"/>
      <c r="D62" s="104" t="s">
        <v>107</v>
      </c>
      <c r="E62" s="26"/>
      <c r="F62" s="27"/>
      <c r="G62" s="12"/>
      <c r="H62" s="88" t="s">
        <v>76</v>
      </c>
      <c r="I62" s="88" t="s">
        <v>76</v>
      </c>
      <c r="J62" s="88" t="s">
        <v>76</v>
      </c>
      <c r="K62" s="88" t="s">
        <v>76</v>
      </c>
      <c r="L62" s="88" t="s">
        <v>76</v>
      </c>
      <c r="M62" s="88" t="s">
        <v>76</v>
      </c>
      <c r="N62" s="88" t="s">
        <v>76</v>
      </c>
      <c r="O62" s="88" t="s">
        <v>76</v>
      </c>
      <c r="P62" s="88" t="s">
        <v>76</v>
      </c>
      <c r="Q62" s="88" t="s">
        <v>76</v>
      </c>
      <c r="R62" s="88" t="s">
        <v>76</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2"/>
      <c r="AW62" s="12"/>
      <c r="AX62" s="12"/>
      <c r="AY62" s="12"/>
      <c r="AZ62" s="12"/>
      <c r="BA62" s="12"/>
      <c r="BB62" s="12"/>
      <c r="BC62" s="12"/>
      <c r="BD62" s="12"/>
      <c r="BE62" s="12"/>
      <c r="BF62" s="12"/>
    </row>
    <row r="63" ht="14.25" customHeight="1">
      <c r="A63" s="1"/>
      <c r="B63" s="85"/>
      <c r="C63" s="1"/>
      <c r="D63" s="104" t="s">
        <v>108</v>
      </c>
      <c r="E63" s="26"/>
      <c r="F63" s="27"/>
      <c r="G63" s="12"/>
      <c r="H63" s="88" t="s">
        <v>76</v>
      </c>
      <c r="I63" s="88" t="s">
        <v>76</v>
      </c>
      <c r="J63" s="88" t="s">
        <v>76</v>
      </c>
      <c r="K63" s="88" t="s">
        <v>76</v>
      </c>
      <c r="L63" s="88" t="s">
        <v>76</v>
      </c>
      <c r="M63" s="88" t="s">
        <v>76</v>
      </c>
      <c r="N63" s="88" t="s">
        <v>76</v>
      </c>
      <c r="O63" s="88" t="s">
        <v>76</v>
      </c>
      <c r="P63" s="88" t="s">
        <v>76</v>
      </c>
      <c r="Q63" s="88" t="s">
        <v>76</v>
      </c>
      <c r="R63" s="88" t="s">
        <v>76</v>
      </c>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2"/>
      <c r="AW63" s="12"/>
      <c r="AX63" s="12"/>
      <c r="AY63" s="12"/>
      <c r="AZ63" s="12"/>
      <c r="BA63" s="12"/>
      <c r="BB63" s="12"/>
      <c r="BC63" s="12"/>
      <c r="BD63" s="12"/>
      <c r="BE63" s="12"/>
      <c r="BF63" s="12"/>
    </row>
    <row r="64" ht="14.25" customHeight="1">
      <c r="A64" s="1"/>
      <c r="B64" s="85"/>
      <c r="C64" s="1"/>
      <c r="D64" s="104" t="s">
        <v>109</v>
      </c>
      <c r="E64" s="26"/>
      <c r="F64" s="27"/>
      <c r="G64" s="12"/>
      <c r="H64" s="88" t="s">
        <v>76</v>
      </c>
      <c r="I64" s="88" t="s">
        <v>76</v>
      </c>
      <c r="J64" s="88" t="s">
        <v>76</v>
      </c>
      <c r="K64" s="88" t="s">
        <v>76</v>
      </c>
      <c r="L64" s="88" t="s">
        <v>76</v>
      </c>
      <c r="M64" s="88" t="s">
        <v>76</v>
      </c>
      <c r="N64" s="88" t="s">
        <v>76</v>
      </c>
      <c r="O64" s="88" t="s">
        <v>76</v>
      </c>
      <c r="P64" s="88" t="s">
        <v>76</v>
      </c>
      <c r="Q64" s="88" t="s">
        <v>76</v>
      </c>
      <c r="R64" s="88" t="s">
        <v>76</v>
      </c>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2"/>
      <c r="AW64" s="12"/>
      <c r="AX64" s="12"/>
      <c r="AY64" s="12"/>
      <c r="AZ64" s="12"/>
      <c r="BA64" s="12"/>
      <c r="BB64" s="12"/>
      <c r="BC64" s="12"/>
      <c r="BD64" s="12"/>
      <c r="BE64" s="12"/>
      <c r="BF64" s="12"/>
    </row>
    <row r="65" ht="14.25" customHeight="1">
      <c r="A65" s="1"/>
      <c r="B65" s="85"/>
      <c r="C65" s="2"/>
      <c r="D65" s="104" t="s">
        <v>110</v>
      </c>
      <c r="E65" s="26"/>
      <c r="F65" s="27"/>
      <c r="G65" s="12"/>
      <c r="H65" s="88" t="s">
        <v>76</v>
      </c>
      <c r="I65" s="88" t="s">
        <v>76</v>
      </c>
      <c r="J65" s="88" t="s">
        <v>76</v>
      </c>
      <c r="K65" s="88" t="s">
        <v>76</v>
      </c>
      <c r="L65" s="88" t="s">
        <v>76</v>
      </c>
      <c r="M65" s="88" t="s">
        <v>76</v>
      </c>
      <c r="N65" s="88" t="s">
        <v>76</v>
      </c>
      <c r="O65" s="88" t="s">
        <v>76</v>
      </c>
      <c r="P65" s="88" t="s">
        <v>76</v>
      </c>
      <c r="Q65" s="88" t="s">
        <v>76</v>
      </c>
      <c r="R65" s="88" t="s">
        <v>76</v>
      </c>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2"/>
      <c r="AW65" s="12"/>
      <c r="AX65" s="12"/>
      <c r="AY65" s="12"/>
      <c r="AZ65" s="12"/>
      <c r="BA65" s="12"/>
      <c r="BB65" s="12"/>
      <c r="BC65" s="12"/>
      <c r="BD65" s="12"/>
      <c r="BE65" s="12"/>
      <c r="BF65" s="12"/>
    </row>
    <row r="66" ht="14.25" customHeight="1">
      <c r="A66" s="1"/>
      <c r="B66" s="90"/>
      <c r="C66" s="105"/>
      <c r="D66" s="104" t="s">
        <v>111</v>
      </c>
      <c r="E66" s="26"/>
      <c r="F66" s="27"/>
      <c r="G66" s="106"/>
      <c r="H66" s="88" t="s">
        <v>76</v>
      </c>
      <c r="I66" s="88" t="s">
        <v>76</v>
      </c>
      <c r="J66" s="88" t="s">
        <v>76</v>
      </c>
      <c r="K66" s="88" t="s">
        <v>76</v>
      </c>
      <c r="L66" s="88" t="s">
        <v>76</v>
      </c>
      <c r="M66" s="88" t="s">
        <v>76</v>
      </c>
      <c r="N66" s="88" t="s">
        <v>76</v>
      </c>
      <c r="O66" s="88" t="s">
        <v>76</v>
      </c>
      <c r="P66" s="88" t="s">
        <v>76</v>
      </c>
      <c r="Q66" s="88" t="s">
        <v>76</v>
      </c>
      <c r="R66" s="88" t="s">
        <v>76</v>
      </c>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2"/>
      <c r="AW66" s="12"/>
      <c r="AX66" s="12"/>
      <c r="AY66" s="12"/>
      <c r="AZ66" s="12"/>
      <c r="BA66" s="12"/>
      <c r="BB66" s="12"/>
      <c r="BC66" s="12"/>
      <c r="BD66" s="12"/>
      <c r="BE66" s="12"/>
      <c r="BF66" s="12"/>
    </row>
    <row r="67" ht="14.25" customHeight="1">
      <c r="A67" s="1"/>
      <c r="B67" s="107" t="s">
        <v>112</v>
      </c>
      <c r="C67" s="19"/>
      <c r="D67" s="108" t="s">
        <v>113</v>
      </c>
      <c r="E67" s="108"/>
      <c r="F67" s="108"/>
      <c r="G67" s="1"/>
      <c r="H67" s="88"/>
      <c r="I67" s="88"/>
      <c r="J67" s="88"/>
      <c r="K67" s="88"/>
      <c r="L67" s="88"/>
      <c r="M67" s="88"/>
      <c r="N67" s="88"/>
      <c r="O67" s="88"/>
      <c r="P67" s="88"/>
      <c r="Q67" s="88"/>
      <c r="R67" s="88"/>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2"/>
      <c r="AW67" s="12"/>
      <c r="AX67" s="12"/>
      <c r="AY67" s="12"/>
      <c r="AZ67" s="12"/>
      <c r="BA67" s="12"/>
      <c r="BB67" s="12"/>
      <c r="BC67" s="12"/>
      <c r="BD67" s="12"/>
      <c r="BE67" s="12"/>
      <c r="BF67" s="12"/>
    </row>
    <row r="68" ht="14.25" customHeight="1">
      <c r="A68" s="1"/>
      <c r="B68" s="1"/>
      <c r="C68" s="1"/>
      <c r="D68" s="109" t="s">
        <v>114</v>
      </c>
      <c r="E68" s="26"/>
      <c r="F68" s="27"/>
      <c r="G68" s="1"/>
      <c r="H68" s="88" t="s">
        <v>76</v>
      </c>
      <c r="I68" s="88" t="s">
        <v>76</v>
      </c>
      <c r="J68" s="88" t="s">
        <v>76</v>
      </c>
      <c r="K68" s="88" t="s">
        <v>76</v>
      </c>
      <c r="L68" s="88" t="s">
        <v>76</v>
      </c>
      <c r="M68" s="88" t="s">
        <v>76</v>
      </c>
      <c r="N68" s="88" t="s">
        <v>76</v>
      </c>
      <c r="O68" s="88" t="s">
        <v>76</v>
      </c>
      <c r="P68" s="88" t="s">
        <v>76</v>
      </c>
      <c r="Q68" s="88" t="s">
        <v>76</v>
      </c>
      <c r="R68" s="88" t="s">
        <v>76</v>
      </c>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2"/>
      <c r="AW68" s="12"/>
      <c r="AX68" s="12"/>
      <c r="AY68" s="12"/>
      <c r="AZ68" s="12"/>
      <c r="BA68" s="12"/>
      <c r="BB68" s="12"/>
      <c r="BC68" s="12"/>
      <c r="BD68" s="12"/>
      <c r="BE68" s="12"/>
      <c r="BF68" s="12"/>
    </row>
    <row r="69" ht="14.25" customHeight="1">
      <c r="A69" s="1"/>
      <c r="B69" s="1"/>
      <c r="C69" s="1"/>
      <c r="D69" s="109" t="s">
        <v>115</v>
      </c>
      <c r="E69" s="26"/>
      <c r="F69" s="27"/>
      <c r="G69" s="1"/>
      <c r="H69" s="88" t="s">
        <v>76</v>
      </c>
      <c r="I69" s="88" t="s">
        <v>76</v>
      </c>
      <c r="J69" s="88" t="s">
        <v>76</v>
      </c>
      <c r="K69" s="88" t="s">
        <v>76</v>
      </c>
      <c r="L69" s="88" t="s">
        <v>76</v>
      </c>
      <c r="M69" s="88" t="s">
        <v>76</v>
      </c>
      <c r="N69" s="88" t="s">
        <v>76</v>
      </c>
      <c r="O69" s="88" t="s">
        <v>76</v>
      </c>
      <c r="P69" s="88" t="s">
        <v>76</v>
      </c>
      <c r="Q69" s="88" t="s">
        <v>76</v>
      </c>
      <c r="R69" s="88" t="s">
        <v>76</v>
      </c>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2"/>
      <c r="AW69" s="12"/>
      <c r="AX69" s="12"/>
      <c r="AY69" s="12"/>
      <c r="AZ69" s="12"/>
      <c r="BA69" s="12"/>
      <c r="BB69" s="12"/>
      <c r="BC69" s="12"/>
      <c r="BD69" s="12"/>
      <c r="BE69" s="12"/>
      <c r="BF69" s="12"/>
    </row>
    <row r="70" ht="14.25" customHeight="1">
      <c r="A70" s="1"/>
      <c r="B70" s="1"/>
      <c r="C70" s="1"/>
      <c r="D70" s="109" t="s">
        <v>116</v>
      </c>
      <c r="E70" s="26"/>
      <c r="F70" s="27"/>
      <c r="G70" s="1"/>
      <c r="H70" s="88" t="s">
        <v>76</v>
      </c>
      <c r="I70" s="88" t="s">
        <v>76</v>
      </c>
      <c r="J70" s="88" t="s">
        <v>76</v>
      </c>
      <c r="K70" s="88" t="s">
        <v>76</v>
      </c>
      <c r="L70" s="88" t="s">
        <v>76</v>
      </c>
      <c r="M70" s="88" t="s">
        <v>76</v>
      </c>
      <c r="N70" s="88" t="s">
        <v>76</v>
      </c>
      <c r="O70" s="88" t="s">
        <v>76</v>
      </c>
      <c r="P70" s="88" t="s">
        <v>76</v>
      </c>
      <c r="Q70" s="88" t="s">
        <v>76</v>
      </c>
      <c r="R70" s="88" t="s">
        <v>76</v>
      </c>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row>
    <row r="71" ht="14.25" customHeight="1">
      <c r="A71" s="1"/>
      <c r="B71" s="1"/>
      <c r="C71" s="1"/>
      <c r="D71" s="109" t="s">
        <v>117</v>
      </c>
      <c r="E71" s="26"/>
      <c r="F71" s="27"/>
      <c r="G71" s="1"/>
      <c r="H71" s="88" t="s">
        <v>76</v>
      </c>
      <c r="I71" s="88" t="s">
        <v>76</v>
      </c>
      <c r="J71" s="88" t="s">
        <v>76</v>
      </c>
      <c r="K71" s="88" t="s">
        <v>76</v>
      </c>
      <c r="L71" s="88" t="s">
        <v>76</v>
      </c>
      <c r="M71" s="88" t="s">
        <v>76</v>
      </c>
      <c r="N71" s="88" t="s">
        <v>76</v>
      </c>
      <c r="O71" s="88" t="s">
        <v>76</v>
      </c>
      <c r="P71" s="88" t="s">
        <v>76</v>
      </c>
      <c r="Q71" s="88" t="s">
        <v>76</v>
      </c>
      <c r="R71" s="88" t="s">
        <v>76</v>
      </c>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2"/>
      <c r="AW71" s="12"/>
      <c r="AX71" s="12"/>
      <c r="AY71" s="12"/>
      <c r="AZ71" s="12"/>
      <c r="BA71" s="12"/>
      <c r="BB71" s="12"/>
      <c r="BC71" s="12"/>
      <c r="BD71" s="12"/>
      <c r="BE71" s="12"/>
      <c r="BF71" s="12"/>
    </row>
    <row r="72" ht="14.25" customHeight="1">
      <c r="A72" s="1"/>
      <c r="B72" s="1"/>
      <c r="C72" s="1"/>
      <c r="D72" s="109" t="s">
        <v>118</v>
      </c>
      <c r="E72" s="26"/>
      <c r="F72" s="27"/>
      <c r="G72" s="1"/>
      <c r="H72" s="88" t="s">
        <v>76</v>
      </c>
      <c r="I72" s="88" t="s">
        <v>76</v>
      </c>
      <c r="J72" s="88" t="s">
        <v>76</v>
      </c>
      <c r="K72" s="88" t="s">
        <v>76</v>
      </c>
      <c r="L72" s="88" t="s">
        <v>76</v>
      </c>
      <c r="M72" s="88" t="s">
        <v>76</v>
      </c>
      <c r="N72" s="88" t="s">
        <v>76</v>
      </c>
      <c r="O72" s="88" t="s">
        <v>76</v>
      </c>
      <c r="P72" s="88" t="s">
        <v>76</v>
      </c>
      <c r="Q72" s="88" t="s">
        <v>76</v>
      </c>
      <c r="R72" s="88" t="s">
        <v>76</v>
      </c>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2"/>
      <c r="AW72" s="12"/>
      <c r="AX72" s="12"/>
      <c r="AY72" s="12"/>
      <c r="AZ72" s="12"/>
      <c r="BA72" s="12"/>
      <c r="BB72" s="12"/>
      <c r="BC72" s="12"/>
      <c r="BD72" s="12"/>
      <c r="BE72" s="12"/>
      <c r="BF72" s="12"/>
    </row>
    <row r="73" ht="14.25" customHeight="1">
      <c r="A73" s="1"/>
      <c r="B73" s="1"/>
      <c r="C73" s="1"/>
      <c r="D73" s="109" t="s">
        <v>119</v>
      </c>
      <c r="E73" s="26"/>
      <c r="F73" s="27"/>
      <c r="G73" s="1"/>
      <c r="H73" s="88" t="s">
        <v>76</v>
      </c>
      <c r="I73" s="88" t="s">
        <v>76</v>
      </c>
      <c r="J73" s="88" t="s">
        <v>76</v>
      </c>
      <c r="K73" s="88" t="s">
        <v>76</v>
      </c>
      <c r="L73" s="88" t="s">
        <v>76</v>
      </c>
      <c r="M73" s="88" t="s">
        <v>76</v>
      </c>
      <c r="N73" s="88" t="s">
        <v>76</v>
      </c>
      <c r="O73" s="88" t="s">
        <v>76</v>
      </c>
      <c r="P73" s="88" t="s">
        <v>76</v>
      </c>
      <c r="Q73" s="88" t="s">
        <v>76</v>
      </c>
      <c r="R73" s="88" t="s">
        <v>76</v>
      </c>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2"/>
      <c r="AW73" s="12"/>
      <c r="AX73" s="12"/>
      <c r="AY73" s="12"/>
      <c r="AZ73" s="12"/>
      <c r="BA73" s="12"/>
      <c r="BB73" s="12"/>
      <c r="BC73" s="12"/>
      <c r="BD73" s="12"/>
      <c r="BE73" s="12"/>
      <c r="BF73" s="12"/>
    </row>
    <row r="74" ht="14.25" customHeight="1">
      <c r="A74" s="1"/>
      <c r="B74" s="107" t="s">
        <v>120</v>
      </c>
      <c r="C74" s="19"/>
      <c r="D74" s="109" t="s">
        <v>121</v>
      </c>
      <c r="E74" s="26"/>
      <c r="F74" s="27"/>
      <c r="G74" s="1"/>
      <c r="H74" s="88" t="s">
        <v>76</v>
      </c>
      <c r="I74" s="88" t="s">
        <v>76</v>
      </c>
      <c r="J74" s="88" t="s">
        <v>76</v>
      </c>
      <c r="K74" s="88" t="s">
        <v>76</v>
      </c>
      <c r="L74" s="88" t="s">
        <v>76</v>
      </c>
      <c r="M74" s="88" t="s">
        <v>76</v>
      </c>
      <c r="N74" s="88" t="s">
        <v>76</v>
      </c>
      <c r="O74" s="88" t="s">
        <v>76</v>
      </c>
      <c r="P74" s="88" t="s">
        <v>76</v>
      </c>
      <c r="Q74" s="88" t="s">
        <v>76</v>
      </c>
      <c r="R74" s="88" t="s">
        <v>76</v>
      </c>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2"/>
      <c r="AW74" s="12"/>
      <c r="AX74" s="12"/>
      <c r="AY74" s="12"/>
      <c r="AZ74" s="12"/>
      <c r="BA74" s="12"/>
      <c r="BB74" s="12"/>
      <c r="BC74" s="12"/>
      <c r="BD74" s="12"/>
      <c r="BE74" s="12"/>
      <c r="BF74" s="12"/>
    </row>
    <row r="75" ht="14.25" customHeight="1">
      <c r="A75" s="1"/>
      <c r="B75" s="1"/>
      <c r="C75" s="1"/>
      <c r="D75" s="109" t="s">
        <v>122</v>
      </c>
      <c r="E75" s="26"/>
      <c r="F75" s="27"/>
      <c r="G75" s="1"/>
      <c r="H75" s="88" t="s">
        <v>76</v>
      </c>
      <c r="I75" s="88" t="s">
        <v>76</v>
      </c>
      <c r="J75" s="88" t="s">
        <v>76</v>
      </c>
      <c r="K75" s="88" t="s">
        <v>76</v>
      </c>
      <c r="L75" s="88" t="s">
        <v>76</v>
      </c>
      <c r="M75" s="88" t="s">
        <v>76</v>
      </c>
      <c r="N75" s="88" t="s">
        <v>76</v>
      </c>
      <c r="O75" s="88" t="s">
        <v>76</v>
      </c>
      <c r="P75" s="88" t="s">
        <v>76</v>
      </c>
      <c r="Q75" s="88" t="s">
        <v>76</v>
      </c>
      <c r="R75" s="88" t="s">
        <v>76</v>
      </c>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2"/>
      <c r="AW75" s="12"/>
      <c r="AX75" s="12"/>
      <c r="AY75" s="12"/>
      <c r="AZ75" s="12"/>
      <c r="BA75" s="12"/>
      <c r="BB75" s="12"/>
      <c r="BC75" s="12"/>
      <c r="BD75" s="12"/>
      <c r="BE75" s="12"/>
      <c r="BF75" s="12"/>
    </row>
    <row r="76" ht="14.25" customHeight="1">
      <c r="A76" s="1"/>
      <c r="B76" s="1"/>
      <c r="C76" s="1"/>
      <c r="D76" s="109" t="s">
        <v>123</v>
      </c>
      <c r="E76" s="26"/>
      <c r="F76" s="27"/>
      <c r="G76" s="1"/>
      <c r="H76" s="88" t="s">
        <v>76</v>
      </c>
      <c r="I76" s="88" t="s">
        <v>76</v>
      </c>
      <c r="J76" s="88" t="s">
        <v>76</v>
      </c>
      <c r="K76" s="88" t="s">
        <v>76</v>
      </c>
      <c r="L76" s="88" t="s">
        <v>76</v>
      </c>
      <c r="M76" s="88" t="s">
        <v>76</v>
      </c>
      <c r="N76" s="88" t="s">
        <v>76</v>
      </c>
      <c r="O76" s="88" t="s">
        <v>76</v>
      </c>
      <c r="P76" s="88" t="s">
        <v>76</v>
      </c>
      <c r="Q76" s="88" t="s">
        <v>76</v>
      </c>
      <c r="R76" s="88" t="s">
        <v>76</v>
      </c>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2"/>
      <c r="AW76" s="12"/>
      <c r="AX76" s="12"/>
      <c r="AY76" s="12"/>
      <c r="AZ76" s="12"/>
      <c r="BA76" s="12"/>
      <c r="BB76" s="12"/>
      <c r="BC76" s="12"/>
      <c r="BD76" s="12"/>
      <c r="BE76" s="12"/>
      <c r="BF76" s="12"/>
    </row>
    <row r="77" ht="14.25" customHeight="1">
      <c r="A77" s="1"/>
      <c r="B77" s="1"/>
      <c r="C77" s="1"/>
      <c r="D77" s="109" t="s">
        <v>124</v>
      </c>
      <c r="E77" s="26"/>
      <c r="F77" s="27"/>
      <c r="G77" s="1"/>
      <c r="H77" s="88" t="s">
        <v>76</v>
      </c>
      <c r="I77" s="88" t="s">
        <v>76</v>
      </c>
      <c r="J77" s="88" t="s">
        <v>76</v>
      </c>
      <c r="K77" s="88" t="s">
        <v>76</v>
      </c>
      <c r="L77" s="88" t="s">
        <v>76</v>
      </c>
      <c r="M77" s="88" t="s">
        <v>76</v>
      </c>
      <c r="N77" s="88" t="s">
        <v>76</v>
      </c>
      <c r="O77" s="88" t="s">
        <v>76</v>
      </c>
      <c r="P77" s="88" t="s">
        <v>76</v>
      </c>
      <c r="Q77" s="88" t="s">
        <v>76</v>
      </c>
      <c r="R77" s="88" t="s">
        <v>76</v>
      </c>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2"/>
      <c r="AW77" s="12"/>
      <c r="AX77" s="12"/>
      <c r="AY77" s="12"/>
      <c r="AZ77" s="12"/>
      <c r="BA77" s="12"/>
      <c r="BB77" s="12"/>
      <c r="BC77" s="12"/>
      <c r="BD77" s="12"/>
      <c r="BE77" s="12"/>
      <c r="BF77" s="12"/>
    </row>
    <row r="78" ht="14.25" customHeight="1">
      <c r="A78" s="1"/>
      <c r="B78" s="7" t="s">
        <v>125</v>
      </c>
      <c r="C78" s="1"/>
      <c r="D78" s="109" t="s">
        <v>126</v>
      </c>
      <c r="E78" s="26"/>
      <c r="F78" s="27"/>
      <c r="G78" s="1"/>
      <c r="H78" s="88" t="s">
        <v>76</v>
      </c>
      <c r="I78" s="88" t="s">
        <v>76</v>
      </c>
      <c r="J78" s="88" t="s">
        <v>76</v>
      </c>
      <c r="K78" s="88" t="s">
        <v>76</v>
      </c>
      <c r="L78" s="88" t="s">
        <v>76</v>
      </c>
      <c r="M78" s="88" t="s">
        <v>76</v>
      </c>
      <c r="N78" s="88" t="s">
        <v>76</v>
      </c>
      <c r="O78" s="88" t="s">
        <v>76</v>
      </c>
      <c r="P78" s="88" t="s">
        <v>76</v>
      </c>
      <c r="Q78" s="88" t="s">
        <v>76</v>
      </c>
      <c r="R78" s="88" t="s">
        <v>76</v>
      </c>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2"/>
      <c r="AW78" s="12"/>
      <c r="AX78" s="12"/>
      <c r="AY78" s="12"/>
      <c r="AZ78" s="12"/>
      <c r="BA78" s="12"/>
      <c r="BB78" s="12"/>
      <c r="BC78" s="12"/>
      <c r="BD78" s="12"/>
      <c r="BE78" s="12"/>
      <c r="BF78" s="12"/>
    </row>
    <row r="79" ht="14.25" customHeight="1">
      <c r="A79" s="1"/>
      <c r="B79" s="1"/>
      <c r="C79" s="1"/>
      <c r="D79" s="110" t="s">
        <v>127</v>
      </c>
      <c r="E79" s="111"/>
      <c r="F79" s="112"/>
      <c r="G79" s="1"/>
      <c r="H79" s="88"/>
      <c r="I79" s="88"/>
      <c r="J79" s="88"/>
      <c r="K79" s="88"/>
      <c r="L79" s="88"/>
      <c r="M79" s="88"/>
      <c r="N79" s="88"/>
      <c r="O79" s="88"/>
      <c r="P79" s="88"/>
      <c r="Q79" s="88"/>
      <c r="R79" s="88"/>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2"/>
      <c r="AW79" s="12"/>
      <c r="AX79" s="12"/>
      <c r="AY79" s="12"/>
      <c r="AZ79" s="12"/>
      <c r="BA79" s="12"/>
      <c r="BB79" s="12"/>
      <c r="BC79" s="12"/>
      <c r="BD79" s="12"/>
      <c r="BE79" s="12"/>
      <c r="BF79" s="12"/>
    </row>
    <row r="80" ht="14.25" customHeight="1">
      <c r="A80" s="1"/>
      <c r="B80" s="107" t="s">
        <v>128</v>
      </c>
      <c r="C80" s="19"/>
      <c r="D80" s="111" t="s">
        <v>129</v>
      </c>
      <c r="E80" s="111"/>
      <c r="F80" s="112"/>
      <c r="G80" s="1"/>
      <c r="H80" s="88" t="s">
        <v>76</v>
      </c>
      <c r="I80" s="88" t="s">
        <v>76</v>
      </c>
      <c r="J80" s="88" t="s">
        <v>76</v>
      </c>
      <c r="K80" s="88" t="s">
        <v>76</v>
      </c>
      <c r="L80" s="88" t="s">
        <v>76</v>
      </c>
      <c r="M80" s="88" t="s">
        <v>76</v>
      </c>
      <c r="N80" s="88" t="s">
        <v>76</v>
      </c>
      <c r="O80" s="88" t="s">
        <v>76</v>
      </c>
      <c r="P80" s="88" t="s">
        <v>76</v>
      </c>
      <c r="Q80" s="88" t="s">
        <v>76</v>
      </c>
      <c r="R80" s="88" t="s">
        <v>76</v>
      </c>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2"/>
      <c r="AW80" s="12"/>
      <c r="AX80" s="12"/>
      <c r="AY80" s="12"/>
      <c r="AZ80" s="12"/>
      <c r="BA80" s="12"/>
      <c r="BB80" s="12"/>
      <c r="BC80" s="12"/>
      <c r="BD80" s="12"/>
      <c r="BE80" s="12"/>
      <c r="BF80" s="12"/>
    </row>
    <row r="81" ht="14.25" customHeight="1">
      <c r="A81" s="1"/>
      <c r="B81" s="1"/>
      <c r="C81" s="7" t="s">
        <v>130</v>
      </c>
      <c r="D81" s="111" t="s">
        <v>131</v>
      </c>
      <c r="E81" s="111"/>
      <c r="F81" s="112"/>
      <c r="G81" s="1"/>
      <c r="H81" s="88" t="s">
        <v>76</v>
      </c>
      <c r="I81" s="88" t="s">
        <v>76</v>
      </c>
      <c r="J81" s="88" t="s">
        <v>76</v>
      </c>
      <c r="K81" s="88" t="s">
        <v>76</v>
      </c>
      <c r="L81" s="88" t="s">
        <v>76</v>
      </c>
      <c r="M81" s="88" t="s">
        <v>76</v>
      </c>
      <c r="N81" s="88" t="s">
        <v>76</v>
      </c>
      <c r="O81" s="88" t="s">
        <v>76</v>
      </c>
      <c r="P81" s="88" t="s">
        <v>76</v>
      </c>
      <c r="Q81" s="88" t="s">
        <v>76</v>
      </c>
      <c r="R81" s="88" t="s">
        <v>76</v>
      </c>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2"/>
      <c r="AW81" s="12"/>
      <c r="AX81" s="12"/>
      <c r="AY81" s="12"/>
      <c r="AZ81" s="12"/>
      <c r="BA81" s="12"/>
      <c r="BB81" s="12"/>
      <c r="BC81" s="12"/>
      <c r="BD81" s="12"/>
      <c r="BE81" s="12"/>
      <c r="BF81" s="12"/>
    </row>
    <row r="82" ht="14.25" customHeight="1">
      <c r="A82" s="1"/>
      <c r="B82" s="1"/>
      <c r="C82" s="1"/>
      <c r="D82" s="111" t="s">
        <v>132</v>
      </c>
      <c r="E82" s="111"/>
      <c r="F82" s="112"/>
      <c r="G82" s="1"/>
      <c r="H82" s="88" t="s">
        <v>76</v>
      </c>
      <c r="I82" s="88" t="s">
        <v>76</v>
      </c>
      <c r="J82" s="88" t="s">
        <v>76</v>
      </c>
      <c r="K82" s="88" t="s">
        <v>76</v>
      </c>
      <c r="L82" s="88" t="s">
        <v>76</v>
      </c>
      <c r="M82" s="88" t="s">
        <v>76</v>
      </c>
      <c r="N82" s="88" t="s">
        <v>76</v>
      </c>
      <c r="O82" s="88" t="s">
        <v>76</v>
      </c>
      <c r="P82" s="88" t="s">
        <v>76</v>
      </c>
      <c r="Q82" s="88" t="s">
        <v>76</v>
      </c>
      <c r="R82" s="88" t="s">
        <v>76</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2"/>
      <c r="AW82" s="12"/>
      <c r="AX82" s="12"/>
      <c r="AY82" s="12"/>
      <c r="AZ82" s="12"/>
      <c r="BA82" s="12"/>
      <c r="BB82" s="12"/>
      <c r="BC82" s="12"/>
      <c r="BD82" s="12"/>
      <c r="BE82" s="12"/>
      <c r="BF82" s="12"/>
    </row>
    <row r="83" ht="14.25" customHeight="1">
      <c r="A83" s="1"/>
      <c r="B83" s="1"/>
      <c r="C83" s="7" t="s">
        <v>130</v>
      </c>
      <c r="D83" s="113" t="s">
        <v>133</v>
      </c>
      <c r="E83" s="113"/>
      <c r="F83" s="112"/>
      <c r="G83" s="1"/>
      <c r="H83" s="88" t="s">
        <v>76</v>
      </c>
      <c r="I83" s="88" t="s">
        <v>76</v>
      </c>
      <c r="J83" s="88" t="s">
        <v>76</v>
      </c>
      <c r="K83" s="88" t="s">
        <v>76</v>
      </c>
      <c r="L83" s="88" t="s">
        <v>76</v>
      </c>
      <c r="M83" s="88" t="s">
        <v>76</v>
      </c>
      <c r="N83" s="88" t="s">
        <v>76</v>
      </c>
      <c r="O83" s="88" t="s">
        <v>76</v>
      </c>
      <c r="P83" s="88" t="s">
        <v>76</v>
      </c>
      <c r="Q83" s="88" t="s">
        <v>76</v>
      </c>
      <c r="R83" s="88" t="s">
        <v>76</v>
      </c>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2"/>
      <c r="AW83" s="12"/>
      <c r="AX83" s="12"/>
      <c r="AY83" s="12"/>
      <c r="AZ83" s="12"/>
      <c r="BA83" s="12"/>
      <c r="BB83" s="12"/>
      <c r="BC83" s="12"/>
      <c r="BD83" s="12"/>
      <c r="BE83" s="12"/>
      <c r="BF83" s="12"/>
    </row>
    <row r="84" ht="14.25" customHeight="1">
      <c r="A84" s="1"/>
      <c r="B84" s="7" t="s">
        <v>134</v>
      </c>
      <c r="C84" s="1"/>
      <c r="D84" s="112"/>
      <c r="E84" s="112"/>
      <c r="F84" s="112"/>
      <c r="G84" s="1"/>
      <c r="H84" s="88" t="s">
        <v>76</v>
      </c>
      <c r="I84" s="88" t="s">
        <v>76</v>
      </c>
      <c r="J84" s="88" t="s">
        <v>76</v>
      </c>
      <c r="K84" s="88" t="s">
        <v>76</v>
      </c>
      <c r="L84" s="88" t="s">
        <v>76</v>
      </c>
      <c r="M84" s="88" t="s">
        <v>76</v>
      </c>
      <c r="N84" s="88" t="s">
        <v>76</v>
      </c>
      <c r="O84" s="88" t="s">
        <v>76</v>
      </c>
      <c r="P84" s="88" t="s">
        <v>76</v>
      </c>
      <c r="Q84" s="88" t="s">
        <v>76</v>
      </c>
      <c r="R84" s="88" t="s">
        <v>76</v>
      </c>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2"/>
      <c r="AW84" s="12"/>
      <c r="AX84" s="12"/>
      <c r="AY84" s="12"/>
      <c r="AZ84" s="12"/>
      <c r="BA84" s="12"/>
      <c r="BB84" s="12"/>
      <c r="BC84" s="12"/>
      <c r="BD84" s="12"/>
      <c r="BE84" s="12"/>
      <c r="BF84" s="12"/>
    </row>
    <row r="85" ht="14.25" customHeight="1">
      <c r="A85" s="1"/>
      <c r="C85" s="1"/>
      <c r="D85" s="114" t="s">
        <v>135</v>
      </c>
      <c r="E85" s="27"/>
      <c r="F85" s="112"/>
      <c r="G85" s="1"/>
      <c r="H85" s="88" t="s">
        <v>76</v>
      </c>
      <c r="I85" s="88" t="s">
        <v>76</v>
      </c>
      <c r="J85" s="88" t="s">
        <v>76</v>
      </c>
      <c r="K85" s="88" t="s">
        <v>76</v>
      </c>
      <c r="L85" s="88" t="s">
        <v>76</v>
      </c>
      <c r="M85" s="88" t="s">
        <v>76</v>
      </c>
      <c r="N85" s="88" t="s">
        <v>76</v>
      </c>
      <c r="O85" s="88" t="s">
        <v>76</v>
      </c>
      <c r="P85" s="88" t="s">
        <v>76</v>
      </c>
      <c r="Q85" s="88" t="s">
        <v>76</v>
      </c>
      <c r="R85" s="88" t="s">
        <v>76</v>
      </c>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2"/>
      <c r="AW85" s="12"/>
      <c r="AX85" s="12"/>
      <c r="AY85" s="12"/>
      <c r="AZ85" s="12"/>
      <c r="BA85" s="12"/>
      <c r="BB85" s="12"/>
      <c r="BC85" s="12"/>
      <c r="BD85" s="12"/>
      <c r="BE85" s="12"/>
      <c r="BF85" s="12"/>
    </row>
    <row r="86" ht="14.25" customHeight="1">
      <c r="A86" s="1"/>
      <c r="B86" s="1"/>
      <c r="C86" s="1"/>
      <c r="F86" s="112"/>
      <c r="G86" s="1"/>
      <c r="H86" s="88" t="s">
        <v>76</v>
      </c>
      <c r="I86" s="88" t="s">
        <v>76</v>
      </c>
      <c r="J86" s="88" t="s">
        <v>76</v>
      </c>
      <c r="K86" s="88" t="s">
        <v>76</v>
      </c>
      <c r="L86" s="88" t="s">
        <v>76</v>
      </c>
      <c r="M86" s="88" t="s">
        <v>76</v>
      </c>
      <c r="N86" s="88" t="s">
        <v>76</v>
      </c>
      <c r="O86" s="88" t="s">
        <v>76</v>
      </c>
      <c r="P86" s="88" t="s">
        <v>76</v>
      </c>
      <c r="Q86" s="88" t="s">
        <v>76</v>
      </c>
      <c r="R86" s="88" t="s">
        <v>76</v>
      </c>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2"/>
      <c r="AW86" s="12"/>
      <c r="AX86" s="12"/>
      <c r="AY86" s="12"/>
      <c r="AZ86" s="12"/>
      <c r="BA86" s="12"/>
      <c r="BB86" s="12"/>
      <c r="BC86" s="12"/>
      <c r="BD86" s="12"/>
      <c r="BE86" s="12"/>
      <c r="BF86" s="12"/>
    </row>
    <row r="87" ht="14.25" customHeight="1">
      <c r="A87" s="1"/>
      <c r="B87" s="1"/>
      <c r="C87" s="1"/>
      <c r="D87" s="115" t="s">
        <v>136</v>
      </c>
      <c r="E87" s="26"/>
      <c r="F87" s="26"/>
      <c r="G87" s="27"/>
      <c r="H87" s="1"/>
      <c r="I87" s="1"/>
      <c r="J87" s="1"/>
      <c r="K87" s="1"/>
      <c r="L87" s="1"/>
      <c r="M87" s="1"/>
      <c r="N87" s="1"/>
      <c r="O87" s="1"/>
      <c r="P87" s="45"/>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16"/>
      <c r="AW87" s="116"/>
      <c r="AX87" s="116"/>
      <c r="AY87" s="116"/>
      <c r="AZ87" s="116"/>
      <c r="BA87" s="116"/>
      <c r="BB87" s="116"/>
      <c r="BC87" s="116"/>
      <c r="BD87" s="116"/>
      <c r="BE87" s="116"/>
      <c r="BF87" s="116"/>
    </row>
    <row r="88" ht="14.25" customHeight="1">
      <c r="A88" s="1"/>
      <c r="B88" s="1"/>
      <c r="C88" s="1"/>
      <c r="D88" s="117" t="s">
        <v>137</v>
      </c>
      <c r="E88" s="22"/>
      <c r="F88" s="22"/>
      <c r="G88" s="22"/>
      <c r="H88" s="1"/>
      <c r="I88" s="1"/>
      <c r="J88" s="1"/>
      <c r="K88" s="1"/>
      <c r="L88" s="1"/>
      <c r="M88" s="1"/>
      <c r="N88" s="1"/>
      <c r="O88" s="1"/>
      <c r="P88" s="45"/>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16"/>
      <c r="AW88" s="116"/>
      <c r="AX88" s="116"/>
      <c r="AY88" s="116"/>
      <c r="AZ88" s="116"/>
      <c r="BA88" s="116"/>
      <c r="BB88" s="116"/>
      <c r="BC88" s="116"/>
      <c r="BD88" s="116"/>
      <c r="BE88" s="116"/>
      <c r="BF88" s="116"/>
    </row>
    <row r="89" ht="14.25" customHeight="1">
      <c r="A89" s="1"/>
      <c r="B89" s="90"/>
      <c r="C89" s="105"/>
      <c r="D89" s="117" t="s">
        <v>138</v>
      </c>
      <c r="E89" s="22"/>
      <c r="F89" s="22"/>
      <c r="G89" s="22"/>
      <c r="H89" s="106"/>
      <c r="I89" s="106"/>
      <c r="J89" s="106"/>
      <c r="K89" s="106"/>
      <c r="L89" s="106"/>
      <c r="M89" s="106"/>
      <c r="N89" s="106"/>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2"/>
      <c r="AW89" s="12"/>
      <c r="AX89" s="12"/>
      <c r="AY89" s="12"/>
      <c r="AZ89" s="12"/>
      <c r="BA89" s="12"/>
      <c r="BB89" s="12"/>
      <c r="BC89" s="12"/>
      <c r="BD89" s="12"/>
      <c r="BE89" s="12"/>
      <c r="BF89" s="12"/>
    </row>
    <row r="90" ht="14.25" customHeight="1">
      <c r="A90" s="1"/>
      <c r="B90" s="7" t="s">
        <v>139</v>
      </c>
      <c r="C90" s="1"/>
      <c r="D90" s="118" t="s">
        <v>140</v>
      </c>
      <c r="E90" s="26"/>
      <c r="F90" s="26"/>
      <c r="G90" s="27"/>
      <c r="H90" s="119" t="s">
        <v>141</v>
      </c>
      <c r="I90" s="120" t="str">
        <f>HYPERLINK("https://docs.google.com/spreadsheets/d/1pQxQ2d-9Pb1zkECw8E6m0nCkibpbodIj-6-HI0Jtfqw/edit#gid=1035024271","https://docs.google.com/spreadsheets/d/1pQxQ2d-9Pb1zkECw8E6m0nCkibpbodIj-6-HI0Jtfqw/edit#gid=1035024271")</f>
        <v>https://docs.google.com/spreadsheets/d/1pQxQ2d-9Pb1zkECw8E6m0nCkibpbodIj-6-HI0Jtfqw/edit#gid=1035024271</v>
      </c>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row>
    <row r="91" ht="14.25" customHeight="1">
      <c r="A91" s="1"/>
      <c r="B91" s="2"/>
      <c r="C91" s="1"/>
      <c r="D91" s="121" t="s">
        <v>142</v>
      </c>
      <c r="E91" s="26"/>
      <c r="F91" s="26"/>
      <c r="G91" s="27"/>
      <c r="H91" s="12"/>
      <c r="I91" s="12"/>
      <c r="J91" s="12"/>
      <c r="K91" s="12"/>
      <c r="L91" s="12"/>
      <c r="M91" s="12"/>
      <c r="N91" s="12"/>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row>
    <row r="92" ht="14.25" customHeight="1">
      <c r="A92" s="1"/>
      <c r="B92" s="2"/>
      <c r="C92" s="1"/>
      <c r="D92" s="122" t="s">
        <v>143</v>
      </c>
      <c r="E92" s="27"/>
      <c r="H92" s="1"/>
      <c r="I92" s="1"/>
      <c r="J92" s="1"/>
      <c r="K92" s="1"/>
      <c r="L92" s="1"/>
      <c r="M92" s="1"/>
      <c r="N92" s="1"/>
      <c r="O92" s="1"/>
      <c r="P92" s="1"/>
      <c r="Q92" s="1"/>
      <c r="R92" s="1"/>
      <c r="S92" s="1"/>
      <c r="T92" s="1"/>
      <c r="U92" s="1"/>
      <c r="V92" s="1"/>
      <c r="W92" s="1"/>
      <c r="X92" s="1"/>
      <c r="Y92" s="1"/>
      <c r="Z92" s="1"/>
      <c r="AA92" s="1"/>
      <c r="AB92" s="12"/>
      <c r="AC92" s="1"/>
      <c r="AD92" s="1"/>
      <c r="AE92" s="1"/>
      <c r="AF92" s="1"/>
      <c r="AG92" s="1"/>
      <c r="AH92" s="1"/>
      <c r="AI92" s="1"/>
      <c r="AJ92" s="1"/>
      <c r="AK92" s="1"/>
      <c r="AL92" s="1"/>
      <c r="AM92" s="1"/>
      <c r="AN92" s="1"/>
      <c r="AO92" s="1"/>
      <c r="AP92" s="1"/>
      <c r="AQ92" s="1"/>
      <c r="AR92" s="1"/>
      <c r="AS92" s="1"/>
      <c r="AT92" s="1"/>
      <c r="AU92" s="1"/>
      <c r="AV92" s="12"/>
      <c r="AW92" s="12"/>
      <c r="AX92" s="12"/>
      <c r="AY92" s="12"/>
      <c r="AZ92" s="12"/>
      <c r="BA92" s="12"/>
      <c r="BB92" s="12"/>
      <c r="BC92" s="12"/>
      <c r="BD92" s="12"/>
      <c r="BE92" s="12"/>
      <c r="BF92" s="12"/>
    </row>
    <row r="93" ht="14.25" customHeight="1">
      <c r="A93" s="1"/>
      <c r="G93" s="1"/>
      <c r="H93" s="1"/>
      <c r="I93" s="1"/>
      <c r="J93" s="1"/>
      <c r="K93" s="1"/>
      <c r="L93" s="1"/>
      <c r="M93" s="1"/>
      <c r="N93" s="1"/>
      <c r="O93" s="1"/>
      <c r="P93" s="1"/>
      <c r="Q93" s="1"/>
      <c r="R93" s="1"/>
      <c r="S93" s="1"/>
      <c r="T93" s="1"/>
      <c r="U93" s="1"/>
      <c r="V93" s="1"/>
      <c r="W93" s="1"/>
      <c r="X93" s="1"/>
      <c r="Y93" s="1"/>
      <c r="Z93" s="1"/>
      <c r="AA93" s="1"/>
      <c r="AB93" s="12"/>
      <c r="AC93" s="1"/>
      <c r="AD93" s="1"/>
      <c r="AE93" s="1"/>
      <c r="AF93" s="1"/>
      <c r="AG93" s="1"/>
      <c r="AH93" s="1"/>
      <c r="AI93" s="1"/>
      <c r="AJ93" s="1"/>
      <c r="AK93" s="1"/>
      <c r="AL93" s="1"/>
      <c r="AM93" s="1"/>
      <c r="AN93" s="1"/>
      <c r="AO93" s="1"/>
      <c r="AP93" s="1"/>
      <c r="AQ93" s="1"/>
      <c r="AR93" s="1"/>
      <c r="AS93" s="1"/>
      <c r="AT93" s="1"/>
      <c r="AU93" s="1"/>
      <c r="AV93" s="12"/>
      <c r="AW93" s="12"/>
      <c r="AX93" s="12"/>
      <c r="AY93" s="12"/>
      <c r="AZ93" s="12"/>
      <c r="BA93" s="12"/>
      <c r="BB93" s="12"/>
      <c r="BC93" s="12"/>
      <c r="BD93" s="12"/>
      <c r="BE93" s="12"/>
      <c r="BF93" s="12"/>
    </row>
    <row r="94" ht="14.25" customHeight="1">
      <c r="A94" s="1"/>
      <c r="B94" s="2"/>
      <c r="C94" s="91"/>
      <c r="D94" s="1"/>
      <c r="E94" s="1"/>
      <c r="F94" s="1"/>
      <c r="G94" s="1"/>
      <c r="H94" s="1"/>
      <c r="I94" s="1"/>
      <c r="J94" s="1"/>
      <c r="K94" s="1"/>
      <c r="L94" s="1"/>
      <c r="M94" s="1"/>
      <c r="N94" s="1"/>
      <c r="O94" s="1"/>
      <c r="P94" s="1"/>
      <c r="Q94" s="1"/>
      <c r="R94" s="1"/>
      <c r="S94" s="1"/>
      <c r="T94" s="1"/>
      <c r="U94" s="1"/>
      <c r="V94" s="1"/>
      <c r="W94" s="1"/>
      <c r="X94" s="1"/>
      <c r="Y94" s="1"/>
      <c r="Z94" s="1"/>
      <c r="AA94" s="1"/>
      <c r="AB94" s="12"/>
      <c r="AC94" s="1"/>
      <c r="AD94" s="1"/>
      <c r="AE94" s="1"/>
      <c r="AF94" s="1"/>
      <c r="AG94" s="1"/>
      <c r="AH94" s="1"/>
      <c r="AI94" s="1"/>
      <c r="AJ94" s="1"/>
      <c r="AK94" s="1"/>
      <c r="AL94" s="1"/>
      <c r="AM94" s="1"/>
      <c r="AN94" s="1"/>
      <c r="AO94" s="1"/>
      <c r="AP94" s="1"/>
      <c r="AQ94" s="1"/>
      <c r="AR94" s="1"/>
      <c r="AS94" s="1"/>
      <c r="AT94" s="1"/>
      <c r="AU94" s="1"/>
      <c r="AV94" s="12"/>
      <c r="AW94" s="12"/>
      <c r="AX94" s="12"/>
      <c r="AY94" s="12"/>
      <c r="AZ94" s="12"/>
      <c r="BA94" s="12"/>
      <c r="BB94" s="12"/>
      <c r="BC94" s="12"/>
      <c r="BD94" s="12"/>
      <c r="BE94" s="12"/>
      <c r="BF94" s="12"/>
    </row>
    <row r="95" ht="14.25" customHeight="1">
      <c r="A95" s="1"/>
      <c r="B95" s="2"/>
      <c r="C95" s="123" t="s">
        <v>144</v>
      </c>
      <c r="D95" s="1"/>
      <c r="E95" s="1"/>
      <c r="F95" s="1"/>
      <c r="G95" s="1"/>
      <c r="H95" s="1"/>
      <c r="I95" s="124"/>
      <c r="J95" s="1"/>
      <c r="K95" s="1"/>
      <c r="L95" s="1"/>
      <c r="M95" s="1"/>
      <c r="N95" s="1"/>
      <c r="O95" s="1"/>
      <c r="P95" s="1"/>
      <c r="Q95" s="1"/>
      <c r="R95" s="1"/>
      <c r="S95" s="1"/>
      <c r="T95" s="1"/>
      <c r="U95" s="1"/>
      <c r="V95" s="1"/>
      <c r="W95" s="1"/>
      <c r="X95" s="1"/>
      <c r="Y95" s="1"/>
      <c r="Z95" s="1"/>
      <c r="AA95" s="1"/>
      <c r="AB95" s="12"/>
      <c r="AC95" s="1"/>
      <c r="AD95" s="1"/>
      <c r="AE95" s="1"/>
      <c r="AF95" s="1"/>
      <c r="AG95" s="1"/>
      <c r="AH95" s="1"/>
      <c r="AI95" s="1"/>
      <c r="AJ95" s="1"/>
      <c r="AK95" s="1"/>
      <c r="AL95" s="1"/>
      <c r="AM95" s="1"/>
      <c r="AN95" s="1"/>
      <c r="AO95" s="1"/>
      <c r="AP95" s="1"/>
      <c r="AQ95" s="1"/>
      <c r="AR95" s="1"/>
      <c r="AS95" s="1"/>
      <c r="AT95" s="1"/>
      <c r="AU95" s="1"/>
      <c r="AV95" s="12"/>
      <c r="AW95" s="12"/>
      <c r="AX95" s="12"/>
      <c r="AY95" s="12"/>
      <c r="AZ95" s="12"/>
      <c r="BA95" s="12"/>
      <c r="BB95" s="12"/>
      <c r="BC95" s="12"/>
      <c r="BD95" s="12"/>
      <c r="BE95" s="12"/>
      <c r="BF95" s="12"/>
    </row>
    <row r="96" ht="14.25" customHeight="1">
      <c r="A96" s="1"/>
      <c r="B96" s="2"/>
      <c r="C96" s="125"/>
      <c r="D96" s="126"/>
      <c r="E96" s="126"/>
      <c r="F96" s="126"/>
      <c r="G96" s="126"/>
      <c r="H96" s="126"/>
      <c r="I96" s="127"/>
      <c r="J96" s="1"/>
      <c r="K96" s="1"/>
      <c r="L96" s="1"/>
      <c r="M96" s="1"/>
      <c r="N96" s="1"/>
      <c r="O96" s="1"/>
      <c r="P96" s="1"/>
      <c r="Q96" s="1"/>
      <c r="R96" s="1"/>
      <c r="S96" s="1"/>
      <c r="T96" s="1"/>
      <c r="U96" s="1"/>
      <c r="V96" s="1"/>
      <c r="W96" s="1"/>
      <c r="X96" s="1"/>
      <c r="Y96" s="1"/>
      <c r="Z96" s="1"/>
      <c r="AA96" s="1"/>
      <c r="AB96" s="12"/>
      <c r="AC96" s="1"/>
      <c r="AD96" s="1"/>
      <c r="AE96" s="1"/>
      <c r="AF96" s="1"/>
      <c r="AG96" s="1"/>
      <c r="AH96" s="1"/>
      <c r="AI96" s="1"/>
      <c r="AJ96" s="1"/>
      <c r="AK96" s="1"/>
      <c r="AL96" s="1"/>
      <c r="AM96" s="1"/>
      <c r="AN96" s="1"/>
      <c r="AO96" s="1"/>
      <c r="AP96" s="1"/>
      <c r="AQ96" s="1"/>
      <c r="AR96" s="1"/>
      <c r="AS96" s="1"/>
      <c r="AT96" s="1"/>
      <c r="AU96" s="1"/>
      <c r="AV96" s="12"/>
      <c r="AW96" s="12"/>
      <c r="AX96" s="12"/>
      <c r="AY96" s="12"/>
      <c r="AZ96" s="12"/>
      <c r="BA96" s="12"/>
      <c r="BB96" s="12"/>
      <c r="BC96" s="12"/>
      <c r="BD96" s="12"/>
      <c r="BE96" s="12"/>
      <c r="BF96" s="12"/>
    </row>
    <row r="97" ht="14.25" customHeight="1">
      <c r="A97" s="1"/>
      <c r="B97" s="2"/>
      <c r="C97" s="128"/>
      <c r="D97" s="129"/>
      <c r="E97" s="129"/>
      <c r="F97" s="129"/>
      <c r="G97" s="129"/>
      <c r="H97" s="129"/>
      <c r="I97" s="130"/>
      <c r="J97" s="1"/>
      <c r="K97" s="1"/>
      <c r="L97" s="1"/>
      <c r="M97" s="1"/>
      <c r="N97" s="1"/>
      <c r="O97" s="1"/>
      <c r="P97" s="1"/>
      <c r="Q97" s="1"/>
      <c r="R97" s="1"/>
      <c r="S97" s="1"/>
      <c r="T97" s="1"/>
      <c r="U97" s="1"/>
      <c r="V97" s="1"/>
      <c r="W97" s="1"/>
      <c r="X97" s="1"/>
      <c r="Y97" s="1"/>
      <c r="Z97" s="1"/>
      <c r="AA97" s="1"/>
      <c r="AB97" s="12"/>
      <c r="AC97" s="1"/>
      <c r="AD97" s="1"/>
      <c r="AE97" s="1"/>
      <c r="AF97" s="1"/>
      <c r="AG97" s="1"/>
      <c r="AH97" s="1"/>
      <c r="AI97" s="1"/>
      <c r="AJ97" s="1"/>
      <c r="AK97" s="1"/>
      <c r="AL97" s="1"/>
      <c r="AM97" s="1"/>
      <c r="AN97" s="1"/>
      <c r="AO97" s="1"/>
      <c r="AP97" s="1"/>
      <c r="AQ97" s="1"/>
      <c r="AR97" s="1"/>
      <c r="AS97" s="1"/>
      <c r="AT97" s="1"/>
      <c r="AU97" s="1"/>
      <c r="AV97" s="12"/>
      <c r="AW97" s="12"/>
      <c r="AX97" s="12"/>
      <c r="AY97" s="12"/>
      <c r="AZ97" s="12"/>
      <c r="BA97" s="12"/>
      <c r="BB97" s="12"/>
      <c r="BC97" s="12"/>
      <c r="BD97" s="12"/>
      <c r="BE97" s="12"/>
      <c r="BF97" s="12"/>
    </row>
    <row r="98" ht="14.25" customHeight="1">
      <c r="A98" s="1"/>
      <c r="B98" s="90"/>
      <c r="C98" s="105"/>
      <c r="D98" s="106"/>
      <c r="E98" s="106"/>
      <c r="F98" s="106"/>
      <c r="G98" s="106"/>
      <c r="H98" s="106"/>
      <c r="I98" s="106"/>
      <c r="J98" s="106"/>
      <c r="K98" s="106"/>
      <c r="L98" s="106"/>
      <c r="M98" s="106"/>
      <c r="N98" s="106"/>
      <c r="O98" s="1"/>
      <c r="P98" s="1"/>
      <c r="Q98" s="1"/>
      <c r="R98" s="1"/>
      <c r="S98" s="1"/>
      <c r="T98" s="1"/>
      <c r="U98" s="1"/>
      <c r="V98" s="1"/>
      <c r="W98" s="1"/>
      <c r="X98" s="1"/>
      <c r="Y98" s="1"/>
      <c r="Z98" s="1"/>
      <c r="AA98" s="1"/>
      <c r="AB98" s="12"/>
      <c r="AC98" s="1"/>
      <c r="AD98" s="1"/>
      <c r="AE98" s="1"/>
      <c r="AF98" s="1"/>
      <c r="AG98" s="1"/>
      <c r="AH98" s="1"/>
      <c r="AI98" s="1"/>
      <c r="AJ98" s="1"/>
      <c r="AK98" s="1"/>
      <c r="AL98" s="1"/>
      <c r="AM98" s="1"/>
      <c r="AN98" s="1"/>
      <c r="AO98" s="1"/>
      <c r="AP98" s="1"/>
      <c r="AQ98" s="1"/>
      <c r="AR98" s="1"/>
      <c r="AS98" s="1"/>
      <c r="AT98" s="1"/>
      <c r="AU98" s="1"/>
      <c r="AV98" s="12"/>
      <c r="AW98" s="12"/>
      <c r="AX98" s="12"/>
      <c r="AY98" s="12"/>
      <c r="AZ98" s="12"/>
      <c r="BA98" s="12"/>
      <c r="BB98" s="12"/>
      <c r="BC98" s="12"/>
      <c r="BD98" s="12"/>
      <c r="BE98" s="12"/>
      <c r="BF98" s="12"/>
    </row>
    <row r="99" ht="14.25" customHeight="1">
      <c r="A99" s="1"/>
      <c r="B99" s="2"/>
      <c r="C99" s="91"/>
      <c r="D99" s="1"/>
      <c r="E99" s="1"/>
      <c r="F99" s="1"/>
      <c r="G99" s="1"/>
      <c r="H99" s="1"/>
      <c r="I99" s="1"/>
      <c r="J99" s="1"/>
      <c r="K99" s="1"/>
      <c r="L99" s="1"/>
      <c r="M99" s="1"/>
      <c r="N99" s="1"/>
      <c r="O99" s="1"/>
      <c r="P99" s="1"/>
      <c r="Q99" s="1"/>
      <c r="R99" s="1"/>
      <c r="S99" s="1"/>
      <c r="T99" s="1"/>
      <c r="U99" s="1"/>
      <c r="V99" s="1"/>
      <c r="W99" s="1"/>
      <c r="X99" s="1"/>
      <c r="Y99" s="1"/>
      <c r="Z99" s="1"/>
      <c r="AA99" s="1"/>
      <c r="AB99" s="12"/>
      <c r="AC99" s="1"/>
      <c r="AD99" s="1"/>
      <c r="AE99" s="1"/>
      <c r="AF99" s="1"/>
      <c r="AG99" s="1"/>
      <c r="AH99" s="1"/>
      <c r="AI99" s="1"/>
      <c r="AJ99" s="1"/>
      <c r="AK99" s="1"/>
      <c r="AL99" s="1"/>
      <c r="AM99" s="1"/>
      <c r="AN99" s="1"/>
      <c r="AO99" s="1"/>
      <c r="AP99" s="1"/>
      <c r="AQ99" s="1"/>
      <c r="AR99" s="1"/>
      <c r="AS99" s="1"/>
      <c r="AT99" s="1"/>
      <c r="AU99" s="1"/>
      <c r="AV99" s="12"/>
      <c r="AW99" s="12"/>
      <c r="AX99" s="12"/>
      <c r="AY99" s="12"/>
      <c r="AZ99" s="12"/>
      <c r="BA99" s="12"/>
      <c r="BB99" s="12"/>
      <c r="BC99" s="12"/>
      <c r="BD99" s="12"/>
      <c r="BE99" s="12"/>
      <c r="BF99" s="12"/>
    </row>
    <row r="100" ht="14.25" customHeight="1">
      <c r="A100" s="1"/>
      <c r="B100" s="92" t="s">
        <v>145</v>
      </c>
      <c r="C100" s="131" t="s">
        <v>146</v>
      </c>
      <c r="D100" s="22"/>
      <c r="E100" s="1"/>
      <c r="F100" s="1"/>
      <c r="G100" s="1"/>
      <c r="H100" s="1"/>
      <c r="I100" s="1"/>
      <c r="J100" s="12"/>
      <c r="K100" s="1"/>
      <c r="L100" s="1"/>
      <c r="M100" s="12"/>
      <c r="N100" s="12"/>
      <c r="O100" s="1"/>
      <c r="P100" s="1"/>
      <c r="Q100" s="1"/>
      <c r="R100" s="1"/>
      <c r="S100" s="1"/>
      <c r="T100" s="1"/>
      <c r="U100" s="1"/>
      <c r="V100" s="1"/>
      <c r="W100" s="1"/>
      <c r="X100" s="1"/>
      <c r="Y100" s="1"/>
      <c r="Z100" s="1"/>
      <c r="AA100" s="1"/>
      <c r="AB100" s="12"/>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row>
    <row r="101" ht="14.25" customHeight="1">
      <c r="A101" s="1"/>
      <c r="B101" s="85"/>
      <c r="C101" s="3"/>
      <c r="D101" s="1"/>
      <c r="E101" s="1"/>
      <c r="F101" s="1"/>
      <c r="G101" s="1"/>
      <c r="H101" s="1"/>
      <c r="I101" s="1"/>
      <c r="J101" s="12"/>
      <c r="K101" s="1"/>
      <c r="L101" s="1"/>
      <c r="M101" s="12"/>
      <c r="N101" s="12"/>
      <c r="O101" s="1"/>
      <c r="P101" s="1"/>
      <c r="Q101" s="1"/>
      <c r="R101" s="1"/>
      <c r="S101" s="1"/>
      <c r="T101" s="1"/>
      <c r="U101" s="1"/>
      <c r="V101" s="1"/>
      <c r="W101" s="1"/>
      <c r="X101" s="1"/>
      <c r="Y101" s="1"/>
      <c r="Z101" s="1"/>
      <c r="AA101" s="1"/>
      <c r="AB101" s="12"/>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row>
    <row r="102" ht="14.25" customHeight="1">
      <c r="A102" s="1"/>
      <c r="B102" s="85"/>
      <c r="C102" s="3" t="s">
        <v>147</v>
      </c>
      <c r="D102" s="1"/>
      <c r="E102" s="1"/>
      <c r="F102" s="1"/>
      <c r="G102" s="1"/>
      <c r="H102" s="1"/>
      <c r="I102" s="1"/>
      <c r="J102" s="12"/>
      <c r="K102" s="1"/>
      <c r="L102" s="1"/>
      <c r="M102" s="12"/>
      <c r="N102" s="12"/>
      <c r="O102" s="1"/>
      <c r="P102" s="1"/>
      <c r="Q102" s="1"/>
      <c r="R102" s="1"/>
      <c r="S102" s="1"/>
      <c r="T102" s="1"/>
      <c r="U102" s="1"/>
      <c r="V102" s="1"/>
      <c r="W102" s="1"/>
      <c r="X102" s="1"/>
      <c r="Y102" s="1"/>
      <c r="Z102" s="1"/>
      <c r="AA102" s="1"/>
      <c r="AB102" s="12"/>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row>
    <row r="103" ht="14.25" customHeight="1">
      <c r="A103" s="1"/>
      <c r="B103" s="85"/>
      <c r="C103" s="3"/>
      <c r="D103" s="1"/>
      <c r="E103" s="1"/>
      <c r="F103" s="1"/>
      <c r="G103" s="1"/>
      <c r="H103" s="1"/>
      <c r="I103" s="1"/>
      <c r="J103" s="12"/>
      <c r="K103" s="1"/>
      <c r="L103" s="1"/>
      <c r="M103" s="12"/>
      <c r="N103" s="12"/>
      <c r="O103" s="1"/>
      <c r="P103" s="1"/>
      <c r="Q103" s="1"/>
      <c r="R103" s="1"/>
      <c r="S103" s="1"/>
      <c r="T103" s="1"/>
      <c r="U103" s="1"/>
      <c r="V103" s="1"/>
      <c r="W103" s="1"/>
      <c r="X103" s="1"/>
      <c r="Y103" s="1"/>
      <c r="Z103" s="1"/>
      <c r="AA103" s="1"/>
      <c r="AB103" s="12"/>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row>
    <row r="104" ht="14.25" customHeight="1">
      <c r="A104" s="1"/>
      <c r="B104" s="132"/>
      <c r="C104" s="118" t="s">
        <v>140</v>
      </c>
      <c r="D104" s="26"/>
      <c r="E104" s="26"/>
      <c r="F104" s="27"/>
      <c r="G104" s="119" t="s">
        <v>141</v>
      </c>
      <c r="H104" s="120" t="str">
        <f>HYPERLINK("https://docs.google.com/spreadsheets/d/1pQxQ2d-9Pb1zkECw8E6m0nCkibpbodIj-6-HI0Jtfqw/edit#gid=1035024271","https://docs.google.com/spreadsheets/d/1pQxQ2d-9Pb1zkECw8E6m0nCkibpbodIj-6-HI0Jtfqw/edit#gid=1035024271")</f>
        <v>https://docs.google.com/spreadsheets/d/1pQxQ2d-9Pb1zkECw8E6m0nCkibpbodIj-6-HI0Jtfqw/edit#gid=1035024271</v>
      </c>
      <c r="O104" s="1"/>
      <c r="P104" s="1"/>
      <c r="Q104" s="1"/>
      <c r="R104" s="1"/>
      <c r="S104" s="1"/>
      <c r="T104" s="1"/>
      <c r="U104" s="1"/>
      <c r="V104" s="1"/>
      <c r="W104" s="1"/>
      <c r="X104" s="1"/>
      <c r="Y104" s="1"/>
      <c r="Z104" s="1"/>
      <c r="AA104" s="1"/>
      <c r="AB104" s="12"/>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row>
    <row r="105" ht="14.25" customHeight="1">
      <c r="A105" s="1"/>
      <c r="B105" s="85"/>
      <c r="C105" s="3"/>
      <c r="D105" s="1"/>
      <c r="E105" s="1"/>
      <c r="F105" s="1"/>
      <c r="G105" s="1"/>
      <c r="H105" s="1"/>
      <c r="I105" s="1"/>
      <c r="J105" s="12"/>
      <c r="K105" s="1"/>
      <c r="L105" s="12"/>
      <c r="M105" s="12"/>
      <c r="N105" s="12"/>
      <c r="O105" s="1"/>
      <c r="P105" s="1"/>
      <c r="Q105" s="1"/>
      <c r="R105" s="1"/>
      <c r="S105" s="1"/>
      <c r="T105" s="1"/>
      <c r="U105" s="1"/>
      <c r="V105" s="1"/>
      <c r="W105" s="1"/>
      <c r="X105" s="1"/>
      <c r="Y105" s="1"/>
      <c r="Z105" s="1"/>
      <c r="AA105" s="1"/>
      <c r="AB105" s="12"/>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row>
    <row r="106" ht="14.25" customHeight="1">
      <c r="A106" s="1"/>
      <c r="B106" s="2"/>
      <c r="C106" s="133" t="s">
        <v>148</v>
      </c>
      <c r="D106" s="1"/>
      <c r="E106" s="1"/>
      <c r="F106" s="1"/>
      <c r="G106" s="1"/>
      <c r="H106" s="1"/>
      <c r="I106" s="1"/>
      <c r="J106" s="12"/>
      <c r="K106" s="1"/>
      <c r="L106" s="12"/>
      <c r="M106" s="12"/>
      <c r="N106" s="12"/>
      <c r="O106" s="1"/>
      <c r="P106" s="1"/>
      <c r="Q106" s="1"/>
      <c r="R106" s="1"/>
      <c r="S106" s="1"/>
      <c r="T106" s="1"/>
      <c r="U106" s="1"/>
      <c r="V106" s="1"/>
      <c r="W106" s="1"/>
      <c r="X106" s="1"/>
      <c r="Y106" s="1"/>
      <c r="Z106" s="1"/>
      <c r="AA106" s="1"/>
      <c r="AB106" s="12"/>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row>
    <row r="107" ht="14.25" customHeight="1">
      <c r="A107" s="1"/>
      <c r="B107" s="2">
        <v>1.0</v>
      </c>
      <c r="C107" s="134"/>
      <c r="D107" s="135" t="s">
        <v>149</v>
      </c>
      <c r="E107" s="26"/>
      <c r="F107" s="26"/>
      <c r="G107" s="26"/>
      <c r="H107" s="26"/>
      <c r="I107" s="27"/>
      <c r="J107" s="12"/>
      <c r="K107" s="1"/>
      <c r="L107" s="12"/>
      <c r="M107" s="12"/>
      <c r="N107" s="12"/>
      <c r="O107" s="1"/>
      <c r="P107" s="1"/>
      <c r="Q107" s="1"/>
      <c r="R107" s="1"/>
      <c r="S107" s="1"/>
      <c r="T107" s="1"/>
      <c r="U107" s="1"/>
      <c r="V107" s="1"/>
      <c r="W107" s="1"/>
      <c r="X107" s="1"/>
      <c r="Y107" s="1"/>
      <c r="Z107" s="1"/>
      <c r="AA107" s="1"/>
      <c r="AB107" s="12"/>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row>
    <row r="108" ht="14.25" customHeight="1">
      <c r="A108" s="1"/>
      <c r="B108" s="2">
        <v>2.0</v>
      </c>
      <c r="C108" s="88" t="s">
        <v>76</v>
      </c>
      <c r="D108" s="135" t="s">
        <v>150</v>
      </c>
      <c r="E108" s="26"/>
      <c r="F108" s="26"/>
      <c r="G108" s="26"/>
      <c r="H108" s="26"/>
      <c r="I108" s="27"/>
      <c r="J108" s="12"/>
      <c r="K108" s="13" t="s">
        <v>151</v>
      </c>
      <c r="L108" s="12"/>
      <c r="M108" s="12"/>
      <c r="N108" s="12"/>
      <c r="O108" s="1"/>
      <c r="P108" s="1"/>
      <c r="Q108" s="1"/>
      <c r="R108" s="1"/>
      <c r="S108" s="1"/>
      <c r="T108" s="1"/>
      <c r="U108" s="1"/>
      <c r="V108" s="1"/>
      <c r="W108" s="1"/>
      <c r="X108" s="1"/>
      <c r="Y108" s="1"/>
      <c r="Z108" s="1"/>
      <c r="AA108" s="1"/>
      <c r="AB108" s="12"/>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row>
    <row r="109" ht="14.25" customHeight="1">
      <c r="A109" s="1"/>
      <c r="B109" s="2">
        <v>3.0</v>
      </c>
      <c r="C109" s="88" t="s">
        <v>76</v>
      </c>
      <c r="D109" s="135" t="s">
        <v>152</v>
      </c>
      <c r="E109" s="26"/>
      <c r="F109" s="26"/>
      <c r="G109" s="26"/>
      <c r="H109" s="26"/>
      <c r="I109" s="27"/>
      <c r="J109" s="12"/>
      <c r="K109" s="13" t="s">
        <v>151</v>
      </c>
      <c r="L109" s="12"/>
      <c r="M109" s="12"/>
      <c r="N109" s="12"/>
      <c r="O109" s="1"/>
      <c r="P109" s="1"/>
      <c r="Q109" s="1"/>
      <c r="R109" s="1"/>
      <c r="S109" s="1"/>
      <c r="T109" s="1"/>
      <c r="U109" s="1"/>
      <c r="V109" s="1"/>
      <c r="W109" s="1"/>
      <c r="X109" s="1"/>
      <c r="Y109" s="1"/>
      <c r="Z109" s="1"/>
      <c r="AA109" s="1"/>
      <c r="AB109" s="12"/>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row>
    <row r="110" ht="14.25" customHeight="1">
      <c r="A110" s="1"/>
      <c r="B110" s="2">
        <v>4.0</v>
      </c>
      <c r="C110" s="88" t="s">
        <v>76</v>
      </c>
      <c r="D110" s="136" t="s">
        <v>153</v>
      </c>
      <c r="E110" s="26"/>
      <c r="F110" s="26"/>
      <c r="G110" s="26"/>
      <c r="H110" s="26"/>
      <c r="I110" s="27"/>
      <c r="J110" s="12"/>
      <c r="K110" s="13" t="s">
        <v>151</v>
      </c>
      <c r="L110" s="12"/>
      <c r="M110" s="12"/>
      <c r="N110" s="12"/>
      <c r="O110" s="1"/>
      <c r="P110" s="1"/>
      <c r="Q110" s="1"/>
      <c r="R110" s="1"/>
      <c r="S110" s="1"/>
      <c r="T110" s="1"/>
      <c r="U110" s="1"/>
      <c r="V110" s="1"/>
      <c r="W110" s="1"/>
      <c r="X110" s="1"/>
      <c r="Y110" s="1"/>
      <c r="Z110" s="1"/>
      <c r="AA110" s="1"/>
      <c r="AB110" s="12"/>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row>
    <row r="111" ht="14.25" customHeight="1">
      <c r="A111" s="1"/>
      <c r="B111" s="2">
        <v>5.0</v>
      </c>
      <c r="C111" s="88" t="s">
        <v>76</v>
      </c>
      <c r="D111" s="136" t="s">
        <v>154</v>
      </c>
      <c r="E111" s="26"/>
      <c r="F111" s="26"/>
      <c r="G111" s="26"/>
      <c r="H111" s="26"/>
      <c r="I111" s="27"/>
      <c r="J111" s="12"/>
      <c r="K111" s="13" t="s">
        <v>151</v>
      </c>
      <c r="L111" s="12"/>
      <c r="M111" s="12"/>
      <c r="N111" s="12"/>
      <c r="O111" s="1"/>
      <c r="P111" s="1"/>
      <c r="Q111" s="1"/>
      <c r="R111" s="1"/>
      <c r="S111" s="1"/>
      <c r="T111" s="1"/>
      <c r="U111" s="1"/>
      <c r="V111" s="1"/>
      <c r="W111" s="1"/>
      <c r="X111" s="1"/>
      <c r="Y111" s="1"/>
      <c r="Z111" s="1"/>
      <c r="AA111" s="1"/>
      <c r="AB111" s="12"/>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row>
    <row r="112" ht="14.25" customHeight="1">
      <c r="A112" s="1"/>
      <c r="B112" s="2">
        <v>6.0</v>
      </c>
      <c r="C112" s="88" t="s">
        <v>76</v>
      </c>
      <c r="D112" s="89"/>
      <c r="E112" s="26"/>
      <c r="F112" s="26"/>
      <c r="G112" s="26"/>
      <c r="H112" s="26"/>
      <c r="I112" s="27"/>
      <c r="J112" s="12"/>
      <c r="K112" s="12"/>
      <c r="L112" s="12"/>
      <c r="M112" s="12"/>
      <c r="N112" s="1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row>
    <row r="113" ht="14.25" customHeight="1">
      <c r="A113" s="1"/>
      <c r="B113" s="2">
        <v>7.0</v>
      </c>
      <c r="C113" s="88" t="s">
        <v>76</v>
      </c>
      <c r="D113" s="89"/>
      <c r="E113" s="26"/>
      <c r="F113" s="26"/>
      <c r="G113" s="26"/>
      <c r="H113" s="26"/>
      <c r="I113" s="27"/>
      <c r="J113" s="12"/>
      <c r="K113" s="12"/>
      <c r="L113" s="12"/>
      <c r="M113" s="12"/>
      <c r="N113" s="1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row>
    <row r="114" ht="14.25" customHeight="1">
      <c r="A114" s="1"/>
      <c r="B114" s="2">
        <v>8.0</v>
      </c>
      <c r="C114" s="88" t="s">
        <v>76</v>
      </c>
      <c r="D114" s="89"/>
      <c r="E114" s="26"/>
      <c r="F114" s="26"/>
      <c r="G114" s="26"/>
      <c r="H114" s="26"/>
      <c r="I114" s="27"/>
      <c r="J114" s="12"/>
      <c r="K114" s="12"/>
      <c r="L114" s="12"/>
      <c r="M114" s="12"/>
      <c r="N114" s="1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row>
    <row r="115" ht="14.25" customHeight="1">
      <c r="A115" s="1"/>
      <c r="B115" s="2">
        <v>9.0</v>
      </c>
      <c r="C115" s="88" t="s">
        <v>76</v>
      </c>
      <c r="D115" s="89"/>
      <c r="E115" s="26"/>
      <c r="F115" s="26"/>
      <c r="G115" s="26"/>
      <c r="H115" s="26"/>
      <c r="I115" s="27"/>
      <c r="J115" s="12"/>
      <c r="K115" s="12"/>
      <c r="L115" s="12"/>
      <c r="M115" s="12"/>
      <c r="N115" s="1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ht="14.25" customHeight="1">
      <c r="A116" s="1"/>
      <c r="B116" s="2">
        <v>10.0</v>
      </c>
      <c r="C116" s="88" t="s">
        <v>76</v>
      </c>
      <c r="D116" s="89"/>
      <c r="E116" s="26"/>
      <c r="F116" s="26"/>
      <c r="G116" s="26"/>
      <c r="H116" s="26"/>
      <c r="I116" s="27"/>
      <c r="J116" s="12"/>
      <c r="K116" s="12"/>
      <c r="L116" s="12"/>
      <c r="M116" s="12"/>
      <c r="N116" s="1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ht="14.25" customHeight="1">
      <c r="A117" s="1"/>
      <c r="B117" s="2">
        <v>11.0</v>
      </c>
      <c r="C117" s="88" t="s">
        <v>76</v>
      </c>
      <c r="D117" s="89"/>
      <c r="E117" s="26"/>
      <c r="F117" s="26"/>
      <c r="G117" s="26"/>
      <c r="H117" s="26"/>
      <c r="I117" s="27"/>
      <c r="J117" s="12"/>
      <c r="K117" s="12"/>
      <c r="L117" s="12"/>
      <c r="M117" s="12"/>
      <c r="N117" s="1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row>
    <row r="118" ht="14.25" customHeight="1">
      <c r="A118" s="1"/>
      <c r="B118" s="2">
        <v>12.0</v>
      </c>
      <c r="C118" s="88" t="s">
        <v>76</v>
      </c>
      <c r="D118" s="89"/>
      <c r="E118" s="26"/>
      <c r="F118" s="26"/>
      <c r="G118" s="26"/>
      <c r="H118" s="26"/>
      <c r="I118" s="27"/>
      <c r="J118" s="12"/>
      <c r="K118" s="12"/>
      <c r="L118" s="12"/>
      <c r="M118" s="12"/>
      <c r="N118" s="1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ht="14.25" customHeight="1">
      <c r="A119" s="1"/>
      <c r="B119" s="85"/>
      <c r="C119" s="3"/>
      <c r="D119" s="1"/>
      <c r="E119" s="1"/>
      <c r="F119" s="1"/>
      <c r="G119" s="1"/>
      <c r="H119" s="1"/>
      <c r="I119" s="1"/>
      <c r="J119" s="12"/>
      <c r="K119" s="12"/>
      <c r="L119" s="12"/>
      <c r="M119" s="12"/>
      <c r="N119" s="1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ht="14.25" customHeight="1">
      <c r="A120" s="1"/>
      <c r="B120" s="2"/>
      <c r="C120" s="133" t="s">
        <v>155</v>
      </c>
      <c r="D120" s="1"/>
      <c r="E120" s="1"/>
      <c r="F120" s="1"/>
      <c r="G120" s="1"/>
      <c r="H120" s="1"/>
      <c r="I120" s="1"/>
      <c r="J120" s="12"/>
      <c r="K120" s="12"/>
      <c r="L120" s="12"/>
      <c r="M120" s="1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ht="14.25" customHeight="1">
      <c r="A121" s="1"/>
      <c r="B121" s="2">
        <v>1.0</v>
      </c>
      <c r="C121" s="134"/>
      <c r="D121" s="135" t="s">
        <v>156</v>
      </c>
      <c r="E121" s="26"/>
      <c r="F121" s="26"/>
      <c r="G121" s="26"/>
      <c r="H121" s="26"/>
      <c r="I121" s="27"/>
      <c r="J121" s="12"/>
      <c r="K121" s="12"/>
      <c r="L121" s="12"/>
      <c r="M121" s="1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ht="14.25" customHeight="1">
      <c r="A122" s="1"/>
      <c r="B122" s="2">
        <v>2.0</v>
      </c>
      <c r="C122" s="88" t="s">
        <v>157</v>
      </c>
      <c r="D122" s="135" t="s">
        <v>158</v>
      </c>
      <c r="E122" s="26"/>
      <c r="F122" s="26"/>
      <c r="G122" s="26"/>
      <c r="H122" s="26"/>
      <c r="I122" s="27"/>
      <c r="J122" s="1"/>
      <c r="K122" s="12"/>
      <c r="L122" s="12"/>
      <c r="M122" s="1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ht="14.25" customHeight="1">
      <c r="A123" s="1"/>
      <c r="B123" s="2">
        <v>3.0</v>
      </c>
      <c r="C123" s="88" t="s">
        <v>157</v>
      </c>
      <c r="D123" s="135" t="s">
        <v>159</v>
      </c>
      <c r="E123" s="26"/>
      <c r="F123" s="26"/>
      <c r="G123" s="26"/>
      <c r="H123" s="26"/>
      <c r="I123" s="27"/>
      <c r="J123" s="1"/>
      <c r="K123" s="12"/>
      <c r="L123" s="12"/>
      <c r="M123" s="1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ht="14.25" customHeight="1">
      <c r="A124" s="1"/>
      <c r="B124" s="2">
        <v>4.0</v>
      </c>
      <c r="C124" s="88" t="s">
        <v>76</v>
      </c>
      <c r="D124" s="89"/>
      <c r="E124" s="26"/>
      <c r="F124" s="26"/>
      <c r="G124" s="26"/>
      <c r="H124" s="26"/>
      <c r="I124" s="27"/>
      <c r="J124" s="1"/>
      <c r="K124" s="12"/>
      <c r="L124" s="12"/>
      <c r="M124" s="1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row>
    <row r="125" ht="14.25" customHeight="1">
      <c r="A125" s="1"/>
      <c r="B125" s="2">
        <v>5.0</v>
      </c>
      <c r="C125" s="88" t="s">
        <v>76</v>
      </c>
      <c r="D125" s="89"/>
      <c r="E125" s="26"/>
      <c r="F125" s="26"/>
      <c r="G125" s="26"/>
      <c r="H125" s="26"/>
      <c r="I125" s="27"/>
      <c r="J125" s="1"/>
      <c r="K125" s="12"/>
      <c r="L125" s="12"/>
      <c r="M125" s="1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row>
    <row r="126" ht="14.25" customHeight="1">
      <c r="A126" s="1"/>
      <c r="B126" s="2">
        <v>6.0</v>
      </c>
      <c r="C126" s="88" t="s">
        <v>76</v>
      </c>
      <c r="D126" s="89"/>
      <c r="E126" s="26"/>
      <c r="F126" s="26"/>
      <c r="G126" s="26"/>
      <c r="H126" s="26"/>
      <c r="I126" s="27"/>
      <c r="J126" s="1"/>
      <c r="K126" s="12"/>
      <c r="L126" s="12"/>
      <c r="M126" s="1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ht="14.25" customHeight="1">
      <c r="A127" s="1"/>
      <c r="B127" s="2">
        <v>7.0</v>
      </c>
      <c r="C127" s="88" t="s">
        <v>76</v>
      </c>
      <c r="D127" s="89"/>
      <c r="E127" s="26"/>
      <c r="F127" s="26"/>
      <c r="G127" s="26"/>
      <c r="H127" s="26"/>
      <c r="I127" s="27"/>
      <c r="J127" s="1"/>
      <c r="K127" s="12"/>
      <c r="L127" s="12"/>
      <c r="M127" s="1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ht="14.25" customHeight="1">
      <c r="A128" s="1"/>
      <c r="B128" s="2">
        <v>8.0</v>
      </c>
      <c r="C128" s="88" t="s">
        <v>76</v>
      </c>
      <c r="D128" s="89"/>
      <c r="E128" s="26"/>
      <c r="F128" s="26"/>
      <c r="G128" s="26"/>
      <c r="H128" s="26"/>
      <c r="I128" s="27"/>
      <c r="J128" s="1"/>
      <c r="K128" s="12"/>
      <c r="L128" s="12"/>
      <c r="M128" s="1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ht="14.25" customHeight="1">
      <c r="A129" s="1"/>
      <c r="B129" s="2">
        <v>9.0</v>
      </c>
      <c r="C129" s="88" t="s">
        <v>76</v>
      </c>
      <c r="D129" s="89"/>
      <c r="E129" s="26"/>
      <c r="F129" s="26"/>
      <c r="G129" s="26"/>
      <c r="H129" s="26"/>
      <c r="I129" s="27"/>
      <c r="J129" s="1"/>
      <c r="K129" s="12"/>
      <c r="L129" s="12"/>
      <c r="M129" s="1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ht="14.25" customHeight="1">
      <c r="A130" s="1"/>
      <c r="B130" s="2">
        <v>10.0</v>
      </c>
      <c r="C130" s="88" t="s">
        <v>76</v>
      </c>
      <c r="D130" s="89"/>
      <c r="E130" s="26"/>
      <c r="F130" s="26"/>
      <c r="G130" s="26"/>
      <c r="H130" s="26"/>
      <c r="I130" s="27"/>
      <c r="J130" s="1"/>
      <c r="K130" s="12"/>
      <c r="L130" s="12"/>
      <c r="M130" s="1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ht="14.25" customHeight="1">
      <c r="A131" s="1"/>
      <c r="B131" s="2">
        <v>11.0</v>
      </c>
      <c r="C131" s="88" t="s">
        <v>76</v>
      </c>
      <c r="D131" s="89"/>
      <c r="E131" s="26"/>
      <c r="F131" s="26"/>
      <c r="G131" s="26"/>
      <c r="H131" s="26"/>
      <c r="I131" s="27"/>
      <c r="J131" s="1"/>
      <c r="K131" s="12"/>
      <c r="L131" s="12"/>
      <c r="M131" s="1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ht="14.25" customHeight="1">
      <c r="A132" s="1"/>
      <c r="B132" s="2">
        <v>12.0</v>
      </c>
      <c r="C132" s="88" t="s">
        <v>76</v>
      </c>
      <c r="D132" s="89"/>
      <c r="E132" s="26"/>
      <c r="F132" s="26"/>
      <c r="G132" s="26"/>
      <c r="H132" s="26"/>
      <c r="I132" s="27"/>
      <c r="J132" s="1"/>
      <c r="K132" s="12"/>
      <c r="L132" s="12"/>
      <c r="M132" s="1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ht="14.25" customHeight="1">
      <c r="A133" s="1"/>
      <c r="B133" s="2"/>
      <c r="C133" s="133" t="s">
        <v>160</v>
      </c>
      <c r="D133" s="1"/>
      <c r="E133" s="1"/>
      <c r="F133" s="1"/>
      <c r="G133" s="1"/>
      <c r="H133" s="1"/>
      <c r="I133" s="1"/>
      <c r="J133" s="12"/>
      <c r="K133" s="12"/>
      <c r="L133" s="12"/>
      <c r="M133" s="1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ht="14.25" customHeight="1">
      <c r="A134" s="1"/>
      <c r="B134" s="2">
        <v>1.0</v>
      </c>
      <c r="C134" s="134"/>
      <c r="D134" s="135"/>
      <c r="E134" s="26"/>
      <c r="F134" s="26"/>
      <c r="G134" s="26"/>
      <c r="H134" s="26"/>
      <c r="I134" s="27"/>
      <c r="J134" s="12"/>
      <c r="K134" s="12"/>
      <c r="L134" s="12"/>
      <c r="M134" s="1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ht="14.25" customHeight="1">
      <c r="A135" s="1"/>
      <c r="B135" s="2">
        <v>2.0</v>
      </c>
      <c r="C135" s="88"/>
      <c r="D135" s="135"/>
      <c r="E135" s="26"/>
      <c r="F135" s="26"/>
      <c r="G135" s="26"/>
      <c r="H135" s="26"/>
      <c r="I135" s="27"/>
      <c r="J135" s="1"/>
      <c r="K135" s="12"/>
      <c r="L135" s="12"/>
      <c r="M135" s="1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ht="14.25" customHeight="1">
      <c r="A136" s="1"/>
      <c r="B136" s="2">
        <v>3.0</v>
      </c>
      <c r="C136" s="88"/>
      <c r="D136" s="135"/>
      <c r="E136" s="26"/>
      <c r="F136" s="26"/>
      <c r="G136" s="26"/>
      <c r="H136" s="26"/>
      <c r="I136" s="27"/>
      <c r="J136" s="1"/>
      <c r="K136" s="12"/>
      <c r="L136" s="12"/>
      <c r="M136" s="1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ht="14.25" customHeight="1">
      <c r="A137" s="1"/>
      <c r="B137" s="2">
        <v>4.0</v>
      </c>
      <c r="C137" s="88" t="s">
        <v>76</v>
      </c>
      <c r="D137" s="89"/>
      <c r="E137" s="26"/>
      <c r="F137" s="26"/>
      <c r="G137" s="26"/>
      <c r="H137" s="26"/>
      <c r="I137" s="27"/>
      <c r="J137" s="1"/>
      <c r="K137" s="12"/>
      <c r="L137" s="12"/>
      <c r="M137" s="1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row>
    <row r="138" ht="14.25" customHeight="1">
      <c r="A138" s="1"/>
      <c r="B138" s="2">
        <v>5.0</v>
      </c>
      <c r="C138" s="88" t="s">
        <v>76</v>
      </c>
      <c r="D138" s="89"/>
      <c r="E138" s="26"/>
      <c r="F138" s="26"/>
      <c r="G138" s="26"/>
      <c r="H138" s="26"/>
      <c r="I138" s="27"/>
      <c r="J138" s="1"/>
      <c r="K138" s="12"/>
      <c r="L138" s="12"/>
      <c r="M138" s="1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row>
    <row r="139" ht="14.25" customHeight="1">
      <c r="A139" s="1"/>
      <c r="B139" s="2">
        <v>6.0</v>
      </c>
      <c r="C139" s="88" t="s">
        <v>76</v>
      </c>
      <c r="D139" s="89"/>
      <c r="E139" s="26"/>
      <c r="F139" s="26"/>
      <c r="G139" s="26"/>
      <c r="H139" s="26"/>
      <c r="I139" s="27"/>
      <c r="J139" s="1"/>
      <c r="K139" s="12"/>
      <c r="L139" s="12"/>
      <c r="M139" s="1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row>
    <row r="140" ht="14.25" customHeight="1">
      <c r="A140" s="1"/>
      <c r="B140" s="2">
        <v>7.0</v>
      </c>
      <c r="C140" s="88" t="s">
        <v>76</v>
      </c>
      <c r="D140" s="89"/>
      <c r="E140" s="26"/>
      <c r="F140" s="26"/>
      <c r="G140" s="26"/>
      <c r="H140" s="26"/>
      <c r="I140" s="27"/>
      <c r="J140" s="1"/>
      <c r="K140" s="12"/>
      <c r="L140" s="12"/>
      <c r="M140" s="1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row>
    <row r="141" ht="14.25" customHeight="1">
      <c r="A141" s="1"/>
      <c r="B141" s="2">
        <v>8.0</v>
      </c>
      <c r="C141" s="88" t="s">
        <v>76</v>
      </c>
      <c r="D141" s="89"/>
      <c r="E141" s="26"/>
      <c r="F141" s="26"/>
      <c r="G141" s="26"/>
      <c r="H141" s="26"/>
      <c r="I141" s="27"/>
      <c r="J141" s="1"/>
      <c r="K141" s="12"/>
      <c r="L141" s="12"/>
      <c r="M141" s="1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row>
    <row r="142" ht="14.25" customHeight="1">
      <c r="A142" s="1"/>
      <c r="B142" s="2">
        <v>9.0</v>
      </c>
      <c r="C142" s="88" t="s">
        <v>76</v>
      </c>
      <c r="D142" s="89"/>
      <c r="E142" s="26"/>
      <c r="F142" s="26"/>
      <c r="G142" s="26"/>
      <c r="H142" s="26"/>
      <c r="I142" s="27"/>
      <c r="J142" s="1"/>
      <c r="K142" s="12"/>
      <c r="L142" s="12"/>
      <c r="M142" s="1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row>
    <row r="143" ht="14.25" customHeight="1">
      <c r="A143" s="1"/>
      <c r="B143" s="2">
        <v>10.0</v>
      </c>
      <c r="C143" s="88" t="s">
        <v>76</v>
      </c>
      <c r="D143" s="89"/>
      <c r="E143" s="26"/>
      <c r="F143" s="26"/>
      <c r="G143" s="26"/>
      <c r="H143" s="26"/>
      <c r="I143" s="27"/>
      <c r="J143" s="1"/>
      <c r="K143" s="12"/>
      <c r="L143" s="12"/>
      <c r="M143" s="1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row>
    <row r="144" ht="14.25" customHeight="1">
      <c r="A144" s="1"/>
      <c r="B144" s="2">
        <v>11.0</v>
      </c>
      <c r="C144" s="88" t="s">
        <v>76</v>
      </c>
      <c r="D144" s="89"/>
      <c r="E144" s="26"/>
      <c r="F144" s="26"/>
      <c r="G144" s="26"/>
      <c r="H144" s="26"/>
      <c r="I144" s="27"/>
      <c r="J144" s="1"/>
      <c r="K144" s="12"/>
      <c r="L144" s="12"/>
      <c r="M144" s="1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row>
    <row r="145" ht="14.25" customHeight="1">
      <c r="A145" s="1"/>
      <c r="B145" s="2">
        <v>12.0</v>
      </c>
      <c r="C145" s="88" t="s">
        <v>76</v>
      </c>
      <c r="D145" s="89"/>
      <c r="E145" s="26"/>
      <c r="F145" s="26"/>
      <c r="G145" s="26"/>
      <c r="H145" s="26"/>
      <c r="I145" s="27"/>
      <c r="J145" s="1"/>
      <c r="K145" s="12"/>
      <c r="L145" s="12"/>
      <c r="M145" s="1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row>
    <row r="146" ht="14.25" customHeight="1">
      <c r="A146" s="1"/>
      <c r="B146" s="137"/>
      <c r="C146" s="138"/>
      <c r="D146" s="138"/>
      <c r="E146" s="139"/>
      <c r="F146" s="139"/>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row>
    <row r="147" ht="14.25" customHeight="1">
      <c r="A147" s="1"/>
      <c r="B147" s="137"/>
      <c r="C147" s="138" t="s">
        <v>161</v>
      </c>
      <c r="E147" s="140" t="s">
        <v>55</v>
      </c>
      <c r="F147" s="59"/>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row>
    <row r="148" ht="14.25" customHeight="1">
      <c r="A148" s="1"/>
      <c r="B148" s="137"/>
      <c r="C148" s="138" t="s">
        <v>162</v>
      </c>
      <c r="E148" s="141" t="s">
        <v>163</v>
      </c>
      <c r="F148" s="142"/>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ht="14.25" customHeight="1">
      <c r="A149" s="1"/>
      <c r="B149" s="137"/>
      <c r="C149" s="143" t="s">
        <v>164</v>
      </c>
      <c r="E149" s="144">
        <v>200000.0</v>
      </c>
      <c r="F149" s="27"/>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ht="14.25" customHeight="1">
      <c r="A150" s="1"/>
      <c r="B150" s="145"/>
      <c r="C150" s="106"/>
      <c r="D150" s="106"/>
      <c r="E150" s="106"/>
      <c r="F150" s="106"/>
      <c r="G150" s="106"/>
      <c r="H150" s="106"/>
      <c r="I150" s="146"/>
      <c r="J150" s="106"/>
      <c r="K150" s="106"/>
      <c r="L150" s="106"/>
      <c r="M150" s="106"/>
      <c r="N150" s="106"/>
      <c r="O150" s="106"/>
      <c r="P150" s="106"/>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ht="14.25" customHeight="1">
      <c r="A151" s="1"/>
      <c r="B151" s="85"/>
      <c r="C151" s="147"/>
      <c r="D151" s="147"/>
      <c r="E151" s="147"/>
      <c r="F151" s="1"/>
      <c r="G151" s="1"/>
      <c r="H151" s="1"/>
      <c r="I151" s="147"/>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ht="14.25" customHeight="1">
      <c r="A152" s="1"/>
      <c r="B152" s="5" t="s">
        <v>165</v>
      </c>
      <c r="C152" s="147" t="s">
        <v>166</v>
      </c>
      <c r="D152" s="147"/>
      <c r="E152" s="147"/>
      <c r="F152" s="1"/>
      <c r="G152" s="1"/>
      <c r="H152" s="1"/>
      <c r="I152" s="147"/>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ht="14.25" customHeight="1">
      <c r="A153" s="1"/>
      <c r="B153" s="1"/>
      <c r="C153" s="147"/>
      <c r="D153" s="147"/>
      <c r="E153" s="147"/>
      <c r="F153" s="147"/>
      <c r="G153" s="147"/>
      <c r="H153" s="147"/>
      <c r="I153" s="147"/>
      <c r="J153" s="147"/>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row>
    <row r="154" ht="14.25" customHeight="1">
      <c r="A154" s="1"/>
      <c r="B154" s="1"/>
      <c r="C154" s="148" t="s">
        <v>167</v>
      </c>
      <c r="D154" s="149" t="s">
        <v>168</v>
      </c>
      <c r="E154" s="150" t="s">
        <v>169</v>
      </c>
      <c r="F154" s="126"/>
      <c r="G154" s="151" t="s">
        <v>170</v>
      </c>
      <c r="H154" s="27"/>
      <c r="I154" s="148" t="s">
        <v>171</v>
      </c>
      <c r="J154" s="26"/>
      <c r="K154" s="26"/>
      <c r="L154" s="26"/>
      <c r="M154" s="151" t="s">
        <v>172</v>
      </c>
      <c r="N154" s="26"/>
      <c r="O154" s="26"/>
      <c r="P154" s="27"/>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row>
    <row r="155" ht="14.25" customHeight="1">
      <c r="A155" s="1"/>
      <c r="B155" s="1"/>
      <c r="C155" s="152"/>
      <c r="D155" s="152"/>
      <c r="E155" s="153"/>
      <c r="F155" s="127"/>
      <c r="G155" s="153"/>
      <c r="H155" s="127"/>
      <c r="I155" s="154"/>
      <c r="L155" s="155"/>
      <c r="M155" s="156"/>
      <c r="P155" s="155"/>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2"/>
      <c r="BE155" s="12"/>
      <c r="BF155" s="12"/>
    </row>
    <row r="156" ht="14.25" customHeight="1">
      <c r="A156" s="1"/>
      <c r="B156" s="1"/>
      <c r="C156" s="157" t="s">
        <v>173</v>
      </c>
      <c r="D156" s="158">
        <v>43760.0</v>
      </c>
      <c r="E156" s="159" t="s">
        <v>174</v>
      </c>
      <c r="F156" s="155"/>
      <c r="G156" s="159" t="s">
        <v>175</v>
      </c>
      <c r="H156" s="155"/>
      <c r="I156" s="160" t="s">
        <v>176</v>
      </c>
      <c r="L156" s="155"/>
      <c r="M156" s="161" t="s">
        <v>177</v>
      </c>
      <c r="P156" s="155"/>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2"/>
      <c r="BE156" s="12"/>
      <c r="BF156" s="12"/>
    </row>
    <row r="157" ht="14.25" customHeight="1">
      <c r="A157" s="1"/>
      <c r="B157" s="1"/>
      <c r="C157" s="157" t="s">
        <v>173</v>
      </c>
      <c r="D157" s="158">
        <v>43761.0</v>
      </c>
      <c r="E157" s="159" t="s">
        <v>82</v>
      </c>
      <c r="F157" s="155"/>
      <c r="G157" s="159" t="s">
        <v>178</v>
      </c>
      <c r="H157" s="155"/>
      <c r="I157" s="160" t="s">
        <v>179</v>
      </c>
      <c r="L157" s="155"/>
      <c r="M157" s="161" t="s">
        <v>180</v>
      </c>
      <c r="P157" s="155"/>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2"/>
      <c r="BE157" s="12"/>
      <c r="BF157" s="12"/>
    </row>
    <row r="158" ht="14.25" customHeight="1">
      <c r="A158" s="1"/>
      <c r="B158" s="1"/>
      <c r="C158" s="162"/>
      <c r="D158" s="163"/>
      <c r="E158" s="164"/>
      <c r="F158" s="165"/>
      <c r="G158" s="156"/>
      <c r="H158" s="155"/>
      <c r="I158" s="166"/>
      <c r="J158" s="167"/>
      <c r="K158" s="167"/>
      <c r="L158" s="165"/>
      <c r="M158" s="164"/>
      <c r="N158" s="167"/>
      <c r="O158" s="167"/>
      <c r="P158" s="165"/>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2"/>
      <c r="BE158" s="12"/>
      <c r="BF158" s="12"/>
    </row>
    <row r="159" ht="14.25" customHeight="1">
      <c r="A159" s="1"/>
      <c r="B159" s="1"/>
      <c r="C159" s="168" t="s">
        <v>181</v>
      </c>
      <c r="D159" s="169">
        <v>43948.0</v>
      </c>
      <c r="E159" s="140" t="s">
        <v>82</v>
      </c>
      <c r="F159" s="59"/>
      <c r="G159" s="170" t="s">
        <v>182</v>
      </c>
      <c r="H159" s="59"/>
      <c r="I159" s="171" t="s">
        <v>179</v>
      </c>
      <c r="J159" s="42"/>
      <c r="K159" s="42"/>
      <c r="L159" s="59"/>
      <c r="M159" s="172"/>
      <c r="N159" s="26"/>
      <c r="O159" s="26"/>
      <c r="P159" s="27"/>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2"/>
      <c r="BE159" s="12"/>
      <c r="BF159" s="12"/>
    </row>
    <row r="160" ht="14.25" customHeight="1">
      <c r="A160" s="1"/>
      <c r="B160" s="1"/>
      <c r="C160" s="168" t="s">
        <v>183</v>
      </c>
      <c r="D160" s="169">
        <v>43962.0</v>
      </c>
      <c r="E160" s="140" t="s">
        <v>82</v>
      </c>
      <c r="F160" s="59"/>
      <c r="G160" s="170" t="s">
        <v>175</v>
      </c>
      <c r="H160" s="59"/>
      <c r="I160" s="171" t="s">
        <v>179</v>
      </c>
      <c r="J160" s="42"/>
      <c r="K160" s="42"/>
      <c r="L160" s="59"/>
      <c r="M160" s="173" t="s">
        <v>184</v>
      </c>
      <c r="N160" s="26"/>
      <c r="O160" s="26"/>
      <c r="P160" s="27"/>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2"/>
      <c r="BE160" s="12"/>
      <c r="BF160" s="12"/>
    </row>
    <row r="161" ht="14.25" customHeight="1">
      <c r="A161" s="1"/>
      <c r="B161" s="1"/>
      <c r="C161" s="174"/>
      <c r="D161" s="175"/>
      <c r="E161" s="132"/>
      <c r="F161" s="59"/>
      <c r="G161" s="170"/>
      <c r="H161" s="59"/>
      <c r="I161" s="176"/>
      <c r="J161" s="42"/>
      <c r="K161" s="42"/>
      <c r="L161" s="59"/>
      <c r="M161" s="177"/>
      <c r="N161" s="167"/>
      <c r="O161" s="167"/>
      <c r="P161" s="165"/>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2"/>
      <c r="BE161" s="12"/>
      <c r="BF161" s="12"/>
    </row>
    <row r="162" ht="14.25" customHeight="1">
      <c r="A162" s="1"/>
      <c r="B162" s="1"/>
      <c r="C162" s="174"/>
      <c r="D162" s="175"/>
      <c r="E162" s="132"/>
      <c r="F162" s="59"/>
      <c r="G162" s="178"/>
      <c r="H162" s="59"/>
      <c r="I162" s="176"/>
      <c r="J162" s="42"/>
      <c r="K162" s="42"/>
      <c r="L162" s="59"/>
      <c r="M162" s="46"/>
      <c r="N162" s="42"/>
      <c r="O162" s="42"/>
      <c r="P162" s="43"/>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2"/>
      <c r="BE162" s="12"/>
      <c r="BF162" s="12"/>
    </row>
    <row r="163" ht="14.25" customHeight="1">
      <c r="A163" s="1"/>
      <c r="B163" s="1"/>
      <c r="C163" s="174"/>
      <c r="D163" s="175"/>
      <c r="E163" s="132"/>
      <c r="F163" s="59"/>
      <c r="G163" s="178"/>
      <c r="H163" s="59"/>
      <c r="I163" s="176"/>
      <c r="J163" s="42"/>
      <c r="K163" s="42"/>
      <c r="L163" s="59"/>
      <c r="M163" s="46"/>
      <c r="N163" s="42"/>
      <c r="O163" s="42"/>
      <c r="P163" s="43"/>
      <c r="Q163" s="1"/>
      <c r="R163" s="1"/>
      <c r="S163" s="1"/>
      <c r="T163" s="1"/>
      <c r="U163" s="1"/>
      <c r="V163" s="179"/>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2"/>
      <c r="BE163" s="12"/>
      <c r="BF163" s="12"/>
    </row>
    <row r="164" ht="14.25" customHeight="1">
      <c r="B164" s="180"/>
      <c r="C164" s="181"/>
      <c r="D164" s="175"/>
      <c r="E164" s="132"/>
      <c r="F164" s="59"/>
      <c r="G164" s="178"/>
      <c r="H164" s="59"/>
      <c r="I164" s="176"/>
      <c r="J164" s="42"/>
      <c r="K164" s="42"/>
      <c r="L164" s="59"/>
      <c r="M164" s="46"/>
      <c r="N164" s="42"/>
      <c r="O164" s="42"/>
      <c r="P164" s="43"/>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2"/>
      <c r="BE164" s="12"/>
      <c r="BF164" s="12"/>
    </row>
    <row r="165" ht="14.25" customHeight="1">
      <c r="B165" s="180"/>
      <c r="C165" s="181"/>
      <c r="D165" s="175"/>
      <c r="E165" s="132"/>
      <c r="F165" s="59"/>
      <c r="G165" s="178"/>
      <c r="H165" s="59"/>
      <c r="I165" s="176"/>
      <c r="J165" s="42"/>
      <c r="K165" s="42"/>
      <c r="L165" s="59"/>
      <c r="M165" s="46"/>
      <c r="N165" s="42"/>
      <c r="O165" s="42"/>
      <c r="P165" s="43"/>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2"/>
      <c r="BE165" s="12"/>
      <c r="BF165" s="12"/>
    </row>
    <row r="166" ht="14.25" customHeight="1">
      <c r="B166" s="180"/>
      <c r="C166" s="181"/>
      <c r="D166" s="175"/>
      <c r="E166" s="132"/>
      <c r="F166" s="59"/>
      <c r="G166" s="178"/>
      <c r="H166" s="59"/>
      <c r="I166" s="176"/>
      <c r="J166" s="42"/>
      <c r="K166" s="42"/>
      <c r="L166" s="59"/>
      <c r="M166" s="46"/>
      <c r="N166" s="42"/>
      <c r="O166" s="42"/>
      <c r="P166" s="43"/>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2"/>
      <c r="BE166" s="12"/>
      <c r="BF166" s="12"/>
    </row>
    <row r="167" ht="14.25" customHeight="1">
      <c r="B167" s="180"/>
      <c r="C167" s="181"/>
      <c r="D167" s="175"/>
      <c r="E167" s="132"/>
      <c r="F167" s="59"/>
      <c r="G167" s="178"/>
      <c r="H167" s="59"/>
      <c r="I167" s="176"/>
      <c r="J167" s="42"/>
      <c r="K167" s="42"/>
      <c r="L167" s="59"/>
      <c r="M167" s="46"/>
      <c r="N167" s="42"/>
      <c r="O167" s="42"/>
      <c r="P167" s="43"/>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2"/>
      <c r="BE167" s="12"/>
      <c r="BF167" s="12"/>
    </row>
    <row r="168" ht="14.25" customHeight="1">
      <c r="B168" s="180"/>
      <c r="C168" s="181"/>
      <c r="D168" s="175"/>
      <c r="E168" s="132"/>
      <c r="F168" s="59"/>
      <c r="G168" s="178"/>
      <c r="H168" s="59"/>
      <c r="I168" s="176"/>
      <c r="J168" s="42"/>
      <c r="K168" s="42"/>
      <c r="L168" s="59"/>
      <c r="M168" s="46"/>
      <c r="N168" s="42"/>
      <c r="O168" s="42"/>
      <c r="P168" s="43"/>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2"/>
      <c r="BE168" s="12"/>
      <c r="BF168" s="12"/>
    </row>
    <row r="169" ht="14.25" customHeight="1">
      <c r="B169" s="180"/>
      <c r="C169" s="181"/>
      <c r="D169" s="175"/>
      <c r="E169" s="132"/>
      <c r="F169" s="59"/>
      <c r="G169" s="178"/>
      <c r="H169" s="59"/>
      <c r="I169" s="176"/>
      <c r="J169" s="42"/>
      <c r="K169" s="42"/>
      <c r="L169" s="59"/>
      <c r="M169" s="46"/>
      <c r="N169" s="42"/>
      <c r="O169" s="42"/>
      <c r="P169" s="43"/>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2"/>
      <c r="BE169" s="12"/>
      <c r="BF169" s="12"/>
    </row>
    <row r="170" ht="14.25" customHeight="1">
      <c r="B170" s="180"/>
      <c r="C170" s="181"/>
      <c r="D170" s="175"/>
      <c r="E170" s="132"/>
      <c r="F170" s="59"/>
      <c r="G170" s="178"/>
      <c r="H170" s="59"/>
      <c r="I170" s="176"/>
      <c r="J170" s="42"/>
      <c r="K170" s="42"/>
      <c r="L170" s="59"/>
      <c r="M170" s="46"/>
      <c r="N170" s="42"/>
      <c r="O170" s="42"/>
      <c r="P170" s="43"/>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row>
    <row r="171" ht="14.25" customHeight="1">
      <c r="B171" s="180"/>
      <c r="C171" s="181"/>
      <c r="D171" s="175"/>
      <c r="E171" s="132"/>
      <c r="F171" s="59"/>
      <c r="G171" s="178"/>
      <c r="H171" s="59"/>
      <c r="I171" s="176"/>
      <c r="J171" s="42"/>
      <c r="K171" s="42"/>
      <c r="L171" s="59"/>
      <c r="M171" s="46"/>
      <c r="N171" s="42"/>
      <c r="O171" s="42"/>
      <c r="P171" s="43"/>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row>
    <row r="172" ht="14.25" customHeight="1">
      <c r="B172" s="180"/>
      <c r="C172" s="181"/>
      <c r="D172" s="175"/>
      <c r="E172" s="132"/>
      <c r="F172" s="59"/>
      <c r="G172" s="178"/>
      <c r="H172" s="59"/>
      <c r="I172" s="176"/>
      <c r="J172" s="42"/>
      <c r="K172" s="42"/>
      <c r="L172" s="59"/>
      <c r="M172" s="46"/>
      <c r="N172" s="42"/>
      <c r="O172" s="42"/>
      <c r="P172" s="43"/>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ht="14.25" customHeight="1">
      <c r="B173" s="180"/>
      <c r="C173" s="181"/>
      <c r="D173" s="175"/>
      <c r="E173" s="132"/>
      <c r="F173" s="59"/>
      <c r="G173" s="178"/>
      <c r="H173" s="59"/>
      <c r="I173" s="176"/>
      <c r="J173" s="42"/>
      <c r="K173" s="42"/>
      <c r="L173" s="59"/>
      <c r="M173" s="46"/>
      <c r="N173" s="42"/>
      <c r="O173" s="42"/>
      <c r="P173" s="43"/>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row>
    <row r="174" ht="14.25" customHeight="1">
      <c r="A174" s="1"/>
      <c r="B174" s="1"/>
      <c r="C174" s="174"/>
      <c r="D174" s="175"/>
      <c r="E174" s="132"/>
      <c r="F174" s="59"/>
      <c r="G174" s="178"/>
      <c r="H174" s="59"/>
      <c r="I174" s="176"/>
      <c r="J174" s="42"/>
      <c r="K174" s="42"/>
      <c r="L174" s="59"/>
      <c r="M174" s="46"/>
      <c r="N174" s="42"/>
      <c r="O174" s="42"/>
      <c r="P174" s="43"/>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2"/>
      <c r="BE174" s="12"/>
      <c r="BF174" s="12"/>
    </row>
    <row r="175" ht="14.25" customHeight="1">
      <c r="A175" s="1"/>
      <c r="B175" s="1"/>
      <c r="C175" s="174"/>
      <c r="D175" s="175"/>
      <c r="E175" s="132"/>
      <c r="F175" s="59"/>
      <c r="G175" s="178"/>
      <c r="H175" s="59"/>
      <c r="I175" s="176"/>
      <c r="J175" s="42"/>
      <c r="K175" s="42"/>
      <c r="L175" s="59"/>
      <c r="M175" s="46"/>
      <c r="N175" s="42"/>
      <c r="O175" s="42"/>
      <c r="P175" s="43"/>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2"/>
      <c r="BE175" s="12"/>
      <c r="BF175" s="12"/>
    </row>
    <row r="176" ht="14.25" customHeight="1">
      <c r="A176" s="1"/>
      <c r="B176" s="1"/>
      <c r="C176" s="174"/>
      <c r="D176" s="175"/>
      <c r="E176" s="132"/>
      <c r="F176" s="59"/>
      <c r="G176" s="178"/>
      <c r="H176" s="59"/>
      <c r="I176" s="176"/>
      <c r="J176" s="42"/>
      <c r="K176" s="42"/>
      <c r="L176" s="59"/>
      <c r="M176" s="46"/>
      <c r="N176" s="42"/>
      <c r="O176" s="42"/>
      <c r="P176" s="43"/>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2"/>
      <c r="BE176" s="12"/>
      <c r="BF176" s="12"/>
    </row>
    <row r="177" ht="14.25" customHeight="1">
      <c r="A177" s="1"/>
      <c r="B177" s="1"/>
      <c r="C177" s="174"/>
      <c r="D177" s="175"/>
      <c r="E177" s="132"/>
      <c r="F177" s="59"/>
      <c r="G177" s="178"/>
      <c r="H177" s="59"/>
      <c r="I177" s="176"/>
      <c r="J177" s="42"/>
      <c r="K177" s="42"/>
      <c r="L177" s="59"/>
      <c r="M177" s="46"/>
      <c r="N177" s="42"/>
      <c r="O177" s="42"/>
      <c r="P177" s="43"/>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2"/>
      <c r="BE177" s="12"/>
      <c r="BF177" s="12"/>
    </row>
    <row r="178" ht="14.25" customHeight="1">
      <c r="A178" s="1"/>
      <c r="B178" s="1"/>
      <c r="C178" s="182"/>
      <c r="D178" s="183"/>
      <c r="E178" s="184"/>
      <c r="F178" s="65"/>
      <c r="G178" s="185"/>
      <c r="H178" s="65"/>
      <c r="I178" s="186"/>
      <c r="J178" s="64"/>
      <c r="K178" s="64"/>
      <c r="L178" s="65"/>
      <c r="M178" s="187"/>
      <c r="N178" s="64"/>
      <c r="O178" s="64"/>
      <c r="P178" s="67"/>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2"/>
      <c r="BE178" s="12"/>
      <c r="BF178" s="12"/>
    </row>
    <row r="179" ht="14.25" customHeight="1">
      <c r="A179" s="1"/>
      <c r="B179" s="1"/>
      <c r="C179" s="1"/>
      <c r="D179" s="1"/>
      <c r="E179" s="1"/>
      <c r="F179" s="75"/>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2"/>
      <c r="BF179" s="12"/>
    </row>
    <row r="180" ht="14.25" customHeight="1">
      <c r="A180" s="1"/>
      <c r="B180" s="5" t="s">
        <v>185</v>
      </c>
      <c r="C180" s="133" t="s">
        <v>186</v>
      </c>
      <c r="D180" s="1"/>
      <c r="E180" s="1"/>
      <c r="F180" s="75"/>
      <c r="G180" s="12"/>
      <c r="H180" s="1"/>
      <c r="I180" s="188"/>
      <c r="J180" s="1"/>
      <c r="K180" s="189"/>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ht="14.25" customHeight="1">
      <c r="A181" s="1"/>
      <c r="B181" s="50"/>
      <c r="C181" s="190"/>
      <c r="D181" s="190"/>
      <c r="E181" s="190"/>
      <c r="F181" s="190"/>
      <c r="G181" s="190"/>
      <c r="I181" s="191"/>
      <c r="L181" s="50"/>
      <c r="M181" s="50"/>
      <c r="N181" s="50"/>
      <c r="O181" s="50"/>
      <c r="P181" s="50"/>
      <c r="Q181" s="50"/>
      <c r="R181" s="50"/>
      <c r="S181" s="50"/>
      <c r="T181" s="50"/>
      <c r="U181" s="50"/>
      <c r="V181" s="50"/>
      <c r="W181" s="50"/>
      <c r="X181" s="50"/>
      <c r="Y181" s="50"/>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2"/>
      <c r="BF181" s="12"/>
    </row>
    <row r="182" ht="14.25" customHeight="1">
      <c r="A182" s="1"/>
      <c r="B182" s="50"/>
      <c r="C182" s="190" t="s">
        <v>187</v>
      </c>
      <c r="D182" s="170" t="s">
        <v>76</v>
      </c>
      <c r="E182" s="42"/>
      <c r="F182" s="42"/>
      <c r="G182" s="59"/>
      <c r="I182" s="192" t="s">
        <v>188</v>
      </c>
      <c r="L182" s="193"/>
      <c r="M182" s="193"/>
      <c r="N182" s="193"/>
      <c r="O182" s="193"/>
      <c r="P182" s="193"/>
      <c r="Q182" s="193"/>
      <c r="R182" s="193"/>
      <c r="S182" s="193"/>
      <c r="T182" s="193"/>
      <c r="U182" s="193"/>
      <c r="V182" s="50"/>
      <c r="W182" s="50"/>
      <c r="X182" s="50"/>
      <c r="Y182" s="50"/>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2"/>
      <c r="BF182" s="12"/>
    </row>
    <row r="183" ht="14.25" customHeight="1">
      <c r="A183" s="1"/>
      <c r="B183" s="50"/>
      <c r="C183" s="194" t="s">
        <v>189</v>
      </c>
      <c r="D183" s="178"/>
      <c r="E183" s="42"/>
      <c r="F183" s="42"/>
      <c r="G183" s="59"/>
      <c r="I183" s="195" t="s">
        <v>190</v>
      </c>
      <c r="L183" s="193"/>
      <c r="M183" s="193"/>
      <c r="N183" s="193"/>
      <c r="O183" s="193"/>
      <c r="P183" s="193"/>
      <c r="Q183" s="193"/>
      <c r="R183" s="193"/>
      <c r="S183" s="193"/>
      <c r="T183" s="193"/>
      <c r="U183" s="193"/>
      <c r="V183" s="193"/>
      <c r="W183" s="193"/>
      <c r="X183" s="193"/>
      <c r="Y183" s="50"/>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2"/>
      <c r="BF183" s="12"/>
    </row>
    <row r="184" ht="14.25" customHeight="1">
      <c r="A184" s="1"/>
      <c r="B184" s="14"/>
      <c r="C184" s="14"/>
      <c r="D184" s="14"/>
      <c r="E184" s="14"/>
      <c r="F184" s="196"/>
      <c r="G184" s="14"/>
      <c r="H184" s="14"/>
      <c r="I184" s="14"/>
      <c r="J184" s="14"/>
      <c r="K184" s="14"/>
      <c r="L184" s="14"/>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2"/>
      <c r="BF184" s="12"/>
    </row>
    <row r="185" ht="14.25" customHeight="1">
      <c r="A185" s="1"/>
      <c r="B185" s="1"/>
      <c r="C185" s="1"/>
      <c r="D185" s="1"/>
      <c r="E185" s="1"/>
      <c r="F185" s="75"/>
      <c r="G185" s="1"/>
      <c r="H185" s="1"/>
      <c r="I185" s="188"/>
      <c r="J185" s="1"/>
      <c r="K185" s="1"/>
      <c r="L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2"/>
      <c r="BF185" s="12"/>
    </row>
    <row r="186" ht="14.25" customHeight="1">
      <c r="A186" s="1"/>
      <c r="B186" s="82" t="s">
        <v>191</v>
      </c>
      <c r="C186" s="83" t="s">
        <v>192</v>
      </c>
      <c r="D186" s="84"/>
      <c r="E186" s="84"/>
      <c r="F186" s="1"/>
      <c r="G186" s="1"/>
      <c r="H186" s="1"/>
      <c r="I186" s="1"/>
      <c r="J186" s="1"/>
      <c r="K186" s="1"/>
      <c r="L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2"/>
      <c r="BF186" s="12"/>
    </row>
    <row r="187" ht="14.25" customHeight="1">
      <c r="A187" s="22"/>
      <c r="B187" s="197"/>
      <c r="C187" s="22"/>
      <c r="D187" s="75"/>
      <c r="E187" s="75"/>
      <c r="F187" s="75"/>
      <c r="G187" s="75"/>
      <c r="H187" s="75"/>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1"/>
      <c r="AT187" s="1"/>
      <c r="AU187" s="1"/>
      <c r="AV187" s="1"/>
      <c r="AW187" s="1"/>
      <c r="AX187" s="1"/>
      <c r="AY187" s="1"/>
      <c r="AZ187" s="1"/>
      <c r="BA187" s="22"/>
      <c r="BB187" s="22"/>
      <c r="BC187" s="22"/>
      <c r="BD187" s="22"/>
      <c r="BE187" s="12"/>
      <c r="BF187" s="12"/>
    </row>
    <row r="188" ht="14.25" customHeight="1">
      <c r="A188" s="22"/>
      <c r="B188" s="197"/>
      <c r="C188" s="22"/>
      <c r="D188" s="75"/>
      <c r="E188" s="75"/>
      <c r="F188" s="75"/>
      <c r="G188" s="75"/>
      <c r="H188" s="75"/>
      <c r="I188" s="22"/>
      <c r="J188" s="117"/>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1"/>
      <c r="AT188" s="1"/>
      <c r="AU188" s="1"/>
      <c r="AV188" s="1"/>
      <c r="AW188" s="1"/>
      <c r="AX188" s="1"/>
      <c r="AY188" s="1"/>
      <c r="AZ188" s="1"/>
      <c r="BA188" s="22"/>
      <c r="BB188" s="22"/>
      <c r="BC188" s="22"/>
      <c r="BD188" s="22"/>
      <c r="BE188" s="12"/>
      <c r="BF188" s="12"/>
    </row>
    <row r="189" ht="14.25" customHeight="1">
      <c r="A189" s="22"/>
      <c r="B189" s="92" t="s">
        <v>193</v>
      </c>
      <c r="C189" s="198" t="s">
        <v>192</v>
      </c>
      <c r="D189" s="75"/>
      <c r="E189" s="75"/>
      <c r="F189" s="75"/>
      <c r="G189" s="75"/>
      <c r="H189" s="75"/>
      <c r="I189" s="22"/>
      <c r="J189" s="117"/>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1"/>
      <c r="AT189" s="1"/>
      <c r="AU189" s="1"/>
      <c r="AV189" s="1"/>
      <c r="AW189" s="1"/>
      <c r="AX189" s="1"/>
      <c r="AY189" s="1"/>
      <c r="AZ189" s="1"/>
      <c r="BA189" s="22"/>
      <c r="BB189" s="22"/>
      <c r="BC189" s="22"/>
      <c r="BD189" s="22"/>
      <c r="BE189" s="12"/>
      <c r="BF189" s="12"/>
    </row>
    <row r="190" ht="14.25" customHeight="1">
      <c r="A190" s="22"/>
      <c r="B190" s="197"/>
      <c r="C190" s="22"/>
      <c r="D190" s="75"/>
      <c r="E190" s="75"/>
      <c r="F190" s="75"/>
      <c r="G190" s="75"/>
      <c r="H190" s="75"/>
      <c r="I190" s="22"/>
      <c r="J190" s="117"/>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1"/>
      <c r="AT190" s="1"/>
      <c r="AU190" s="1"/>
      <c r="AV190" s="1"/>
      <c r="AW190" s="1"/>
      <c r="AX190" s="1"/>
      <c r="AY190" s="1"/>
      <c r="AZ190" s="1"/>
      <c r="BA190" s="22"/>
      <c r="BB190" s="22"/>
      <c r="BC190" s="22"/>
      <c r="BD190" s="22"/>
      <c r="BE190" s="12"/>
      <c r="BF190" s="12"/>
    </row>
    <row r="191" ht="99.75" customHeight="1">
      <c r="A191" s="199"/>
      <c r="B191" s="199"/>
      <c r="C191" s="200" t="s">
        <v>194</v>
      </c>
      <c r="D191" s="201" t="s">
        <v>195</v>
      </c>
      <c r="E191" s="202" t="s">
        <v>196</v>
      </c>
      <c r="F191" s="127"/>
      <c r="G191" s="201" t="s">
        <v>197</v>
      </c>
      <c r="H191" s="200" t="s">
        <v>198</v>
      </c>
      <c r="I191" s="202" t="s">
        <v>199</v>
      </c>
      <c r="J191" s="203" t="s">
        <v>200</v>
      </c>
      <c r="K191" s="126"/>
      <c r="L191" s="127"/>
      <c r="M191" s="204" t="s">
        <v>201</v>
      </c>
      <c r="N191" s="205" t="s">
        <v>202</v>
      </c>
      <c r="O191" s="205" t="s">
        <v>203</v>
      </c>
      <c r="P191" s="206" t="s">
        <v>204</v>
      </c>
      <c r="Q191" s="126"/>
      <c r="R191" s="206" t="s">
        <v>205</v>
      </c>
      <c r="S191" s="126"/>
      <c r="T191" s="207" t="s">
        <v>206</v>
      </c>
      <c r="U191" s="202" t="s">
        <v>207</v>
      </c>
      <c r="V191" s="205" t="s">
        <v>208</v>
      </c>
      <c r="W191" s="205" t="s">
        <v>209</v>
      </c>
      <c r="X191" s="206" t="s">
        <v>204</v>
      </c>
      <c r="Y191" s="126"/>
      <c r="Z191" s="206" t="s">
        <v>205</v>
      </c>
      <c r="AA191" s="126"/>
      <c r="AB191" s="207" t="s">
        <v>206</v>
      </c>
      <c r="AC191" s="202" t="s">
        <v>210</v>
      </c>
      <c r="AD191" s="205" t="s">
        <v>211</v>
      </c>
      <c r="AE191" s="205" t="s">
        <v>212</v>
      </c>
      <c r="AF191" s="205" t="s">
        <v>213</v>
      </c>
      <c r="AG191" s="206" t="s">
        <v>204</v>
      </c>
      <c r="AH191" s="126"/>
      <c r="AI191" s="206" t="s">
        <v>205</v>
      </c>
      <c r="AJ191" s="126"/>
      <c r="AK191" s="207" t="s">
        <v>206</v>
      </c>
      <c r="AX191" s="1"/>
      <c r="AY191" s="208"/>
      <c r="AZ191" s="1"/>
      <c r="BA191" s="1"/>
      <c r="BB191" s="1"/>
      <c r="BC191" s="1"/>
      <c r="BD191" s="1"/>
      <c r="BE191" s="12"/>
      <c r="BF191" s="199"/>
    </row>
    <row r="192" ht="14.25" customHeight="1">
      <c r="A192" s="199"/>
      <c r="B192" s="199"/>
      <c r="C192" s="209"/>
      <c r="D192" s="208"/>
      <c r="E192" s="210" t="s">
        <v>214</v>
      </c>
      <c r="F192" s="155"/>
      <c r="G192" s="211"/>
      <c r="H192" s="208"/>
      <c r="I192" s="212"/>
      <c r="J192" s="213" t="s">
        <v>215</v>
      </c>
      <c r="K192" s="214" t="s">
        <v>216</v>
      </c>
      <c r="L192" s="155"/>
      <c r="M192" s="208"/>
      <c r="N192" s="208"/>
      <c r="O192" s="208"/>
      <c r="P192" s="215" t="s">
        <v>168</v>
      </c>
      <c r="Q192" s="215" t="s">
        <v>217</v>
      </c>
      <c r="R192" s="215" t="s">
        <v>168</v>
      </c>
      <c r="S192" s="215" t="s">
        <v>217</v>
      </c>
      <c r="T192" s="216" t="s">
        <v>218</v>
      </c>
      <c r="U192" s="212"/>
      <c r="V192" s="208"/>
      <c r="W192" s="208"/>
      <c r="X192" s="215" t="s">
        <v>168</v>
      </c>
      <c r="Y192" s="215" t="s">
        <v>217</v>
      </c>
      <c r="Z192" s="215" t="s">
        <v>168</v>
      </c>
      <c r="AA192" s="215" t="s">
        <v>217</v>
      </c>
      <c r="AB192" s="216" t="s">
        <v>218</v>
      </c>
      <c r="AC192" s="208"/>
      <c r="AD192" s="208"/>
      <c r="AE192" s="208"/>
      <c r="AF192" s="208"/>
      <c r="AG192" s="215" t="s">
        <v>168</v>
      </c>
      <c r="AH192" s="215" t="s">
        <v>217</v>
      </c>
      <c r="AI192" s="215" t="s">
        <v>168</v>
      </c>
      <c r="AJ192" s="215" t="s">
        <v>217</v>
      </c>
      <c r="AK192" s="215" t="s">
        <v>218</v>
      </c>
      <c r="AX192" s="1"/>
      <c r="AY192" s="208"/>
      <c r="AZ192" s="1"/>
      <c r="BA192" s="1"/>
      <c r="BB192" s="1"/>
      <c r="BC192" s="1"/>
      <c r="BD192" s="1"/>
      <c r="BE192" s="12"/>
      <c r="BF192" s="199"/>
    </row>
    <row r="193" ht="14.25" customHeight="1">
      <c r="A193" s="199"/>
      <c r="B193" s="199"/>
      <c r="C193" s="209"/>
      <c r="D193" s="208"/>
      <c r="E193" s="217"/>
      <c r="F193" s="155"/>
      <c r="G193" s="218"/>
      <c r="H193" s="208"/>
      <c r="I193" s="212"/>
      <c r="J193" s="219"/>
      <c r="K193" s="220" t="s">
        <v>219</v>
      </c>
      <c r="L193" s="221" t="s">
        <v>220</v>
      </c>
      <c r="M193" s="208"/>
      <c r="N193" s="208"/>
      <c r="O193" s="208"/>
      <c r="P193" s="208"/>
      <c r="Q193" s="208"/>
      <c r="R193" s="208"/>
      <c r="S193" s="208"/>
      <c r="T193" s="218"/>
      <c r="U193" s="212"/>
      <c r="V193" s="208"/>
      <c r="W193" s="208"/>
      <c r="X193" s="208"/>
      <c r="Y193" s="208"/>
      <c r="Z193" s="208"/>
      <c r="AA193" s="208"/>
      <c r="AB193" s="218"/>
      <c r="AC193" s="208"/>
      <c r="AD193" s="208"/>
      <c r="AE193" s="208"/>
      <c r="AF193" s="208"/>
      <c r="AG193" s="208"/>
      <c r="AH193" s="208"/>
      <c r="AI193" s="208"/>
      <c r="AJ193" s="208"/>
      <c r="AK193" s="208"/>
      <c r="AX193" s="1"/>
      <c r="AY193" s="208"/>
      <c r="AZ193" s="1"/>
      <c r="BA193" s="1"/>
      <c r="BB193" s="1"/>
      <c r="BC193" s="1"/>
      <c r="BD193" s="1"/>
      <c r="BE193" s="12"/>
      <c r="BF193" s="199"/>
    </row>
    <row r="194" ht="14.25" customHeight="1">
      <c r="A194" s="199"/>
      <c r="B194" s="199"/>
      <c r="C194" s="209"/>
      <c r="D194" s="208"/>
      <c r="E194" s="217"/>
      <c r="F194" s="155"/>
      <c r="G194" s="218"/>
      <c r="H194" s="208"/>
      <c r="I194" s="212"/>
      <c r="J194" s="219"/>
      <c r="K194" s="220"/>
      <c r="L194" s="221"/>
      <c r="M194" s="208"/>
      <c r="N194" s="208"/>
      <c r="O194" s="208"/>
      <c r="P194" s="208"/>
      <c r="Q194" s="208"/>
      <c r="R194" s="208"/>
      <c r="S194" s="208"/>
      <c r="T194" s="218"/>
      <c r="U194" s="212"/>
      <c r="V194" s="208"/>
      <c r="W194" s="208"/>
      <c r="X194" s="208"/>
      <c r="Y194" s="208"/>
      <c r="Z194" s="208"/>
      <c r="AA194" s="208"/>
      <c r="AB194" s="218"/>
      <c r="AC194" s="208"/>
      <c r="AD194" s="208"/>
      <c r="AE194" s="208"/>
      <c r="AF194" s="208"/>
      <c r="AG194" s="208"/>
      <c r="AH194" s="208"/>
      <c r="AI194" s="208"/>
      <c r="AJ194" s="208"/>
      <c r="AK194" s="208"/>
      <c r="AX194" s="1"/>
      <c r="AY194" s="208"/>
      <c r="AZ194" s="1"/>
      <c r="BA194" s="1"/>
      <c r="BB194" s="1"/>
      <c r="BC194" s="1"/>
      <c r="BD194" s="1"/>
      <c r="BE194" s="12"/>
      <c r="BF194" s="199"/>
    </row>
    <row r="195" ht="14.25" customHeight="1">
      <c r="A195" s="199"/>
      <c r="B195" s="199"/>
      <c r="C195" s="222"/>
      <c r="D195" s="209"/>
      <c r="E195" s="128"/>
      <c r="F195" s="130"/>
      <c r="G195" s="222"/>
      <c r="H195" s="209"/>
      <c r="I195" s="223"/>
      <c r="J195" s="224"/>
      <c r="K195" s="225"/>
      <c r="L195" s="226"/>
      <c r="M195" s="227"/>
      <c r="N195" s="227"/>
      <c r="O195" s="227"/>
      <c r="P195" s="227"/>
      <c r="Q195" s="227"/>
      <c r="R195" s="227"/>
      <c r="S195" s="227"/>
      <c r="T195" s="228"/>
      <c r="U195" s="223"/>
      <c r="V195" s="227"/>
      <c r="W195" s="227"/>
      <c r="X195" s="227"/>
      <c r="Y195" s="227"/>
      <c r="Z195" s="227"/>
      <c r="AA195" s="227"/>
      <c r="AB195" s="228"/>
      <c r="AC195" s="212"/>
      <c r="AD195" s="208"/>
      <c r="AE195" s="227"/>
      <c r="AF195" s="227"/>
      <c r="AG195" s="227"/>
      <c r="AH195" s="227"/>
      <c r="AI195" s="227"/>
      <c r="AJ195" s="227"/>
      <c r="AK195" s="227"/>
      <c r="AX195" s="1"/>
      <c r="AY195" s="208"/>
      <c r="AZ195" s="1"/>
      <c r="BA195" s="1"/>
      <c r="BB195" s="1"/>
      <c r="BC195" s="1"/>
      <c r="BD195" s="1"/>
      <c r="BE195" s="12"/>
      <c r="BF195" s="199"/>
    </row>
    <row r="196" ht="14.25" customHeight="1">
      <c r="A196" s="199"/>
      <c r="B196" s="199"/>
      <c r="C196" s="202"/>
      <c r="D196" s="200"/>
      <c r="E196" s="202"/>
      <c r="F196" s="229"/>
      <c r="G196" s="200"/>
      <c r="H196" s="200"/>
      <c r="I196" s="209"/>
      <c r="J196" s="230"/>
      <c r="K196" s="143"/>
      <c r="L196" s="231"/>
      <c r="M196" s="202"/>
      <c r="N196" s="205"/>
      <c r="O196" s="205"/>
      <c r="P196" s="205"/>
      <c r="Q196" s="205"/>
      <c r="R196" s="205"/>
      <c r="S196" s="205"/>
      <c r="T196" s="229"/>
      <c r="U196" s="212"/>
      <c r="V196" s="208"/>
      <c r="W196" s="208"/>
      <c r="X196" s="208"/>
      <c r="Y196" s="208"/>
      <c r="Z196" s="208"/>
      <c r="AA196" s="208"/>
      <c r="AB196" s="218"/>
      <c r="AC196" s="202"/>
      <c r="AD196" s="205"/>
      <c r="AE196" s="205"/>
      <c r="AF196" s="208"/>
      <c r="AG196" s="208"/>
      <c r="AH196" s="208"/>
      <c r="AI196" s="208"/>
      <c r="AJ196" s="208"/>
      <c r="AK196" s="208"/>
      <c r="AX196" s="1"/>
      <c r="AY196" s="208"/>
      <c r="AZ196" s="1"/>
      <c r="BA196" s="1"/>
      <c r="BB196" s="1"/>
      <c r="BC196" s="1"/>
      <c r="BD196" s="1"/>
      <c r="BE196" s="12"/>
      <c r="BF196" s="199"/>
    </row>
    <row r="197" ht="14.25" customHeight="1">
      <c r="A197" s="91"/>
      <c r="B197" s="91"/>
      <c r="C197" s="232" t="s">
        <v>221</v>
      </c>
      <c r="D197" s="233" t="s">
        <v>222</v>
      </c>
      <c r="E197" s="232" t="s">
        <v>223</v>
      </c>
      <c r="F197" s="155"/>
      <c r="G197" s="233">
        <v>65.0</v>
      </c>
      <c r="H197" s="233" t="s">
        <v>224</v>
      </c>
      <c r="I197" s="233" t="s">
        <v>225</v>
      </c>
      <c r="J197" s="234" t="s">
        <v>215</v>
      </c>
      <c r="K197" s="235">
        <v>1345.0</v>
      </c>
      <c r="L197" s="236">
        <v>1267.0</v>
      </c>
      <c r="M197" s="232">
        <v>46729.0</v>
      </c>
      <c r="N197" s="237"/>
      <c r="O197" s="237">
        <v>10.0</v>
      </c>
      <c r="P197" s="237" t="s">
        <v>226</v>
      </c>
      <c r="Q197" s="237" t="s">
        <v>227</v>
      </c>
      <c r="R197" s="237" t="s">
        <v>226</v>
      </c>
      <c r="S197" s="237" t="s">
        <v>227</v>
      </c>
      <c r="T197" s="238" t="s">
        <v>228</v>
      </c>
      <c r="U197" s="232">
        <v>47416.0</v>
      </c>
      <c r="V197" s="237"/>
      <c r="W197" s="237">
        <v>10.0</v>
      </c>
      <c r="X197" s="237" t="s">
        <v>226</v>
      </c>
      <c r="Y197" s="237" t="s">
        <v>227</v>
      </c>
      <c r="Z197" s="237" t="s">
        <v>226</v>
      </c>
      <c r="AA197" s="237" t="s">
        <v>227</v>
      </c>
      <c r="AB197" s="238" t="s">
        <v>228</v>
      </c>
      <c r="AC197" s="232">
        <v>47418.0</v>
      </c>
      <c r="AD197" s="237"/>
      <c r="AE197" s="237">
        <v>10.0</v>
      </c>
      <c r="AF197" s="237">
        <v>20.0</v>
      </c>
      <c r="AG197" s="237" t="s">
        <v>226</v>
      </c>
      <c r="AH197" s="237" t="s">
        <v>227</v>
      </c>
      <c r="AI197" s="237" t="s">
        <v>226</v>
      </c>
      <c r="AJ197" s="237" t="s">
        <v>227</v>
      </c>
      <c r="AK197" s="238" t="s">
        <v>228</v>
      </c>
      <c r="AX197" s="1"/>
      <c r="AY197" s="239"/>
      <c r="AZ197" s="240"/>
      <c r="BA197" s="240"/>
      <c r="BB197" s="240"/>
      <c r="BC197" s="240"/>
      <c r="BD197" s="240"/>
      <c r="BE197" s="91"/>
      <c r="BF197" s="91"/>
    </row>
    <row r="198" ht="14.25" customHeight="1">
      <c r="A198" s="22"/>
      <c r="B198" s="22"/>
      <c r="C198" s="241"/>
      <c r="D198" s="242"/>
      <c r="E198" s="241"/>
      <c r="F198" s="211"/>
      <c r="G198" s="242"/>
      <c r="H198" s="242"/>
      <c r="I198" s="242"/>
      <c r="J198" s="230"/>
      <c r="K198" s="143"/>
      <c r="L198" s="231"/>
      <c r="M198" s="241"/>
      <c r="N198" s="243"/>
      <c r="O198" s="243"/>
      <c r="P198" s="243"/>
      <c r="Q198" s="243"/>
      <c r="R198" s="243"/>
      <c r="S198" s="243"/>
      <c r="T198" s="244"/>
      <c r="U198" s="245"/>
      <c r="V198" s="124"/>
      <c r="W198" s="124"/>
      <c r="X198" s="124"/>
      <c r="Y198" s="124"/>
      <c r="Z198" s="124"/>
      <c r="AA198" s="124"/>
      <c r="AB198" s="244"/>
      <c r="AC198" s="241"/>
      <c r="AD198" s="243"/>
      <c r="AE198" s="243"/>
      <c r="AF198" s="243"/>
      <c r="AG198" s="243"/>
      <c r="AH198" s="243"/>
      <c r="AI198" s="243"/>
      <c r="AJ198" s="243"/>
      <c r="AK198" s="244"/>
      <c r="AX198" s="1"/>
      <c r="AY198" s="239"/>
      <c r="AZ198" s="1"/>
      <c r="BA198" s="1"/>
      <c r="BB198" s="1"/>
      <c r="BC198" s="1"/>
      <c r="BD198" s="1"/>
      <c r="BE198" s="12"/>
      <c r="BF198" s="22"/>
    </row>
    <row r="199" ht="14.25" customHeight="1">
      <c r="A199" s="22"/>
      <c r="B199" s="22"/>
      <c r="C199" s="241"/>
      <c r="D199" s="242"/>
      <c r="E199" s="241"/>
      <c r="F199" s="211"/>
      <c r="G199" s="242"/>
      <c r="H199" s="242"/>
      <c r="I199" s="242"/>
      <c r="J199" s="230"/>
      <c r="K199" s="143"/>
      <c r="L199" s="231"/>
      <c r="M199" s="241"/>
      <c r="N199" s="243"/>
      <c r="O199" s="243"/>
      <c r="P199" s="243"/>
      <c r="Q199" s="243"/>
      <c r="R199" s="243"/>
      <c r="S199" s="243"/>
      <c r="T199" s="244"/>
      <c r="U199" s="245"/>
      <c r="V199" s="124"/>
      <c r="W199" s="124"/>
      <c r="X199" s="124"/>
      <c r="Y199" s="124"/>
      <c r="Z199" s="124"/>
      <c r="AA199" s="124"/>
      <c r="AB199" s="244"/>
      <c r="AC199" s="241"/>
      <c r="AD199" s="243"/>
      <c r="AE199" s="243"/>
      <c r="AF199" s="243"/>
      <c r="AG199" s="243"/>
      <c r="AH199" s="243"/>
      <c r="AI199" s="243"/>
      <c r="AJ199" s="243"/>
      <c r="AK199" s="244"/>
      <c r="AX199" s="1"/>
      <c r="AY199" s="239"/>
      <c r="AZ199" s="1"/>
      <c r="BA199" s="1"/>
      <c r="BB199" s="1"/>
      <c r="BC199" s="1"/>
      <c r="BD199" s="1"/>
      <c r="BE199" s="12"/>
      <c r="BF199" s="22"/>
    </row>
    <row r="200" ht="14.25" customHeight="1">
      <c r="A200" s="22"/>
      <c r="B200" s="22"/>
      <c r="C200" s="241"/>
      <c r="D200" s="242"/>
      <c r="E200" s="241"/>
      <c r="F200" s="211"/>
      <c r="G200" s="242"/>
      <c r="H200" s="242"/>
      <c r="I200" s="242"/>
      <c r="J200" s="230"/>
      <c r="K200" s="143"/>
      <c r="L200" s="231"/>
      <c r="M200" s="241"/>
      <c r="N200" s="243"/>
      <c r="O200" s="243"/>
      <c r="P200" s="243"/>
      <c r="Q200" s="243"/>
      <c r="R200" s="243"/>
      <c r="S200" s="243"/>
      <c r="T200" s="244"/>
      <c r="U200" s="245"/>
      <c r="V200" s="124"/>
      <c r="W200" s="124"/>
      <c r="X200" s="124"/>
      <c r="Y200" s="124"/>
      <c r="Z200" s="124"/>
      <c r="AA200" s="124"/>
      <c r="AB200" s="244"/>
      <c r="AC200" s="241"/>
      <c r="AD200" s="243"/>
      <c r="AE200" s="243"/>
      <c r="AF200" s="243"/>
      <c r="AG200" s="243"/>
      <c r="AH200" s="243"/>
      <c r="AI200" s="243"/>
      <c r="AJ200" s="243"/>
      <c r="AK200" s="244"/>
      <c r="AX200" s="1"/>
      <c r="AY200" s="239"/>
      <c r="AZ200" s="1"/>
      <c r="BA200" s="1"/>
      <c r="BB200" s="1"/>
      <c r="BC200" s="1"/>
      <c r="BD200" s="1"/>
      <c r="BE200" s="12"/>
      <c r="BF200" s="22"/>
    </row>
    <row r="201" ht="14.25" customHeight="1">
      <c r="A201" s="22"/>
      <c r="B201" s="22"/>
      <c r="C201" s="246"/>
      <c r="D201" s="247"/>
      <c r="E201" s="246"/>
      <c r="F201" s="248"/>
      <c r="G201" s="247"/>
      <c r="H201" s="247"/>
      <c r="I201" s="247"/>
      <c r="J201" s="230"/>
      <c r="K201" s="143"/>
      <c r="L201" s="231"/>
      <c r="M201" s="246"/>
      <c r="N201" s="249"/>
      <c r="O201" s="249"/>
      <c r="P201" s="249"/>
      <c r="Q201" s="249"/>
      <c r="R201" s="249"/>
      <c r="S201" s="249"/>
      <c r="T201" s="244"/>
      <c r="U201" s="250"/>
      <c r="V201" s="251"/>
      <c r="W201" s="251"/>
      <c r="X201" s="251"/>
      <c r="Y201" s="251"/>
      <c r="Z201" s="251"/>
      <c r="AA201" s="251"/>
      <c r="AB201" s="244"/>
      <c r="AC201" s="246"/>
      <c r="AD201" s="249"/>
      <c r="AE201" s="249"/>
      <c r="AF201" s="249"/>
      <c r="AG201" s="249"/>
      <c r="AH201" s="249"/>
      <c r="AI201" s="249"/>
      <c r="AJ201" s="249"/>
      <c r="AK201" s="252"/>
      <c r="AX201" s="1"/>
      <c r="AY201" s="253"/>
      <c r="AZ201" s="1"/>
      <c r="BA201" s="1"/>
      <c r="BB201" s="1"/>
      <c r="BC201" s="1"/>
      <c r="BD201" s="1"/>
      <c r="BE201" s="12"/>
      <c r="BF201" s="22"/>
    </row>
    <row r="202" ht="14.25" customHeight="1">
      <c r="A202" s="1"/>
      <c r="B202" s="1"/>
      <c r="C202" s="254">
        <v>1.0</v>
      </c>
      <c r="D202" s="255"/>
      <c r="E202" s="256"/>
      <c r="F202" s="59"/>
      <c r="G202" s="257"/>
      <c r="H202" s="255"/>
      <c r="I202" s="255"/>
      <c r="J202" s="88" t="s">
        <v>76</v>
      </c>
      <c r="K202" s="258"/>
      <c r="L202" s="259"/>
      <c r="M202" s="260"/>
      <c r="N202" s="261"/>
      <c r="O202" s="261"/>
      <c r="P202" s="261"/>
      <c r="Q202" s="261"/>
      <c r="R202" s="261"/>
      <c r="S202" s="261"/>
      <c r="T202" s="262">
        <f t="shared" ref="T202:T237" si="1">R202-P202</f>
        <v>0</v>
      </c>
      <c r="U202" s="260"/>
      <c r="V202" s="261"/>
      <c r="W202" s="261"/>
      <c r="X202" s="261"/>
      <c r="Y202" s="261"/>
      <c r="Z202" s="261"/>
      <c r="AA202" s="261"/>
      <c r="AB202" s="262">
        <f t="shared" ref="AB202:AB238" si="2">Z202-X202</f>
        <v>0</v>
      </c>
      <c r="AC202" s="263"/>
      <c r="AD202" s="264"/>
      <c r="AE202" s="264"/>
      <c r="AF202" s="264"/>
      <c r="AG202" s="264"/>
      <c r="AH202" s="264"/>
      <c r="AI202" s="264"/>
      <c r="AJ202" s="264"/>
      <c r="AK202" s="262">
        <f t="shared" ref="AK202:AK238" si="3">AI202-AG202</f>
        <v>0</v>
      </c>
      <c r="AX202" s="1"/>
      <c r="AY202" s="253"/>
      <c r="AZ202" s="1"/>
      <c r="BA202" s="1"/>
      <c r="BB202" s="1"/>
      <c r="BC202" s="1"/>
      <c r="BD202" s="1"/>
      <c r="BE202" s="12"/>
      <c r="BF202" s="1"/>
    </row>
    <row r="203" ht="14.25" customHeight="1">
      <c r="A203" s="1"/>
      <c r="B203" s="1"/>
      <c r="C203" s="256">
        <v>2.0</v>
      </c>
      <c r="D203" s="265"/>
      <c r="E203" s="254"/>
      <c r="F203" s="59"/>
      <c r="G203" s="266"/>
      <c r="H203" s="265"/>
      <c r="I203" s="265"/>
      <c r="J203" s="88" t="s">
        <v>76</v>
      </c>
      <c r="K203" s="258"/>
      <c r="L203" s="259"/>
      <c r="M203" s="181"/>
      <c r="N203" s="134"/>
      <c r="O203" s="134"/>
      <c r="P203" s="267"/>
      <c r="Q203" s="268"/>
      <c r="R203" s="267"/>
      <c r="S203" s="268"/>
      <c r="T203" s="262">
        <f t="shared" si="1"/>
        <v>0</v>
      </c>
      <c r="U203" s="181"/>
      <c r="V203" s="134"/>
      <c r="W203" s="134"/>
      <c r="X203" s="269"/>
      <c r="Y203" s="268"/>
      <c r="Z203" s="269"/>
      <c r="AA203" s="268"/>
      <c r="AB203" s="262">
        <f t="shared" si="2"/>
        <v>0</v>
      </c>
      <c r="AC203" s="181"/>
      <c r="AD203" s="134"/>
      <c r="AE203" s="134"/>
      <c r="AF203" s="270"/>
      <c r="AG203" s="269"/>
      <c r="AH203" s="268"/>
      <c r="AI203" s="269"/>
      <c r="AJ203" s="268"/>
      <c r="AK203" s="262">
        <f t="shared" si="3"/>
        <v>0</v>
      </c>
      <c r="AX203" s="1"/>
      <c r="AY203" s="253"/>
      <c r="AZ203" s="1"/>
      <c r="BA203" s="1"/>
      <c r="BB203" s="1"/>
      <c r="BC203" s="1"/>
      <c r="BD203" s="1"/>
      <c r="BE203" s="12"/>
      <c r="BF203" s="1"/>
    </row>
    <row r="204" ht="14.25" customHeight="1">
      <c r="A204" s="1"/>
      <c r="B204" s="1"/>
      <c r="C204" s="256" t="s">
        <v>229</v>
      </c>
      <c r="D204" s="265"/>
      <c r="E204" s="254"/>
      <c r="F204" s="59"/>
      <c r="G204" s="265"/>
      <c r="H204" s="265"/>
      <c r="I204" s="265"/>
      <c r="J204" s="88" t="s">
        <v>76</v>
      </c>
      <c r="K204" s="132"/>
      <c r="L204" s="262"/>
      <c r="M204" s="181"/>
      <c r="N204" s="134"/>
      <c r="O204" s="134"/>
      <c r="P204" s="269"/>
      <c r="Q204" s="268"/>
      <c r="R204" s="269"/>
      <c r="S204" s="268"/>
      <c r="T204" s="262">
        <f t="shared" si="1"/>
        <v>0</v>
      </c>
      <c r="U204" s="181"/>
      <c r="V204" s="134"/>
      <c r="W204" s="134"/>
      <c r="X204" s="269"/>
      <c r="Y204" s="268"/>
      <c r="Z204" s="269"/>
      <c r="AA204" s="268"/>
      <c r="AB204" s="262">
        <f t="shared" si="2"/>
        <v>0</v>
      </c>
      <c r="AC204" s="181"/>
      <c r="AD204" s="134"/>
      <c r="AE204" s="134"/>
      <c r="AF204" s="270"/>
      <c r="AG204" s="269"/>
      <c r="AH204" s="268"/>
      <c r="AI204" s="269"/>
      <c r="AJ204" s="268"/>
      <c r="AK204" s="262">
        <f t="shared" si="3"/>
        <v>0</v>
      </c>
      <c r="AX204" s="1"/>
      <c r="AY204" s="253"/>
      <c r="AZ204" s="1"/>
      <c r="BA204" s="1"/>
      <c r="BB204" s="1"/>
      <c r="BC204" s="1"/>
      <c r="BD204" s="1"/>
      <c r="BE204" s="12"/>
      <c r="BF204" s="1"/>
    </row>
    <row r="205" ht="14.25" customHeight="1">
      <c r="A205" s="1"/>
      <c r="B205" s="1"/>
      <c r="C205" s="256" t="s">
        <v>229</v>
      </c>
      <c r="D205" s="265"/>
      <c r="E205" s="254"/>
      <c r="F205" s="59"/>
      <c r="G205" s="266"/>
      <c r="H205" s="265"/>
      <c r="I205" s="265"/>
      <c r="J205" s="88" t="s">
        <v>76</v>
      </c>
      <c r="K205" s="132"/>
      <c r="L205" s="262"/>
      <c r="M205" s="181"/>
      <c r="N205" s="134"/>
      <c r="O205" s="134"/>
      <c r="P205" s="269"/>
      <c r="Q205" s="268"/>
      <c r="R205" s="269"/>
      <c r="S205" s="268"/>
      <c r="T205" s="262">
        <f t="shared" si="1"/>
        <v>0</v>
      </c>
      <c r="U205" s="181"/>
      <c r="V205" s="134"/>
      <c r="W205" s="134"/>
      <c r="X205" s="269"/>
      <c r="Y205" s="268"/>
      <c r="Z205" s="269"/>
      <c r="AA205" s="268"/>
      <c r="AB205" s="262">
        <f t="shared" si="2"/>
        <v>0</v>
      </c>
      <c r="AC205" s="181"/>
      <c r="AD205" s="134"/>
      <c r="AE205" s="134"/>
      <c r="AF205" s="270"/>
      <c r="AG205" s="269"/>
      <c r="AH205" s="268"/>
      <c r="AI205" s="269"/>
      <c r="AJ205" s="268"/>
      <c r="AK205" s="262">
        <f t="shared" si="3"/>
        <v>0</v>
      </c>
      <c r="AX205" s="1"/>
      <c r="AY205" s="253"/>
      <c r="AZ205" s="1"/>
      <c r="BA205" s="1"/>
      <c r="BB205" s="1"/>
      <c r="BC205" s="1"/>
      <c r="BD205" s="1"/>
      <c r="BE205" s="12"/>
      <c r="BF205" s="1"/>
    </row>
    <row r="206" ht="14.25" customHeight="1">
      <c r="A206" s="1"/>
      <c r="B206" s="1"/>
      <c r="C206" s="256" t="s">
        <v>229</v>
      </c>
      <c r="D206" s="265"/>
      <c r="E206" s="254"/>
      <c r="F206" s="59"/>
      <c r="G206" s="265"/>
      <c r="H206" s="265"/>
      <c r="I206" s="265"/>
      <c r="J206" s="88" t="s">
        <v>76</v>
      </c>
      <c r="K206" s="132"/>
      <c r="L206" s="262"/>
      <c r="M206" s="181"/>
      <c r="N206" s="134"/>
      <c r="O206" s="134"/>
      <c r="P206" s="269"/>
      <c r="Q206" s="268"/>
      <c r="R206" s="269"/>
      <c r="S206" s="268"/>
      <c r="T206" s="262">
        <f t="shared" si="1"/>
        <v>0</v>
      </c>
      <c r="U206" s="181"/>
      <c r="V206" s="134"/>
      <c r="W206" s="134"/>
      <c r="X206" s="269"/>
      <c r="Y206" s="268"/>
      <c r="Z206" s="269"/>
      <c r="AA206" s="268"/>
      <c r="AB206" s="262">
        <f t="shared" si="2"/>
        <v>0</v>
      </c>
      <c r="AC206" s="181"/>
      <c r="AD206" s="134"/>
      <c r="AE206" s="134"/>
      <c r="AF206" s="270"/>
      <c r="AG206" s="269"/>
      <c r="AH206" s="268"/>
      <c r="AI206" s="269"/>
      <c r="AJ206" s="268"/>
      <c r="AK206" s="262">
        <f t="shared" si="3"/>
        <v>0</v>
      </c>
      <c r="AX206" s="1"/>
      <c r="AY206" s="253"/>
      <c r="AZ206" s="1"/>
      <c r="BA206" s="1"/>
      <c r="BB206" s="1"/>
      <c r="BC206" s="1"/>
      <c r="BD206" s="1"/>
      <c r="BE206" s="12"/>
      <c r="BF206" s="1"/>
    </row>
    <row r="207" ht="14.25" customHeight="1">
      <c r="A207" s="1"/>
      <c r="B207" s="1"/>
      <c r="C207" s="256" t="s">
        <v>229</v>
      </c>
      <c r="D207" s="265"/>
      <c r="E207" s="254"/>
      <c r="F207" s="59"/>
      <c r="G207" s="265"/>
      <c r="H207" s="265"/>
      <c r="I207" s="265"/>
      <c r="J207" s="88" t="s">
        <v>76</v>
      </c>
      <c r="K207" s="132"/>
      <c r="L207" s="262"/>
      <c r="M207" s="181"/>
      <c r="N207" s="134"/>
      <c r="O207" s="134"/>
      <c r="P207" s="269"/>
      <c r="Q207" s="268"/>
      <c r="R207" s="269"/>
      <c r="S207" s="268"/>
      <c r="T207" s="262">
        <f t="shared" si="1"/>
        <v>0</v>
      </c>
      <c r="U207" s="181"/>
      <c r="V207" s="134"/>
      <c r="W207" s="134"/>
      <c r="X207" s="269"/>
      <c r="Y207" s="268"/>
      <c r="Z207" s="269"/>
      <c r="AA207" s="268"/>
      <c r="AB207" s="262">
        <f t="shared" si="2"/>
        <v>0</v>
      </c>
      <c r="AC207" s="181"/>
      <c r="AD207" s="134"/>
      <c r="AE207" s="134"/>
      <c r="AF207" s="270"/>
      <c r="AG207" s="269"/>
      <c r="AH207" s="268"/>
      <c r="AI207" s="269"/>
      <c r="AJ207" s="268"/>
      <c r="AK207" s="262">
        <f t="shared" si="3"/>
        <v>0</v>
      </c>
      <c r="AX207" s="1"/>
      <c r="AY207" s="253"/>
      <c r="AZ207" s="1"/>
      <c r="BA207" s="1"/>
      <c r="BB207" s="1"/>
      <c r="BC207" s="1"/>
      <c r="BD207" s="1"/>
      <c r="BE207" s="12"/>
      <c r="BF207" s="1"/>
    </row>
    <row r="208" ht="14.25" customHeight="1">
      <c r="A208" s="1"/>
      <c r="B208" s="1"/>
      <c r="C208" s="256" t="s">
        <v>229</v>
      </c>
      <c r="D208" s="265"/>
      <c r="E208" s="254"/>
      <c r="F208" s="59"/>
      <c r="G208" s="265"/>
      <c r="H208" s="265"/>
      <c r="I208" s="265"/>
      <c r="J208" s="88" t="s">
        <v>76</v>
      </c>
      <c r="K208" s="132"/>
      <c r="L208" s="262"/>
      <c r="M208" s="181"/>
      <c r="N208" s="134"/>
      <c r="O208" s="134"/>
      <c r="P208" s="269"/>
      <c r="Q208" s="268"/>
      <c r="R208" s="269"/>
      <c r="S208" s="268"/>
      <c r="T208" s="262">
        <f t="shared" si="1"/>
        <v>0</v>
      </c>
      <c r="U208" s="181"/>
      <c r="V208" s="134"/>
      <c r="W208" s="134"/>
      <c r="X208" s="269"/>
      <c r="Y208" s="268"/>
      <c r="Z208" s="269"/>
      <c r="AA208" s="268"/>
      <c r="AB208" s="262">
        <f t="shared" si="2"/>
        <v>0</v>
      </c>
      <c r="AC208" s="181"/>
      <c r="AD208" s="134"/>
      <c r="AE208" s="134"/>
      <c r="AF208" s="270"/>
      <c r="AG208" s="269"/>
      <c r="AH208" s="268"/>
      <c r="AI208" s="269"/>
      <c r="AJ208" s="268"/>
      <c r="AK208" s="262">
        <f t="shared" si="3"/>
        <v>0</v>
      </c>
      <c r="AX208" s="1"/>
      <c r="AY208" s="253"/>
      <c r="AZ208" s="1"/>
      <c r="BA208" s="1"/>
      <c r="BB208" s="1"/>
      <c r="BC208" s="1"/>
      <c r="BD208" s="1"/>
      <c r="BE208" s="12"/>
      <c r="BF208" s="1"/>
    </row>
    <row r="209" ht="14.25" customHeight="1">
      <c r="A209" s="1"/>
      <c r="B209" s="1"/>
      <c r="C209" s="256" t="s">
        <v>229</v>
      </c>
      <c r="D209" s="265"/>
      <c r="E209" s="254"/>
      <c r="F209" s="59"/>
      <c r="G209" s="265"/>
      <c r="H209" s="265"/>
      <c r="I209" s="265"/>
      <c r="J209" s="88" t="s">
        <v>76</v>
      </c>
      <c r="K209" s="132"/>
      <c r="L209" s="262"/>
      <c r="M209" s="181"/>
      <c r="N209" s="134"/>
      <c r="O209" s="134"/>
      <c r="P209" s="269"/>
      <c r="Q209" s="268"/>
      <c r="R209" s="269"/>
      <c r="S209" s="268"/>
      <c r="T209" s="262">
        <f t="shared" si="1"/>
        <v>0</v>
      </c>
      <c r="U209" s="181"/>
      <c r="V209" s="134"/>
      <c r="W209" s="134"/>
      <c r="X209" s="269"/>
      <c r="Y209" s="268"/>
      <c r="Z209" s="269"/>
      <c r="AA209" s="268"/>
      <c r="AB209" s="262">
        <f t="shared" si="2"/>
        <v>0</v>
      </c>
      <c r="AC209" s="181"/>
      <c r="AD209" s="134"/>
      <c r="AE209" s="134"/>
      <c r="AF209" s="270"/>
      <c r="AG209" s="269"/>
      <c r="AH209" s="268"/>
      <c r="AI209" s="269"/>
      <c r="AJ209" s="268"/>
      <c r="AK209" s="262">
        <f t="shared" si="3"/>
        <v>0</v>
      </c>
      <c r="AX209" s="1"/>
      <c r="AY209" s="253"/>
      <c r="AZ209" s="1"/>
      <c r="BA209" s="1"/>
      <c r="BB209" s="1"/>
      <c r="BC209" s="1"/>
      <c r="BD209" s="1"/>
      <c r="BE209" s="12"/>
      <c r="BF209" s="1"/>
    </row>
    <row r="210" ht="14.25" customHeight="1">
      <c r="A210" s="1"/>
      <c r="B210" s="1"/>
      <c r="C210" s="256" t="s">
        <v>229</v>
      </c>
      <c r="D210" s="265"/>
      <c r="E210" s="254"/>
      <c r="F210" s="59"/>
      <c r="G210" s="265"/>
      <c r="H210" s="265"/>
      <c r="I210" s="265"/>
      <c r="J210" s="88" t="s">
        <v>76</v>
      </c>
      <c r="K210" s="132"/>
      <c r="L210" s="262"/>
      <c r="M210" s="181"/>
      <c r="N210" s="134"/>
      <c r="O210" s="134"/>
      <c r="P210" s="269"/>
      <c r="Q210" s="268"/>
      <c r="R210" s="269"/>
      <c r="S210" s="268"/>
      <c r="T210" s="262">
        <f t="shared" si="1"/>
        <v>0</v>
      </c>
      <c r="U210" s="181"/>
      <c r="V210" s="134"/>
      <c r="W210" s="134"/>
      <c r="X210" s="269"/>
      <c r="Y210" s="268"/>
      <c r="Z210" s="269"/>
      <c r="AA210" s="268"/>
      <c r="AB210" s="262">
        <f t="shared" si="2"/>
        <v>0</v>
      </c>
      <c r="AC210" s="181"/>
      <c r="AD210" s="134"/>
      <c r="AE210" s="134"/>
      <c r="AF210" s="270"/>
      <c r="AG210" s="269"/>
      <c r="AH210" s="268"/>
      <c r="AI210" s="269"/>
      <c r="AJ210" s="268"/>
      <c r="AK210" s="262">
        <f t="shared" si="3"/>
        <v>0</v>
      </c>
      <c r="AX210" s="1"/>
      <c r="AY210" s="253"/>
      <c r="AZ210" s="1"/>
      <c r="BA210" s="1"/>
      <c r="BB210" s="1"/>
      <c r="BC210" s="1"/>
      <c r="BD210" s="1"/>
      <c r="BE210" s="12"/>
      <c r="BF210" s="1"/>
    </row>
    <row r="211" ht="14.25" customHeight="1">
      <c r="A211" s="1"/>
      <c r="B211" s="1"/>
      <c r="C211" s="256" t="s">
        <v>229</v>
      </c>
      <c r="D211" s="265"/>
      <c r="E211" s="254"/>
      <c r="F211" s="59"/>
      <c r="G211" s="265"/>
      <c r="H211" s="265"/>
      <c r="I211" s="265"/>
      <c r="J211" s="88" t="s">
        <v>76</v>
      </c>
      <c r="K211" s="132"/>
      <c r="L211" s="262"/>
      <c r="M211" s="181"/>
      <c r="N211" s="134"/>
      <c r="O211" s="134"/>
      <c r="P211" s="269"/>
      <c r="Q211" s="268"/>
      <c r="R211" s="269"/>
      <c r="S211" s="268"/>
      <c r="T211" s="262">
        <f t="shared" si="1"/>
        <v>0</v>
      </c>
      <c r="U211" s="181"/>
      <c r="V211" s="134"/>
      <c r="W211" s="134"/>
      <c r="X211" s="269"/>
      <c r="Y211" s="268"/>
      <c r="Z211" s="269"/>
      <c r="AA211" s="268"/>
      <c r="AB211" s="262">
        <f t="shared" si="2"/>
        <v>0</v>
      </c>
      <c r="AC211" s="181"/>
      <c r="AD211" s="134"/>
      <c r="AE211" s="134"/>
      <c r="AF211" s="270"/>
      <c r="AG211" s="269"/>
      <c r="AH211" s="268"/>
      <c r="AI211" s="269"/>
      <c r="AJ211" s="268"/>
      <c r="AK211" s="262">
        <f t="shared" si="3"/>
        <v>0</v>
      </c>
      <c r="AX211" s="1"/>
      <c r="AY211" s="253"/>
      <c r="AZ211" s="1"/>
      <c r="BA211" s="1"/>
      <c r="BB211" s="1"/>
      <c r="BC211" s="1"/>
      <c r="BD211" s="1"/>
      <c r="BE211" s="12"/>
      <c r="BF211" s="1"/>
    </row>
    <row r="212" ht="14.25" customHeight="1">
      <c r="A212" s="1"/>
      <c r="B212" s="1"/>
      <c r="C212" s="256" t="s">
        <v>229</v>
      </c>
      <c r="D212" s="265"/>
      <c r="E212" s="254"/>
      <c r="F212" s="59"/>
      <c r="G212" s="265"/>
      <c r="H212" s="265"/>
      <c r="I212" s="265"/>
      <c r="J212" s="88" t="s">
        <v>76</v>
      </c>
      <c r="K212" s="132"/>
      <c r="L212" s="262"/>
      <c r="M212" s="181"/>
      <c r="N212" s="134"/>
      <c r="O212" s="134"/>
      <c r="P212" s="269"/>
      <c r="Q212" s="268"/>
      <c r="R212" s="269"/>
      <c r="S212" s="268"/>
      <c r="T212" s="262">
        <f t="shared" si="1"/>
        <v>0</v>
      </c>
      <c r="U212" s="181"/>
      <c r="V212" s="134"/>
      <c r="W212" s="134"/>
      <c r="X212" s="269"/>
      <c r="Y212" s="268"/>
      <c r="Z212" s="269"/>
      <c r="AA212" s="268"/>
      <c r="AB212" s="262">
        <f t="shared" si="2"/>
        <v>0</v>
      </c>
      <c r="AC212" s="181"/>
      <c r="AD212" s="134"/>
      <c r="AE212" s="134"/>
      <c r="AF212" s="270"/>
      <c r="AG212" s="269"/>
      <c r="AH212" s="268"/>
      <c r="AI212" s="269"/>
      <c r="AJ212" s="268"/>
      <c r="AK212" s="262">
        <f t="shared" si="3"/>
        <v>0</v>
      </c>
      <c r="AX212" s="1"/>
      <c r="AY212" s="253"/>
      <c r="AZ212" s="1"/>
      <c r="BA212" s="1"/>
      <c r="BB212" s="1"/>
      <c r="BC212" s="1"/>
      <c r="BD212" s="1"/>
      <c r="BE212" s="12"/>
      <c r="BF212" s="1"/>
    </row>
    <row r="213" ht="14.25" customHeight="1">
      <c r="A213" s="1"/>
      <c r="B213" s="1"/>
      <c r="C213" s="256" t="s">
        <v>229</v>
      </c>
      <c r="D213" s="265"/>
      <c r="E213" s="254"/>
      <c r="F213" s="59"/>
      <c r="G213" s="265"/>
      <c r="H213" s="265"/>
      <c r="I213" s="265"/>
      <c r="J213" s="88" t="s">
        <v>76</v>
      </c>
      <c r="K213" s="132"/>
      <c r="L213" s="262"/>
      <c r="M213" s="181"/>
      <c r="N213" s="134"/>
      <c r="O213" s="134"/>
      <c r="P213" s="269"/>
      <c r="Q213" s="268"/>
      <c r="R213" s="269"/>
      <c r="S213" s="268"/>
      <c r="T213" s="262">
        <f t="shared" si="1"/>
        <v>0</v>
      </c>
      <c r="U213" s="181"/>
      <c r="V213" s="134"/>
      <c r="W213" s="134"/>
      <c r="X213" s="269"/>
      <c r="Y213" s="268"/>
      <c r="Z213" s="269"/>
      <c r="AA213" s="268"/>
      <c r="AB213" s="262">
        <f t="shared" si="2"/>
        <v>0</v>
      </c>
      <c r="AC213" s="181"/>
      <c r="AD213" s="134"/>
      <c r="AE213" s="134"/>
      <c r="AF213" s="270"/>
      <c r="AG213" s="269"/>
      <c r="AH213" s="268"/>
      <c r="AI213" s="269"/>
      <c r="AJ213" s="268"/>
      <c r="AK213" s="262">
        <f t="shared" si="3"/>
        <v>0</v>
      </c>
      <c r="AX213" s="1"/>
      <c r="AY213" s="253"/>
      <c r="AZ213" s="1"/>
      <c r="BA213" s="1"/>
      <c r="BB213" s="1"/>
      <c r="BC213" s="1"/>
      <c r="BD213" s="1"/>
      <c r="BE213" s="12"/>
      <c r="BF213" s="1"/>
    </row>
    <row r="214" ht="14.25" customHeight="1">
      <c r="A214" s="1"/>
      <c r="B214" s="1"/>
      <c r="C214" s="256" t="s">
        <v>229</v>
      </c>
      <c r="D214" s="265"/>
      <c r="E214" s="254"/>
      <c r="F214" s="59"/>
      <c r="G214" s="265"/>
      <c r="H214" s="265"/>
      <c r="I214" s="265"/>
      <c r="J214" s="88" t="s">
        <v>76</v>
      </c>
      <c r="K214" s="132"/>
      <c r="L214" s="262"/>
      <c r="M214" s="181"/>
      <c r="N214" s="134"/>
      <c r="O214" s="134"/>
      <c r="P214" s="269"/>
      <c r="Q214" s="268"/>
      <c r="R214" s="269"/>
      <c r="S214" s="268"/>
      <c r="T214" s="262">
        <f t="shared" si="1"/>
        <v>0</v>
      </c>
      <c r="U214" s="181"/>
      <c r="V214" s="134"/>
      <c r="W214" s="134"/>
      <c r="X214" s="269"/>
      <c r="Y214" s="268"/>
      <c r="Z214" s="269"/>
      <c r="AA214" s="268"/>
      <c r="AB214" s="262">
        <f t="shared" si="2"/>
        <v>0</v>
      </c>
      <c r="AC214" s="181"/>
      <c r="AD214" s="134"/>
      <c r="AE214" s="134"/>
      <c r="AF214" s="270"/>
      <c r="AG214" s="269"/>
      <c r="AH214" s="268"/>
      <c r="AI214" s="269"/>
      <c r="AJ214" s="268"/>
      <c r="AK214" s="262">
        <f t="shared" si="3"/>
        <v>0</v>
      </c>
      <c r="AX214" s="1"/>
      <c r="AY214" s="253"/>
      <c r="AZ214" s="1"/>
      <c r="BA214" s="1"/>
      <c r="BB214" s="1"/>
      <c r="BC214" s="1"/>
      <c r="BD214" s="1"/>
      <c r="BE214" s="12"/>
      <c r="BF214" s="1"/>
    </row>
    <row r="215" ht="14.25" customHeight="1">
      <c r="A215" s="1"/>
      <c r="B215" s="1"/>
      <c r="C215" s="256" t="s">
        <v>229</v>
      </c>
      <c r="D215" s="265"/>
      <c r="E215" s="254"/>
      <c r="F215" s="59"/>
      <c r="G215" s="265"/>
      <c r="H215" s="265"/>
      <c r="I215" s="265"/>
      <c r="J215" s="88" t="s">
        <v>76</v>
      </c>
      <c r="K215" s="132"/>
      <c r="L215" s="262"/>
      <c r="M215" s="181"/>
      <c r="N215" s="134"/>
      <c r="O215" s="134"/>
      <c r="P215" s="269"/>
      <c r="Q215" s="268"/>
      <c r="R215" s="269"/>
      <c r="S215" s="268"/>
      <c r="T215" s="262">
        <f t="shared" si="1"/>
        <v>0</v>
      </c>
      <c r="U215" s="181"/>
      <c r="V215" s="134"/>
      <c r="W215" s="134"/>
      <c r="X215" s="269"/>
      <c r="Y215" s="268"/>
      <c r="Z215" s="269"/>
      <c r="AA215" s="268"/>
      <c r="AB215" s="262">
        <f t="shared" si="2"/>
        <v>0</v>
      </c>
      <c r="AC215" s="181"/>
      <c r="AD215" s="134"/>
      <c r="AE215" s="134"/>
      <c r="AF215" s="270"/>
      <c r="AG215" s="269"/>
      <c r="AH215" s="268"/>
      <c r="AI215" s="269"/>
      <c r="AJ215" s="268"/>
      <c r="AK215" s="262">
        <f t="shared" si="3"/>
        <v>0</v>
      </c>
      <c r="AX215" s="1"/>
      <c r="AY215" s="253"/>
      <c r="AZ215" s="1"/>
      <c r="BA215" s="1"/>
      <c r="BB215" s="1"/>
      <c r="BC215" s="1"/>
      <c r="BD215" s="1"/>
      <c r="BE215" s="12"/>
      <c r="BF215" s="1"/>
    </row>
    <row r="216" ht="14.25" customHeight="1">
      <c r="A216" s="1"/>
      <c r="B216" s="1"/>
      <c r="C216" s="256" t="s">
        <v>229</v>
      </c>
      <c r="D216" s="265"/>
      <c r="E216" s="254"/>
      <c r="F216" s="59"/>
      <c r="G216" s="265"/>
      <c r="H216" s="265"/>
      <c r="I216" s="265"/>
      <c r="J216" s="88" t="s">
        <v>76</v>
      </c>
      <c r="K216" s="132"/>
      <c r="L216" s="262"/>
      <c r="M216" s="181"/>
      <c r="N216" s="134"/>
      <c r="O216" s="134"/>
      <c r="P216" s="269"/>
      <c r="Q216" s="268"/>
      <c r="R216" s="269"/>
      <c r="S216" s="268"/>
      <c r="T216" s="262">
        <f t="shared" si="1"/>
        <v>0</v>
      </c>
      <c r="U216" s="181"/>
      <c r="V216" s="134"/>
      <c r="W216" s="134"/>
      <c r="X216" s="269"/>
      <c r="Y216" s="268"/>
      <c r="Z216" s="269"/>
      <c r="AA216" s="268"/>
      <c r="AB216" s="262">
        <f t="shared" si="2"/>
        <v>0</v>
      </c>
      <c r="AC216" s="181"/>
      <c r="AD216" s="134"/>
      <c r="AE216" s="134"/>
      <c r="AF216" s="270"/>
      <c r="AG216" s="269"/>
      <c r="AH216" s="268"/>
      <c r="AI216" s="269"/>
      <c r="AJ216" s="268"/>
      <c r="AK216" s="262">
        <f t="shared" si="3"/>
        <v>0</v>
      </c>
      <c r="AX216" s="1"/>
      <c r="AY216" s="253"/>
      <c r="AZ216" s="1"/>
      <c r="BA216" s="1"/>
      <c r="BB216" s="1"/>
      <c r="BC216" s="1"/>
      <c r="BD216" s="1"/>
      <c r="BE216" s="12"/>
      <c r="BF216" s="1"/>
    </row>
    <row r="217" ht="14.25" customHeight="1">
      <c r="A217" s="1"/>
      <c r="B217" s="1"/>
      <c r="C217" s="256" t="s">
        <v>229</v>
      </c>
      <c r="D217" s="265"/>
      <c r="E217" s="254"/>
      <c r="F217" s="59"/>
      <c r="G217" s="265"/>
      <c r="H217" s="265"/>
      <c r="I217" s="265"/>
      <c r="J217" s="88" t="s">
        <v>76</v>
      </c>
      <c r="K217" s="132"/>
      <c r="L217" s="262"/>
      <c r="M217" s="181"/>
      <c r="N217" s="134"/>
      <c r="O217" s="134"/>
      <c r="P217" s="269"/>
      <c r="Q217" s="268"/>
      <c r="R217" s="269"/>
      <c r="S217" s="268"/>
      <c r="T217" s="262">
        <f t="shared" si="1"/>
        <v>0</v>
      </c>
      <c r="U217" s="181"/>
      <c r="V217" s="134"/>
      <c r="W217" s="134"/>
      <c r="X217" s="269"/>
      <c r="Y217" s="268"/>
      <c r="Z217" s="269"/>
      <c r="AA217" s="268"/>
      <c r="AB217" s="262">
        <f t="shared" si="2"/>
        <v>0</v>
      </c>
      <c r="AC217" s="181"/>
      <c r="AD217" s="134"/>
      <c r="AE217" s="134"/>
      <c r="AF217" s="270"/>
      <c r="AG217" s="269"/>
      <c r="AH217" s="268"/>
      <c r="AI217" s="269"/>
      <c r="AJ217" s="268"/>
      <c r="AK217" s="262">
        <f t="shared" si="3"/>
        <v>0</v>
      </c>
      <c r="AX217" s="1"/>
      <c r="AY217" s="253"/>
      <c r="AZ217" s="1"/>
      <c r="BA217" s="1"/>
      <c r="BB217" s="1"/>
      <c r="BC217" s="1"/>
      <c r="BD217" s="1"/>
      <c r="BE217" s="12"/>
      <c r="BF217" s="1"/>
    </row>
    <row r="218" ht="14.25" customHeight="1">
      <c r="A218" s="1"/>
      <c r="B218" s="1"/>
      <c r="C218" s="256" t="s">
        <v>229</v>
      </c>
      <c r="D218" s="265"/>
      <c r="E218" s="254"/>
      <c r="F218" s="59"/>
      <c r="G218" s="265"/>
      <c r="H218" s="265"/>
      <c r="I218" s="265"/>
      <c r="J218" s="88" t="s">
        <v>76</v>
      </c>
      <c r="K218" s="132"/>
      <c r="L218" s="262"/>
      <c r="M218" s="181"/>
      <c r="N218" s="134"/>
      <c r="O218" s="134"/>
      <c r="P218" s="269"/>
      <c r="Q218" s="268"/>
      <c r="R218" s="269"/>
      <c r="S218" s="268"/>
      <c r="T218" s="262">
        <f t="shared" si="1"/>
        <v>0</v>
      </c>
      <c r="U218" s="181"/>
      <c r="V218" s="134"/>
      <c r="W218" s="134"/>
      <c r="X218" s="269"/>
      <c r="Y218" s="268"/>
      <c r="Z218" s="269"/>
      <c r="AA218" s="268"/>
      <c r="AB218" s="262">
        <f t="shared" si="2"/>
        <v>0</v>
      </c>
      <c r="AC218" s="181"/>
      <c r="AD218" s="134"/>
      <c r="AE218" s="134"/>
      <c r="AF218" s="270"/>
      <c r="AG218" s="269"/>
      <c r="AH218" s="268"/>
      <c r="AI218" s="269"/>
      <c r="AJ218" s="268"/>
      <c r="AK218" s="262">
        <f t="shared" si="3"/>
        <v>0</v>
      </c>
      <c r="AX218" s="1"/>
      <c r="AY218" s="253"/>
      <c r="AZ218" s="1"/>
      <c r="BA218" s="1"/>
      <c r="BB218" s="1"/>
      <c r="BC218" s="1"/>
      <c r="BD218" s="1"/>
      <c r="BE218" s="12"/>
      <c r="BF218" s="1"/>
    </row>
    <row r="219" ht="14.25" customHeight="1">
      <c r="A219" s="1"/>
      <c r="B219" s="1"/>
      <c r="C219" s="256" t="s">
        <v>229</v>
      </c>
      <c r="D219" s="265"/>
      <c r="E219" s="254"/>
      <c r="F219" s="59"/>
      <c r="G219" s="265"/>
      <c r="H219" s="265"/>
      <c r="I219" s="265"/>
      <c r="J219" s="88" t="s">
        <v>76</v>
      </c>
      <c r="K219" s="132"/>
      <c r="L219" s="262"/>
      <c r="M219" s="181"/>
      <c r="N219" s="134"/>
      <c r="O219" s="134"/>
      <c r="P219" s="269"/>
      <c r="Q219" s="268"/>
      <c r="R219" s="269"/>
      <c r="S219" s="268"/>
      <c r="T219" s="262">
        <f t="shared" si="1"/>
        <v>0</v>
      </c>
      <c r="U219" s="181"/>
      <c r="V219" s="134"/>
      <c r="W219" s="134"/>
      <c r="X219" s="269"/>
      <c r="Y219" s="268"/>
      <c r="Z219" s="269"/>
      <c r="AA219" s="268"/>
      <c r="AB219" s="262">
        <f t="shared" si="2"/>
        <v>0</v>
      </c>
      <c r="AC219" s="181"/>
      <c r="AD219" s="134"/>
      <c r="AE219" s="134"/>
      <c r="AF219" s="270"/>
      <c r="AG219" s="269"/>
      <c r="AH219" s="268"/>
      <c r="AI219" s="269"/>
      <c r="AJ219" s="268"/>
      <c r="AK219" s="262">
        <f t="shared" si="3"/>
        <v>0</v>
      </c>
      <c r="AX219" s="1"/>
      <c r="AY219" s="253"/>
      <c r="AZ219" s="1"/>
      <c r="BA219" s="1"/>
      <c r="BB219" s="1"/>
      <c r="BC219" s="1"/>
      <c r="BD219" s="1"/>
      <c r="BE219" s="12"/>
      <c r="BF219" s="1"/>
    </row>
    <row r="220" ht="14.25" customHeight="1">
      <c r="A220" s="1"/>
      <c r="B220" s="1"/>
      <c r="C220" s="256" t="s">
        <v>229</v>
      </c>
      <c r="D220" s="265"/>
      <c r="E220" s="254"/>
      <c r="F220" s="59"/>
      <c r="G220" s="265"/>
      <c r="H220" s="265"/>
      <c r="I220" s="265"/>
      <c r="J220" s="88" t="s">
        <v>76</v>
      </c>
      <c r="K220" s="132"/>
      <c r="L220" s="262"/>
      <c r="M220" s="181"/>
      <c r="N220" s="134"/>
      <c r="O220" s="134"/>
      <c r="P220" s="269"/>
      <c r="Q220" s="268"/>
      <c r="R220" s="269"/>
      <c r="S220" s="268"/>
      <c r="T220" s="262">
        <f t="shared" si="1"/>
        <v>0</v>
      </c>
      <c r="U220" s="181"/>
      <c r="V220" s="134"/>
      <c r="W220" s="134"/>
      <c r="X220" s="269"/>
      <c r="Y220" s="268"/>
      <c r="Z220" s="269"/>
      <c r="AA220" s="268"/>
      <c r="AB220" s="262">
        <f t="shared" si="2"/>
        <v>0</v>
      </c>
      <c r="AC220" s="181"/>
      <c r="AD220" s="134"/>
      <c r="AE220" s="134"/>
      <c r="AF220" s="270"/>
      <c r="AG220" s="269"/>
      <c r="AH220" s="268"/>
      <c r="AI220" s="269"/>
      <c r="AJ220" s="268"/>
      <c r="AK220" s="262">
        <f t="shared" si="3"/>
        <v>0</v>
      </c>
      <c r="AX220" s="1"/>
      <c r="AY220" s="253"/>
      <c r="AZ220" s="1"/>
      <c r="BA220" s="1"/>
      <c r="BB220" s="1"/>
      <c r="BC220" s="1"/>
      <c r="BD220" s="1"/>
      <c r="BE220" s="12"/>
      <c r="BF220" s="1"/>
    </row>
    <row r="221" ht="14.25" customHeight="1">
      <c r="A221" s="1"/>
      <c r="B221" s="1"/>
      <c r="C221" s="256" t="s">
        <v>229</v>
      </c>
      <c r="D221" s="265"/>
      <c r="E221" s="254"/>
      <c r="F221" s="59"/>
      <c r="G221" s="265"/>
      <c r="H221" s="265"/>
      <c r="I221" s="265"/>
      <c r="J221" s="88" t="s">
        <v>76</v>
      </c>
      <c r="K221" s="132"/>
      <c r="L221" s="262"/>
      <c r="M221" s="181"/>
      <c r="N221" s="134"/>
      <c r="O221" s="134"/>
      <c r="P221" s="269"/>
      <c r="Q221" s="268"/>
      <c r="R221" s="269"/>
      <c r="S221" s="268"/>
      <c r="T221" s="262">
        <f t="shared" si="1"/>
        <v>0</v>
      </c>
      <c r="U221" s="181"/>
      <c r="V221" s="134"/>
      <c r="W221" s="134"/>
      <c r="X221" s="269"/>
      <c r="Y221" s="268"/>
      <c r="Z221" s="269"/>
      <c r="AA221" s="268"/>
      <c r="AB221" s="262">
        <f t="shared" si="2"/>
        <v>0</v>
      </c>
      <c r="AC221" s="181"/>
      <c r="AD221" s="134"/>
      <c r="AE221" s="134"/>
      <c r="AF221" s="270"/>
      <c r="AG221" s="269"/>
      <c r="AH221" s="268"/>
      <c r="AI221" s="269"/>
      <c r="AJ221" s="268"/>
      <c r="AK221" s="262">
        <f t="shared" si="3"/>
        <v>0</v>
      </c>
      <c r="AX221" s="1"/>
      <c r="AY221" s="253"/>
      <c r="AZ221" s="1"/>
      <c r="BA221" s="1"/>
      <c r="BB221" s="1"/>
      <c r="BC221" s="1"/>
      <c r="BD221" s="1"/>
      <c r="BE221" s="12"/>
      <c r="BF221" s="1"/>
    </row>
    <row r="222" ht="14.25" customHeight="1">
      <c r="A222" s="1"/>
      <c r="B222" s="1"/>
      <c r="C222" s="256" t="s">
        <v>229</v>
      </c>
      <c r="D222" s="265"/>
      <c r="E222" s="254"/>
      <c r="F222" s="59"/>
      <c r="G222" s="265"/>
      <c r="H222" s="265"/>
      <c r="I222" s="265"/>
      <c r="J222" s="88" t="s">
        <v>76</v>
      </c>
      <c r="K222" s="132"/>
      <c r="L222" s="262"/>
      <c r="M222" s="181"/>
      <c r="N222" s="134"/>
      <c r="O222" s="134"/>
      <c r="P222" s="269"/>
      <c r="Q222" s="268"/>
      <c r="R222" s="269"/>
      <c r="S222" s="268"/>
      <c r="T222" s="262">
        <f t="shared" si="1"/>
        <v>0</v>
      </c>
      <c r="U222" s="181"/>
      <c r="V222" s="134"/>
      <c r="W222" s="134"/>
      <c r="X222" s="269"/>
      <c r="Y222" s="268"/>
      <c r="Z222" s="269"/>
      <c r="AA222" s="268"/>
      <c r="AB222" s="262">
        <f t="shared" si="2"/>
        <v>0</v>
      </c>
      <c r="AC222" s="181"/>
      <c r="AD222" s="134"/>
      <c r="AE222" s="134"/>
      <c r="AF222" s="270"/>
      <c r="AG222" s="269"/>
      <c r="AH222" s="268"/>
      <c r="AI222" s="269"/>
      <c r="AJ222" s="268"/>
      <c r="AK222" s="262">
        <f t="shared" si="3"/>
        <v>0</v>
      </c>
      <c r="AX222" s="1"/>
      <c r="AY222" s="253"/>
      <c r="AZ222" s="1"/>
      <c r="BA222" s="1"/>
      <c r="BB222" s="1"/>
      <c r="BC222" s="1"/>
      <c r="BD222" s="1"/>
      <c r="BE222" s="12"/>
      <c r="BF222" s="1"/>
    </row>
    <row r="223" ht="14.25" customHeight="1">
      <c r="A223" s="1"/>
      <c r="B223" s="1"/>
      <c r="C223" s="256" t="s">
        <v>229</v>
      </c>
      <c r="D223" s="265"/>
      <c r="E223" s="254"/>
      <c r="F223" s="59"/>
      <c r="G223" s="265"/>
      <c r="H223" s="265"/>
      <c r="I223" s="265"/>
      <c r="J223" s="88" t="s">
        <v>76</v>
      </c>
      <c r="K223" s="132"/>
      <c r="L223" s="262"/>
      <c r="M223" s="181"/>
      <c r="N223" s="134"/>
      <c r="O223" s="134"/>
      <c r="P223" s="269"/>
      <c r="Q223" s="268"/>
      <c r="R223" s="269"/>
      <c r="S223" s="268"/>
      <c r="T223" s="262">
        <f t="shared" si="1"/>
        <v>0</v>
      </c>
      <c r="U223" s="181"/>
      <c r="V223" s="134"/>
      <c r="W223" s="134"/>
      <c r="X223" s="269"/>
      <c r="Y223" s="268"/>
      <c r="Z223" s="269"/>
      <c r="AA223" s="268"/>
      <c r="AB223" s="262">
        <f t="shared" si="2"/>
        <v>0</v>
      </c>
      <c r="AC223" s="181"/>
      <c r="AD223" s="134"/>
      <c r="AE223" s="134"/>
      <c r="AF223" s="270"/>
      <c r="AG223" s="269"/>
      <c r="AH223" s="268"/>
      <c r="AI223" s="269"/>
      <c r="AJ223" s="268"/>
      <c r="AK223" s="262">
        <f t="shared" si="3"/>
        <v>0</v>
      </c>
      <c r="AX223" s="1"/>
      <c r="AY223" s="253"/>
      <c r="AZ223" s="1"/>
      <c r="BA223" s="1"/>
      <c r="BB223" s="1"/>
      <c r="BC223" s="1"/>
      <c r="BD223" s="1"/>
      <c r="BE223" s="12"/>
      <c r="BF223" s="1"/>
    </row>
    <row r="224" ht="14.25" customHeight="1">
      <c r="A224" s="1"/>
      <c r="B224" s="1"/>
      <c r="C224" s="256" t="s">
        <v>229</v>
      </c>
      <c r="D224" s="265"/>
      <c r="E224" s="254"/>
      <c r="F224" s="59"/>
      <c r="G224" s="265"/>
      <c r="H224" s="265"/>
      <c r="I224" s="265"/>
      <c r="J224" s="88" t="s">
        <v>76</v>
      </c>
      <c r="K224" s="132"/>
      <c r="L224" s="262"/>
      <c r="M224" s="181"/>
      <c r="N224" s="134"/>
      <c r="O224" s="134"/>
      <c r="P224" s="269"/>
      <c r="Q224" s="268"/>
      <c r="R224" s="269"/>
      <c r="S224" s="268"/>
      <c r="T224" s="262">
        <f t="shared" si="1"/>
        <v>0</v>
      </c>
      <c r="U224" s="181"/>
      <c r="V224" s="134"/>
      <c r="W224" s="134"/>
      <c r="X224" s="269"/>
      <c r="Y224" s="268"/>
      <c r="Z224" s="269"/>
      <c r="AA224" s="268"/>
      <c r="AB224" s="262">
        <f t="shared" si="2"/>
        <v>0</v>
      </c>
      <c r="AC224" s="181"/>
      <c r="AD224" s="134"/>
      <c r="AE224" s="134"/>
      <c r="AF224" s="270"/>
      <c r="AG224" s="269"/>
      <c r="AH224" s="268"/>
      <c r="AI224" s="269"/>
      <c r="AJ224" s="268"/>
      <c r="AK224" s="262">
        <f t="shared" si="3"/>
        <v>0</v>
      </c>
      <c r="AX224" s="1"/>
      <c r="AY224" s="253"/>
      <c r="AZ224" s="1"/>
      <c r="BA224" s="1"/>
      <c r="BB224" s="1"/>
      <c r="BC224" s="1"/>
      <c r="BD224" s="1"/>
      <c r="BE224" s="12"/>
      <c r="BF224" s="1"/>
    </row>
    <row r="225" ht="14.25" customHeight="1">
      <c r="A225" s="1"/>
      <c r="B225" s="1"/>
      <c r="C225" s="256" t="s">
        <v>229</v>
      </c>
      <c r="D225" s="265"/>
      <c r="E225" s="254"/>
      <c r="F225" s="59"/>
      <c r="G225" s="265"/>
      <c r="H225" s="265"/>
      <c r="I225" s="265"/>
      <c r="J225" s="88" t="s">
        <v>76</v>
      </c>
      <c r="K225" s="132"/>
      <c r="L225" s="262"/>
      <c r="M225" s="181"/>
      <c r="N225" s="134"/>
      <c r="O225" s="134"/>
      <c r="P225" s="269"/>
      <c r="Q225" s="268"/>
      <c r="R225" s="269"/>
      <c r="S225" s="268"/>
      <c r="T225" s="262">
        <f t="shared" si="1"/>
        <v>0</v>
      </c>
      <c r="U225" s="181"/>
      <c r="V225" s="134"/>
      <c r="W225" s="134"/>
      <c r="X225" s="269"/>
      <c r="Y225" s="268"/>
      <c r="Z225" s="269"/>
      <c r="AA225" s="268"/>
      <c r="AB225" s="262">
        <f t="shared" si="2"/>
        <v>0</v>
      </c>
      <c r="AC225" s="181"/>
      <c r="AD225" s="134"/>
      <c r="AE225" s="134"/>
      <c r="AF225" s="270"/>
      <c r="AG225" s="269"/>
      <c r="AH225" s="268"/>
      <c r="AI225" s="269"/>
      <c r="AJ225" s="268"/>
      <c r="AK225" s="262">
        <f t="shared" si="3"/>
        <v>0</v>
      </c>
      <c r="AX225" s="1"/>
      <c r="AY225" s="253"/>
      <c r="AZ225" s="1"/>
      <c r="BA225" s="1"/>
      <c r="BB225" s="1"/>
      <c r="BC225" s="1"/>
      <c r="BD225" s="1"/>
      <c r="BE225" s="12"/>
      <c r="BF225" s="1"/>
    </row>
    <row r="226" ht="14.25" customHeight="1">
      <c r="A226" s="1"/>
      <c r="B226" s="1"/>
      <c r="C226" s="256" t="s">
        <v>229</v>
      </c>
      <c r="D226" s="265"/>
      <c r="E226" s="254"/>
      <c r="F226" s="59"/>
      <c r="G226" s="265"/>
      <c r="H226" s="265"/>
      <c r="I226" s="265"/>
      <c r="J226" s="88" t="s">
        <v>76</v>
      </c>
      <c r="K226" s="132"/>
      <c r="L226" s="262"/>
      <c r="M226" s="181"/>
      <c r="N226" s="134"/>
      <c r="O226" s="134"/>
      <c r="P226" s="269"/>
      <c r="Q226" s="268"/>
      <c r="R226" s="269"/>
      <c r="S226" s="268"/>
      <c r="T226" s="262">
        <f t="shared" si="1"/>
        <v>0</v>
      </c>
      <c r="U226" s="181"/>
      <c r="V226" s="134"/>
      <c r="W226" s="134"/>
      <c r="X226" s="269"/>
      <c r="Y226" s="268"/>
      <c r="Z226" s="269"/>
      <c r="AA226" s="268"/>
      <c r="AB226" s="262">
        <f t="shared" si="2"/>
        <v>0</v>
      </c>
      <c r="AC226" s="181"/>
      <c r="AD226" s="134"/>
      <c r="AE226" s="134"/>
      <c r="AF226" s="270"/>
      <c r="AG226" s="269"/>
      <c r="AH226" s="268"/>
      <c r="AI226" s="269"/>
      <c r="AJ226" s="268"/>
      <c r="AK226" s="262">
        <f t="shared" si="3"/>
        <v>0</v>
      </c>
      <c r="AX226" s="1"/>
      <c r="AY226" s="253"/>
      <c r="AZ226" s="1"/>
      <c r="BA226" s="1"/>
      <c r="BB226" s="1"/>
      <c r="BC226" s="1"/>
      <c r="BD226" s="1"/>
      <c r="BE226" s="12"/>
      <c r="BF226" s="1"/>
    </row>
    <row r="227" ht="14.25" customHeight="1">
      <c r="A227" s="1"/>
      <c r="B227" s="1"/>
      <c r="C227" s="256" t="s">
        <v>229</v>
      </c>
      <c r="D227" s="265"/>
      <c r="E227" s="254"/>
      <c r="F227" s="59"/>
      <c r="G227" s="265"/>
      <c r="H227" s="265"/>
      <c r="I227" s="265"/>
      <c r="J227" s="88" t="s">
        <v>76</v>
      </c>
      <c r="K227" s="132"/>
      <c r="L227" s="262"/>
      <c r="M227" s="181"/>
      <c r="N227" s="134"/>
      <c r="O227" s="134"/>
      <c r="P227" s="269"/>
      <c r="Q227" s="268"/>
      <c r="R227" s="269"/>
      <c r="S227" s="268"/>
      <c r="T227" s="262">
        <f t="shared" si="1"/>
        <v>0</v>
      </c>
      <c r="U227" s="181"/>
      <c r="V227" s="134"/>
      <c r="W227" s="134"/>
      <c r="X227" s="269"/>
      <c r="Y227" s="268"/>
      <c r="Z227" s="269"/>
      <c r="AA227" s="268"/>
      <c r="AB227" s="262">
        <f t="shared" si="2"/>
        <v>0</v>
      </c>
      <c r="AC227" s="181"/>
      <c r="AD227" s="134"/>
      <c r="AE227" s="134"/>
      <c r="AF227" s="270"/>
      <c r="AG227" s="269"/>
      <c r="AH227" s="268"/>
      <c r="AI227" s="269"/>
      <c r="AJ227" s="268"/>
      <c r="AK227" s="262">
        <f t="shared" si="3"/>
        <v>0</v>
      </c>
      <c r="AX227" s="1"/>
      <c r="AY227" s="253"/>
      <c r="AZ227" s="1"/>
      <c r="BA227" s="1"/>
      <c r="BB227" s="1"/>
      <c r="BC227" s="1"/>
      <c r="BD227" s="1"/>
      <c r="BE227" s="12"/>
      <c r="BF227" s="1"/>
    </row>
    <row r="228" ht="14.25" customHeight="1">
      <c r="A228" s="1"/>
      <c r="B228" s="1"/>
      <c r="C228" s="256" t="s">
        <v>229</v>
      </c>
      <c r="D228" s="265"/>
      <c r="E228" s="254"/>
      <c r="F228" s="59"/>
      <c r="G228" s="265"/>
      <c r="H228" s="265"/>
      <c r="I228" s="265"/>
      <c r="J228" s="88" t="s">
        <v>76</v>
      </c>
      <c r="K228" s="132"/>
      <c r="L228" s="262"/>
      <c r="M228" s="181"/>
      <c r="N228" s="134"/>
      <c r="O228" s="134"/>
      <c r="P228" s="269"/>
      <c r="Q228" s="268"/>
      <c r="R228" s="269"/>
      <c r="S228" s="268"/>
      <c r="T228" s="262">
        <f t="shared" si="1"/>
        <v>0</v>
      </c>
      <c r="U228" s="181"/>
      <c r="V228" s="134"/>
      <c r="W228" s="134"/>
      <c r="X228" s="269"/>
      <c r="Y228" s="268"/>
      <c r="Z228" s="269"/>
      <c r="AA228" s="268"/>
      <c r="AB228" s="262">
        <f t="shared" si="2"/>
        <v>0</v>
      </c>
      <c r="AC228" s="181"/>
      <c r="AD228" s="134"/>
      <c r="AE228" s="134"/>
      <c r="AF228" s="270"/>
      <c r="AG228" s="269"/>
      <c r="AH228" s="268"/>
      <c r="AI228" s="269"/>
      <c r="AJ228" s="268"/>
      <c r="AK228" s="262">
        <f t="shared" si="3"/>
        <v>0</v>
      </c>
      <c r="AX228" s="1"/>
      <c r="AY228" s="253"/>
      <c r="AZ228" s="1"/>
      <c r="BA228" s="1"/>
      <c r="BB228" s="1"/>
      <c r="BC228" s="1"/>
      <c r="BD228" s="1"/>
      <c r="BE228" s="12"/>
      <c r="BF228" s="1"/>
    </row>
    <row r="229" ht="14.25" customHeight="1">
      <c r="A229" s="1"/>
      <c r="B229" s="1"/>
      <c r="C229" s="256" t="s">
        <v>229</v>
      </c>
      <c r="D229" s="265"/>
      <c r="E229" s="254"/>
      <c r="F229" s="59"/>
      <c r="G229" s="265"/>
      <c r="H229" s="265"/>
      <c r="I229" s="265"/>
      <c r="J229" s="88" t="s">
        <v>76</v>
      </c>
      <c r="K229" s="132"/>
      <c r="L229" s="262"/>
      <c r="M229" s="181"/>
      <c r="N229" s="134"/>
      <c r="O229" s="134"/>
      <c r="P229" s="269"/>
      <c r="Q229" s="268"/>
      <c r="R229" s="269"/>
      <c r="S229" s="268"/>
      <c r="T229" s="262">
        <f t="shared" si="1"/>
        <v>0</v>
      </c>
      <c r="U229" s="181"/>
      <c r="V229" s="134"/>
      <c r="W229" s="134"/>
      <c r="X229" s="269"/>
      <c r="Y229" s="268"/>
      <c r="Z229" s="269"/>
      <c r="AA229" s="268"/>
      <c r="AB229" s="262">
        <f t="shared" si="2"/>
        <v>0</v>
      </c>
      <c r="AC229" s="181"/>
      <c r="AD229" s="134"/>
      <c r="AE229" s="134"/>
      <c r="AF229" s="270"/>
      <c r="AG229" s="269"/>
      <c r="AH229" s="268"/>
      <c r="AI229" s="269"/>
      <c r="AJ229" s="268"/>
      <c r="AK229" s="262">
        <f t="shared" si="3"/>
        <v>0</v>
      </c>
      <c r="AX229" s="1"/>
      <c r="AY229" s="253"/>
      <c r="AZ229" s="1"/>
      <c r="BA229" s="1"/>
      <c r="BB229" s="1"/>
      <c r="BC229" s="1"/>
      <c r="BD229" s="1"/>
      <c r="BE229" s="12"/>
      <c r="BF229" s="1"/>
    </row>
    <row r="230" ht="14.25" customHeight="1">
      <c r="A230" s="1"/>
      <c r="B230" s="1"/>
      <c r="C230" s="256" t="s">
        <v>229</v>
      </c>
      <c r="D230" s="265"/>
      <c r="E230" s="254"/>
      <c r="F230" s="59"/>
      <c r="G230" s="265"/>
      <c r="H230" s="265"/>
      <c r="I230" s="265"/>
      <c r="J230" s="88" t="s">
        <v>76</v>
      </c>
      <c r="K230" s="132"/>
      <c r="L230" s="262"/>
      <c r="M230" s="181"/>
      <c r="N230" s="134"/>
      <c r="O230" s="134"/>
      <c r="P230" s="269"/>
      <c r="Q230" s="268"/>
      <c r="R230" s="269"/>
      <c r="S230" s="268"/>
      <c r="T230" s="262">
        <f t="shared" si="1"/>
        <v>0</v>
      </c>
      <c r="U230" s="181"/>
      <c r="V230" s="134"/>
      <c r="W230" s="134"/>
      <c r="X230" s="269"/>
      <c r="Y230" s="268"/>
      <c r="Z230" s="269"/>
      <c r="AA230" s="268"/>
      <c r="AB230" s="262">
        <f t="shared" si="2"/>
        <v>0</v>
      </c>
      <c r="AC230" s="181"/>
      <c r="AD230" s="134"/>
      <c r="AE230" s="134"/>
      <c r="AF230" s="270"/>
      <c r="AG230" s="269"/>
      <c r="AH230" s="268"/>
      <c r="AI230" s="269"/>
      <c r="AJ230" s="268"/>
      <c r="AK230" s="262">
        <f t="shared" si="3"/>
        <v>0</v>
      </c>
      <c r="AX230" s="1"/>
      <c r="AY230" s="253"/>
      <c r="AZ230" s="1"/>
      <c r="BA230" s="1"/>
      <c r="BB230" s="1"/>
      <c r="BC230" s="1"/>
      <c r="BD230" s="1"/>
      <c r="BE230" s="12"/>
      <c r="BF230" s="1"/>
    </row>
    <row r="231" ht="14.25" customHeight="1">
      <c r="A231" s="1"/>
      <c r="B231" s="1"/>
      <c r="C231" s="256" t="s">
        <v>229</v>
      </c>
      <c r="D231" s="265"/>
      <c r="E231" s="254"/>
      <c r="F231" s="59"/>
      <c r="G231" s="265"/>
      <c r="H231" s="265"/>
      <c r="I231" s="265"/>
      <c r="J231" s="88" t="s">
        <v>76</v>
      </c>
      <c r="K231" s="132"/>
      <c r="L231" s="262"/>
      <c r="M231" s="181"/>
      <c r="N231" s="134"/>
      <c r="O231" s="134"/>
      <c r="P231" s="269"/>
      <c r="Q231" s="268"/>
      <c r="R231" s="269"/>
      <c r="S231" s="268"/>
      <c r="T231" s="262">
        <f t="shared" si="1"/>
        <v>0</v>
      </c>
      <c r="U231" s="181"/>
      <c r="V231" s="134"/>
      <c r="W231" s="134"/>
      <c r="X231" s="269"/>
      <c r="Y231" s="268"/>
      <c r="Z231" s="269"/>
      <c r="AA231" s="268"/>
      <c r="AB231" s="262">
        <f t="shared" si="2"/>
        <v>0</v>
      </c>
      <c r="AC231" s="181"/>
      <c r="AD231" s="134"/>
      <c r="AE231" s="134"/>
      <c r="AF231" s="270"/>
      <c r="AG231" s="269"/>
      <c r="AH231" s="268"/>
      <c r="AI231" s="269"/>
      <c r="AJ231" s="268"/>
      <c r="AK231" s="262">
        <f t="shared" si="3"/>
        <v>0</v>
      </c>
      <c r="AX231" s="1"/>
      <c r="AY231" s="253"/>
      <c r="AZ231" s="1"/>
      <c r="BA231" s="1"/>
      <c r="BB231" s="1"/>
      <c r="BC231" s="1"/>
      <c r="BD231" s="1"/>
      <c r="BE231" s="12"/>
      <c r="BF231" s="1"/>
    </row>
    <row r="232" ht="14.25" customHeight="1">
      <c r="A232" s="1"/>
      <c r="B232" s="1"/>
      <c r="C232" s="256" t="s">
        <v>229</v>
      </c>
      <c r="D232" s="265"/>
      <c r="E232" s="254"/>
      <c r="F232" s="59"/>
      <c r="G232" s="265"/>
      <c r="H232" s="265"/>
      <c r="I232" s="265"/>
      <c r="J232" s="88" t="s">
        <v>76</v>
      </c>
      <c r="K232" s="132"/>
      <c r="L232" s="262"/>
      <c r="M232" s="181"/>
      <c r="N232" s="134"/>
      <c r="O232" s="134"/>
      <c r="P232" s="269"/>
      <c r="Q232" s="268"/>
      <c r="R232" s="269"/>
      <c r="S232" s="268"/>
      <c r="T232" s="262">
        <f t="shared" si="1"/>
        <v>0</v>
      </c>
      <c r="U232" s="181"/>
      <c r="V232" s="134"/>
      <c r="W232" s="134"/>
      <c r="X232" s="269"/>
      <c r="Y232" s="268"/>
      <c r="Z232" s="269"/>
      <c r="AA232" s="268"/>
      <c r="AB232" s="262">
        <f t="shared" si="2"/>
        <v>0</v>
      </c>
      <c r="AC232" s="181"/>
      <c r="AD232" s="134"/>
      <c r="AE232" s="134"/>
      <c r="AF232" s="270"/>
      <c r="AG232" s="269"/>
      <c r="AH232" s="268"/>
      <c r="AI232" s="269"/>
      <c r="AJ232" s="268"/>
      <c r="AK232" s="262">
        <f t="shared" si="3"/>
        <v>0</v>
      </c>
      <c r="AX232" s="1"/>
      <c r="AY232" s="253"/>
      <c r="AZ232" s="1"/>
      <c r="BA232" s="1"/>
      <c r="BB232" s="1"/>
      <c r="BC232" s="1"/>
      <c r="BD232" s="1"/>
      <c r="BE232" s="12"/>
      <c r="BF232" s="1"/>
    </row>
    <row r="233" ht="14.25" customHeight="1">
      <c r="A233" s="1"/>
      <c r="B233" s="1"/>
      <c r="C233" s="256" t="s">
        <v>229</v>
      </c>
      <c r="D233" s="265"/>
      <c r="E233" s="254"/>
      <c r="F233" s="59"/>
      <c r="G233" s="265"/>
      <c r="H233" s="265"/>
      <c r="I233" s="265"/>
      <c r="J233" s="88" t="s">
        <v>76</v>
      </c>
      <c r="K233" s="132"/>
      <c r="L233" s="262"/>
      <c r="M233" s="181"/>
      <c r="N233" s="134"/>
      <c r="O233" s="134"/>
      <c r="P233" s="269"/>
      <c r="Q233" s="268"/>
      <c r="R233" s="269"/>
      <c r="S233" s="268"/>
      <c r="T233" s="262">
        <f t="shared" si="1"/>
        <v>0</v>
      </c>
      <c r="U233" s="181"/>
      <c r="V233" s="134"/>
      <c r="W233" s="134"/>
      <c r="X233" s="269"/>
      <c r="Y233" s="268"/>
      <c r="Z233" s="269"/>
      <c r="AA233" s="268"/>
      <c r="AB233" s="262">
        <f t="shared" si="2"/>
        <v>0</v>
      </c>
      <c r="AC233" s="181"/>
      <c r="AD233" s="134"/>
      <c r="AE233" s="134"/>
      <c r="AF233" s="270"/>
      <c r="AG233" s="269"/>
      <c r="AH233" s="268"/>
      <c r="AI233" s="269"/>
      <c r="AJ233" s="268"/>
      <c r="AK233" s="262">
        <f t="shared" si="3"/>
        <v>0</v>
      </c>
      <c r="AX233" s="1"/>
      <c r="AY233" s="253"/>
      <c r="AZ233" s="1"/>
      <c r="BA233" s="1"/>
      <c r="BB233" s="1"/>
      <c r="BC233" s="1"/>
      <c r="BD233" s="1"/>
      <c r="BE233" s="12"/>
      <c r="BF233" s="1"/>
    </row>
    <row r="234" ht="14.25" customHeight="1">
      <c r="A234" s="1"/>
      <c r="B234" s="1"/>
      <c r="C234" s="256" t="s">
        <v>229</v>
      </c>
      <c r="D234" s="265"/>
      <c r="E234" s="254"/>
      <c r="F234" s="59"/>
      <c r="G234" s="265"/>
      <c r="H234" s="265"/>
      <c r="I234" s="265"/>
      <c r="J234" s="88" t="s">
        <v>76</v>
      </c>
      <c r="K234" s="132"/>
      <c r="L234" s="262"/>
      <c r="M234" s="181"/>
      <c r="N234" s="134"/>
      <c r="O234" s="134"/>
      <c r="P234" s="269"/>
      <c r="Q234" s="268"/>
      <c r="R234" s="269"/>
      <c r="S234" s="268"/>
      <c r="T234" s="262">
        <f t="shared" si="1"/>
        <v>0</v>
      </c>
      <c r="U234" s="181"/>
      <c r="V234" s="134"/>
      <c r="W234" s="134"/>
      <c r="X234" s="269"/>
      <c r="Y234" s="268"/>
      <c r="Z234" s="269"/>
      <c r="AA234" s="268"/>
      <c r="AB234" s="262">
        <f t="shared" si="2"/>
        <v>0</v>
      </c>
      <c r="AC234" s="181"/>
      <c r="AD234" s="134"/>
      <c r="AE234" s="134"/>
      <c r="AF234" s="270"/>
      <c r="AG234" s="269"/>
      <c r="AH234" s="268"/>
      <c r="AI234" s="269"/>
      <c r="AJ234" s="268"/>
      <c r="AK234" s="262">
        <f t="shared" si="3"/>
        <v>0</v>
      </c>
      <c r="AX234" s="1"/>
      <c r="AY234" s="253"/>
      <c r="AZ234" s="1"/>
      <c r="BA234" s="1"/>
      <c r="BB234" s="1"/>
      <c r="BC234" s="1"/>
      <c r="BD234" s="1"/>
      <c r="BE234" s="12"/>
      <c r="BF234" s="1"/>
    </row>
    <row r="235" ht="14.25" customHeight="1">
      <c r="A235" s="1"/>
      <c r="B235" s="1"/>
      <c r="C235" s="254" t="s">
        <v>229</v>
      </c>
      <c r="D235" s="265"/>
      <c r="E235" s="254"/>
      <c r="F235" s="59"/>
      <c r="G235" s="265"/>
      <c r="H235" s="265"/>
      <c r="I235" s="265"/>
      <c r="J235" s="88" t="s">
        <v>76</v>
      </c>
      <c r="K235" s="132"/>
      <c r="L235" s="262"/>
      <c r="M235" s="181"/>
      <c r="N235" s="134"/>
      <c r="O235" s="134"/>
      <c r="P235" s="269"/>
      <c r="Q235" s="268"/>
      <c r="R235" s="269"/>
      <c r="S235" s="268"/>
      <c r="T235" s="262">
        <f t="shared" si="1"/>
        <v>0</v>
      </c>
      <c r="U235" s="181"/>
      <c r="V235" s="134"/>
      <c r="W235" s="134"/>
      <c r="X235" s="269"/>
      <c r="Y235" s="268"/>
      <c r="Z235" s="269"/>
      <c r="AA235" s="268"/>
      <c r="AB235" s="262">
        <f t="shared" si="2"/>
        <v>0</v>
      </c>
      <c r="AC235" s="181"/>
      <c r="AD235" s="134"/>
      <c r="AE235" s="134"/>
      <c r="AF235" s="270"/>
      <c r="AG235" s="269"/>
      <c r="AH235" s="268"/>
      <c r="AI235" s="269"/>
      <c r="AJ235" s="268"/>
      <c r="AK235" s="262">
        <f t="shared" si="3"/>
        <v>0</v>
      </c>
      <c r="AX235" s="1"/>
      <c r="AY235" s="253"/>
      <c r="AZ235" s="1"/>
      <c r="BA235" s="1"/>
      <c r="BB235" s="1"/>
      <c r="BC235" s="1"/>
      <c r="BD235" s="1"/>
      <c r="BE235" s="12"/>
      <c r="BF235" s="1"/>
    </row>
    <row r="236" ht="14.25" customHeight="1">
      <c r="A236" s="1"/>
      <c r="B236" s="1"/>
      <c r="C236" s="254" t="s">
        <v>229</v>
      </c>
      <c r="D236" s="265"/>
      <c r="E236" s="254"/>
      <c r="F236" s="59"/>
      <c r="G236" s="265"/>
      <c r="H236" s="265"/>
      <c r="I236" s="265"/>
      <c r="J236" s="88" t="s">
        <v>76</v>
      </c>
      <c r="K236" s="132"/>
      <c r="L236" s="262"/>
      <c r="M236" s="181"/>
      <c r="N236" s="134"/>
      <c r="O236" s="134"/>
      <c r="P236" s="269"/>
      <c r="Q236" s="268"/>
      <c r="R236" s="269"/>
      <c r="S236" s="268"/>
      <c r="T236" s="262">
        <f t="shared" si="1"/>
        <v>0</v>
      </c>
      <c r="U236" s="181"/>
      <c r="V236" s="134"/>
      <c r="W236" s="134"/>
      <c r="X236" s="269"/>
      <c r="Y236" s="268"/>
      <c r="Z236" s="269"/>
      <c r="AA236" s="268"/>
      <c r="AB236" s="262">
        <f t="shared" si="2"/>
        <v>0</v>
      </c>
      <c r="AC236" s="181"/>
      <c r="AD236" s="134"/>
      <c r="AE236" s="134"/>
      <c r="AF236" s="270"/>
      <c r="AG236" s="269"/>
      <c r="AH236" s="268"/>
      <c r="AI236" s="269"/>
      <c r="AJ236" s="268"/>
      <c r="AK236" s="262">
        <f t="shared" si="3"/>
        <v>0</v>
      </c>
      <c r="AX236" s="1"/>
      <c r="AY236" s="253"/>
      <c r="AZ236" s="1"/>
      <c r="BA236" s="1"/>
      <c r="BB236" s="1"/>
      <c r="BC236" s="1"/>
      <c r="BD236" s="1"/>
      <c r="BE236" s="12"/>
      <c r="BF236" s="1"/>
    </row>
    <row r="237" ht="14.25" customHeight="1">
      <c r="A237" s="1"/>
      <c r="B237" s="1"/>
      <c r="C237" s="254" t="s">
        <v>229</v>
      </c>
      <c r="D237" s="265"/>
      <c r="E237" s="254"/>
      <c r="F237" s="59"/>
      <c r="G237" s="265"/>
      <c r="H237" s="265"/>
      <c r="I237" s="265"/>
      <c r="J237" s="88" t="s">
        <v>76</v>
      </c>
      <c r="K237" s="132"/>
      <c r="L237" s="262"/>
      <c r="M237" s="181"/>
      <c r="N237" s="134"/>
      <c r="O237" s="134"/>
      <c r="P237" s="269"/>
      <c r="Q237" s="268"/>
      <c r="R237" s="269"/>
      <c r="S237" s="268"/>
      <c r="T237" s="262">
        <f t="shared" si="1"/>
        <v>0</v>
      </c>
      <c r="U237" s="181"/>
      <c r="V237" s="134"/>
      <c r="W237" s="134"/>
      <c r="X237" s="269"/>
      <c r="Y237" s="268"/>
      <c r="Z237" s="269"/>
      <c r="AA237" s="268"/>
      <c r="AB237" s="262">
        <f t="shared" si="2"/>
        <v>0</v>
      </c>
      <c r="AC237" s="181"/>
      <c r="AD237" s="134"/>
      <c r="AE237" s="134"/>
      <c r="AF237" s="270"/>
      <c r="AG237" s="269"/>
      <c r="AH237" s="268"/>
      <c r="AI237" s="269"/>
      <c r="AJ237" s="268"/>
      <c r="AK237" s="262">
        <f t="shared" si="3"/>
        <v>0</v>
      </c>
      <c r="AX237" s="1"/>
      <c r="AY237" s="253"/>
      <c r="AZ237" s="1"/>
      <c r="BA237" s="1"/>
      <c r="BB237" s="1"/>
      <c r="BC237" s="1"/>
      <c r="BD237" s="1"/>
      <c r="BE237" s="12"/>
      <c r="BF237" s="1"/>
    </row>
    <row r="238" ht="14.25" customHeight="1">
      <c r="A238" s="1"/>
      <c r="B238" s="1"/>
      <c r="C238" s="271"/>
      <c r="D238" s="272"/>
      <c r="E238" s="273"/>
      <c r="F238" s="65"/>
      <c r="G238" s="272"/>
      <c r="H238" s="272"/>
      <c r="I238" s="272"/>
      <c r="J238" s="274" t="s">
        <v>76</v>
      </c>
      <c r="K238" s="184"/>
      <c r="L238" s="275"/>
      <c r="M238" s="276"/>
      <c r="N238" s="277"/>
      <c r="O238" s="277"/>
      <c r="P238" s="277"/>
      <c r="Q238" s="277"/>
      <c r="R238" s="277"/>
      <c r="S238" s="277"/>
      <c r="T238" s="275"/>
      <c r="U238" s="276"/>
      <c r="V238" s="277"/>
      <c r="W238" s="277"/>
      <c r="X238" s="277"/>
      <c r="Y238" s="277"/>
      <c r="Z238" s="277"/>
      <c r="AA238" s="277"/>
      <c r="AB238" s="275">
        <f t="shared" si="2"/>
        <v>0</v>
      </c>
      <c r="AC238" s="278"/>
      <c r="AD238" s="279"/>
      <c r="AE238" s="279"/>
      <c r="AF238" s="279"/>
      <c r="AG238" s="279"/>
      <c r="AH238" s="279"/>
      <c r="AI238" s="279"/>
      <c r="AJ238" s="279"/>
      <c r="AK238" s="275">
        <f t="shared" si="3"/>
        <v>0</v>
      </c>
      <c r="AX238" s="1"/>
      <c r="AY238" s="253"/>
      <c r="AZ238" s="1"/>
      <c r="BA238" s="1"/>
      <c r="BB238" s="1"/>
      <c r="BC238" s="1"/>
      <c r="BD238" s="1"/>
      <c r="BE238" s="12"/>
      <c r="BF238" s="1"/>
    </row>
    <row r="239" ht="14.25" customHeight="1">
      <c r="A239" s="1"/>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2"/>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2"/>
    </row>
    <row r="241" ht="14.25" customHeight="1">
      <c r="A241" s="1"/>
      <c r="B241" s="82" t="s">
        <v>230</v>
      </c>
      <c r="C241" s="83" t="s">
        <v>231</v>
      </c>
      <c r="D241" s="84"/>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2"/>
      <c r="BF241" s="12"/>
    </row>
    <row r="242" ht="14.25" customHeight="1">
      <c r="A242" s="1"/>
      <c r="B242" s="85"/>
      <c r="C242" s="3"/>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2"/>
      <c r="BF242" s="12"/>
    </row>
    <row r="243" ht="14.25" customHeight="1">
      <c r="A243" s="1"/>
      <c r="B243" s="1"/>
      <c r="C243" s="22" t="s">
        <v>232</v>
      </c>
      <c r="D243" s="1"/>
      <c r="E243" s="1"/>
      <c r="F243" s="1"/>
      <c r="G243" s="1"/>
      <c r="H243" s="1"/>
      <c r="I243" s="1"/>
      <c r="J243" s="1"/>
      <c r="K243" s="1"/>
      <c r="L243" s="1"/>
      <c r="M243" s="1"/>
      <c r="N243" s="1"/>
      <c r="O243" s="1"/>
      <c r="P243" s="1"/>
      <c r="Q243" s="1"/>
      <c r="R243" s="1"/>
      <c r="S243" s="1"/>
      <c r="T243" s="1"/>
      <c r="U243" s="1"/>
      <c r="V243" s="1"/>
      <c r="W243" s="1"/>
      <c r="X243" s="1"/>
      <c r="Y243" s="1"/>
      <c r="Z243" s="1"/>
      <c r="AA243" s="1"/>
      <c r="AB243" s="12"/>
      <c r="AC243" s="12"/>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2"/>
      <c r="BF243" s="12"/>
    </row>
    <row r="244" ht="14.25" customHeight="1">
      <c r="A244" s="1"/>
      <c r="B244" s="88" t="s">
        <v>233</v>
      </c>
      <c r="C244" s="280" t="s">
        <v>234</v>
      </c>
      <c r="D244" s="26"/>
      <c r="E244" s="26"/>
      <c r="F244" s="27"/>
      <c r="G244" s="12"/>
      <c r="H244" s="13" t="s">
        <v>235</v>
      </c>
      <c r="I244" s="1"/>
      <c r="J244" s="1"/>
      <c r="K244" s="1"/>
      <c r="L244" s="1"/>
      <c r="M244" s="1"/>
      <c r="N244" s="1"/>
      <c r="O244" s="1"/>
      <c r="P244" s="1"/>
      <c r="Q244" s="1"/>
      <c r="R244" s="1"/>
      <c r="S244" s="1"/>
      <c r="T244" s="1"/>
      <c r="U244" s="1"/>
      <c r="V244" s="1"/>
      <c r="W244" s="12"/>
      <c r="X244" s="12"/>
      <c r="Y244" s="12"/>
      <c r="Z244" s="1"/>
      <c r="AA244" s="1"/>
      <c r="AB244" s="12"/>
      <c r="AC244" s="12"/>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2"/>
      <c r="BF244" s="12"/>
    </row>
    <row r="245" ht="14.25" customHeight="1">
      <c r="A245" s="1"/>
      <c r="B245" s="134"/>
      <c r="C245" s="89" t="s">
        <v>236</v>
      </c>
      <c r="D245" s="26"/>
      <c r="E245" s="26"/>
      <c r="F245" s="27"/>
      <c r="G245" s="12"/>
      <c r="H245" s="13" t="s">
        <v>237</v>
      </c>
      <c r="I245" s="1"/>
      <c r="J245" s="1"/>
      <c r="K245" s="1"/>
      <c r="L245" s="1"/>
      <c r="M245" s="1"/>
      <c r="N245" s="1"/>
      <c r="O245" s="1"/>
      <c r="P245" s="1"/>
      <c r="Q245" s="1"/>
      <c r="R245" s="1"/>
      <c r="S245" s="1"/>
      <c r="T245" s="1"/>
      <c r="U245" s="1"/>
      <c r="V245" s="1"/>
      <c r="W245" s="12"/>
      <c r="X245" s="12"/>
      <c r="Y245" s="12"/>
      <c r="Z245" s="1"/>
      <c r="AA245" s="1"/>
      <c r="AB245" s="12"/>
      <c r="AC245" s="12"/>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2"/>
      <c r="BF245" s="12"/>
    </row>
    <row r="246" ht="14.25" customHeight="1">
      <c r="A246" s="1"/>
      <c r="B246" s="88" t="s">
        <v>233</v>
      </c>
      <c r="C246" s="89" t="s">
        <v>238</v>
      </c>
      <c r="D246" s="26"/>
      <c r="E246" s="26"/>
      <c r="F246" s="27"/>
      <c r="G246" s="12"/>
      <c r="H246" s="13" t="s">
        <v>239</v>
      </c>
      <c r="I246" s="1"/>
      <c r="J246" s="1"/>
      <c r="K246" s="1"/>
      <c r="L246" s="1"/>
      <c r="M246" s="1"/>
      <c r="N246" s="1"/>
      <c r="O246" s="1"/>
      <c r="P246" s="1"/>
      <c r="Q246" s="1"/>
      <c r="R246" s="1"/>
      <c r="S246" s="1"/>
      <c r="T246" s="1"/>
      <c r="U246" s="1"/>
      <c r="V246" s="1"/>
      <c r="W246" s="12"/>
      <c r="X246" s="12"/>
      <c r="Y246" s="12"/>
      <c r="Z246" s="1"/>
      <c r="AA246" s="1"/>
      <c r="AB246" s="12"/>
      <c r="AC246" s="12"/>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2"/>
      <c r="BF246" s="12"/>
    </row>
    <row r="247" ht="14.25" customHeight="1">
      <c r="A247" s="1"/>
      <c r="B247" s="134"/>
      <c r="C247" s="89" t="s">
        <v>240</v>
      </c>
      <c r="D247" s="26"/>
      <c r="E247" s="26"/>
      <c r="F247" s="27"/>
      <c r="G247" s="12"/>
      <c r="H247" s="13" t="s">
        <v>241</v>
      </c>
      <c r="I247" s="1"/>
      <c r="J247" s="1"/>
      <c r="K247" s="1"/>
      <c r="L247" s="1"/>
      <c r="M247" s="1"/>
      <c r="N247" s="1"/>
      <c r="O247" s="1"/>
      <c r="P247" s="1"/>
      <c r="Q247" s="1"/>
      <c r="R247" s="1"/>
      <c r="S247" s="1"/>
      <c r="T247" s="1"/>
      <c r="U247" s="1"/>
      <c r="V247" s="1"/>
      <c r="W247" s="12"/>
      <c r="X247" s="12"/>
      <c r="Y247" s="12"/>
      <c r="Z247" s="1"/>
      <c r="AA247" s="1"/>
      <c r="AB247" s="12"/>
      <c r="AC247" s="12"/>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2"/>
      <c r="BF247" s="12"/>
    </row>
    <row r="248" ht="14.25" customHeight="1">
      <c r="A248" s="1"/>
      <c r="B248" s="281"/>
      <c r="C248" s="89" t="s">
        <v>242</v>
      </c>
      <c r="D248" s="26"/>
      <c r="E248" s="26"/>
      <c r="F248" s="27"/>
      <c r="G248" s="12"/>
      <c r="H248" s="13" t="s">
        <v>243</v>
      </c>
      <c r="I248" s="1"/>
      <c r="J248" s="1"/>
      <c r="K248" s="1"/>
      <c r="L248" s="1"/>
      <c r="M248" s="1"/>
      <c r="N248" s="1"/>
      <c r="O248" s="1"/>
      <c r="P248" s="1"/>
      <c r="Q248" s="1"/>
      <c r="R248" s="1"/>
      <c r="S248" s="1"/>
      <c r="T248" s="1"/>
      <c r="U248" s="1"/>
      <c r="V248" s="1"/>
      <c r="W248" s="12"/>
      <c r="X248" s="12"/>
      <c r="Y248" s="12"/>
      <c r="Z248" s="1"/>
      <c r="AA248" s="1"/>
      <c r="AB248" s="12"/>
      <c r="AC248" s="12"/>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2"/>
      <c r="BF248" s="12"/>
    </row>
    <row r="249" ht="14.25" customHeight="1">
      <c r="A249" s="1"/>
      <c r="B249" s="134"/>
      <c r="C249" s="89" t="s">
        <v>244</v>
      </c>
      <c r="D249" s="26"/>
      <c r="E249" s="26"/>
      <c r="F249" s="27"/>
      <c r="G249" s="12"/>
      <c r="H249" s="45" t="s">
        <v>245</v>
      </c>
      <c r="I249" s="1"/>
      <c r="J249" s="1"/>
      <c r="K249" s="1"/>
      <c r="L249" s="1"/>
      <c r="M249" s="1"/>
      <c r="N249" s="1"/>
      <c r="O249" s="1"/>
      <c r="P249" s="1"/>
      <c r="Q249" s="1"/>
      <c r="R249" s="1"/>
      <c r="S249" s="1"/>
      <c r="T249" s="1"/>
      <c r="U249" s="1"/>
      <c r="V249" s="1"/>
      <c r="W249" s="12"/>
      <c r="X249" s="12"/>
      <c r="Y249" s="12"/>
      <c r="Z249" s="1"/>
      <c r="AA249" s="1"/>
      <c r="AB249" s="12"/>
      <c r="AC249" s="12"/>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2"/>
      <c r="BF249" s="12"/>
    </row>
    <row r="250" ht="14.25" customHeight="1">
      <c r="A250" s="1"/>
      <c r="B250" s="134"/>
      <c r="C250" s="280" t="s">
        <v>246</v>
      </c>
      <c r="D250" s="26"/>
      <c r="E250" s="26"/>
      <c r="F250" s="27"/>
      <c r="G250" s="12"/>
      <c r="H250" s="45" t="s">
        <v>247</v>
      </c>
      <c r="I250" s="1"/>
      <c r="J250" s="1"/>
      <c r="K250" s="1"/>
      <c r="L250" s="1"/>
      <c r="M250" s="1"/>
      <c r="N250" s="1"/>
      <c r="O250" s="1"/>
      <c r="P250" s="1"/>
      <c r="Q250" s="1"/>
      <c r="R250" s="1"/>
      <c r="S250" s="1"/>
      <c r="T250" s="1"/>
      <c r="U250" s="1"/>
      <c r="V250" s="1"/>
      <c r="W250" s="12"/>
      <c r="X250" s="12"/>
      <c r="Y250" s="12"/>
      <c r="Z250" s="1"/>
      <c r="AA250" s="1"/>
      <c r="AB250" s="12"/>
      <c r="AC250" s="12"/>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2"/>
      <c r="BF250" s="12"/>
    </row>
    <row r="251" ht="14.25" customHeight="1">
      <c r="A251" s="1"/>
      <c r="B251" s="134"/>
      <c r="C251" s="280" t="s">
        <v>248</v>
      </c>
      <c r="D251" s="26"/>
      <c r="E251" s="26"/>
      <c r="F251" s="27"/>
      <c r="G251" s="12"/>
      <c r="H251" s="45" t="s">
        <v>249</v>
      </c>
      <c r="I251" s="1"/>
      <c r="J251" s="1"/>
      <c r="K251" s="1"/>
      <c r="L251" s="1"/>
      <c r="M251" s="1"/>
      <c r="N251" s="1"/>
      <c r="O251" s="1"/>
      <c r="P251" s="1"/>
      <c r="Q251" s="1"/>
      <c r="R251" s="1"/>
      <c r="S251" s="1"/>
      <c r="T251" s="1"/>
      <c r="U251" s="1"/>
      <c r="V251" s="1"/>
      <c r="W251" s="12"/>
      <c r="X251" s="12"/>
      <c r="Y251" s="12"/>
      <c r="Z251" s="1"/>
      <c r="AA251" s="1"/>
      <c r="AB251" s="12"/>
      <c r="AC251" s="12"/>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2"/>
      <c r="BF251" s="12"/>
    </row>
    <row r="252" ht="14.2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1"/>
      <c r="AE252" s="1"/>
      <c r="AF252" s="1"/>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3"/>
      <c r="BF252" s="283"/>
    </row>
    <row r="253" ht="14.25" customHeight="1">
      <c r="A253" s="1"/>
      <c r="B253" s="2"/>
      <c r="C253" s="124" t="s">
        <v>250</v>
      </c>
      <c r="D253" s="1"/>
      <c r="E253" s="1"/>
      <c r="F253" s="1"/>
      <c r="G253" s="1"/>
      <c r="H253" s="1"/>
      <c r="I253" s="124"/>
      <c r="J253" s="12"/>
      <c r="K253" s="12"/>
      <c r="L253" s="12"/>
      <c r="M253" s="12"/>
      <c r="N253" s="1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row>
    <row r="254" ht="14.25" customHeight="1">
      <c r="A254" s="1"/>
      <c r="B254" s="2"/>
      <c r="C254" s="125"/>
      <c r="D254" s="126"/>
      <c r="E254" s="126"/>
      <c r="F254" s="126"/>
      <c r="G254" s="126"/>
      <c r="H254" s="126"/>
      <c r="I254" s="127"/>
      <c r="J254" s="12"/>
      <c r="K254" s="12"/>
      <c r="L254" s="12"/>
      <c r="M254" s="12"/>
      <c r="N254" s="1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row>
    <row r="255" ht="14.25" customHeight="1">
      <c r="A255" s="1"/>
      <c r="B255" s="2"/>
      <c r="C255" s="128"/>
      <c r="D255" s="129"/>
      <c r="E255" s="129"/>
      <c r="F255" s="129"/>
      <c r="G255" s="129"/>
      <c r="H255" s="129"/>
      <c r="I255" s="130"/>
      <c r="J255" s="12"/>
      <c r="K255" s="12"/>
      <c r="L255" s="12"/>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row>
    <row r="256" ht="14.25" customHeight="1">
      <c r="A256" s="1"/>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2"/>
      <c r="BF256" s="12"/>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2"/>
      <c r="BF257" s="12"/>
    </row>
    <row r="258">
      <c r="A258" s="12"/>
      <c r="B258" s="12"/>
      <c r="C258" s="12"/>
      <c r="D258" s="12"/>
      <c r="E258" s="12"/>
      <c r="F258" s="12"/>
      <c r="G258" s="1"/>
      <c r="H258" s="1"/>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row>
    <row r="259">
      <c r="A259" s="12"/>
      <c r="B259" s="12"/>
      <c r="C259" s="12"/>
      <c r="D259" s="12"/>
      <c r="E259" s="12"/>
      <c r="F259" s="12"/>
      <c r="G259" s="1"/>
      <c r="H259" s="1"/>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row>
    <row r="260">
      <c r="A260" s="12"/>
      <c r="B260" s="12"/>
      <c r="C260" s="12"/>
      <c r="D260" s="12"/>
      <c r="E260" s="12"/>
      <c r="F260" s="12"/>
      <c r="G260" s="1"/>
      <c r="H260" s="1"/>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row>
    <row r="261">
      <c r="A261" s="12"/>
      <c r="B261" s="12"/>
      <c r="C261" s="12"/>
      <c r="D261" s="12"/>
      <c r="E261" s="12"/>
      <c r="F261" s="12"/>
      <c r="G261" s="1"/>
      <c r="H261" s="1"/>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row>
    <row r="262">
      <c r="A262" s="12"/>
      <c r="B262" s="12"/>
      <c r="C262" s="12"/>
      <c r="D262" s="12"/>
      <c r="E262" s="12"/>
      <c r="F262" s="12"/>
      <c r="G262" s="1"/>
      <c r="H262" s="1"/>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row>
    <row r="263">
      <c r="A263" s="12"/>
      <c r="B263" s="12"/>
      <c r="C263" s="12"/>
      <c r="D263" s="12"/>
      <c r="E263" s="12"/>
      <c r="F263" s="12"/>
      <c r="G263" s="1"/>
      <c r="H263" s="1"/>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row>
    <row r="264">
      <c r="A264" s="12"/>
      <c r="B264" s="12"/>
      <c r="C264" s="12"/>
      <c r="D264" s="12"/>
      <c r="E264" s="12"/>
      <c r="F264" s="12"/>
      <c r="G264" s="1"/>
      <c r="H264" s="1"/>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row>
    <row r="265">
      <c r="A265" s="12"/>
      <c r="B265" s="12"/>
      <c r="C265" s="12"/>
      <c r="D265" s="12"/>
      <c r="E265" s="12"/>
      <c r="F265" s="12"/>
      <c r="G265" s="284"/>
      <c r="H265" s="1"/>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row>
    <row r="266">
      <c r="A266" s="12"/>
      <c r="B266" s="12"/>
      <c r="C266" s="12"/>
      <c r="D266" s="12"/>
      <c r="E266" s="12"/>
      <c r="F266" s="12"/>
      <c r="G266" s="1"/>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row>
    <row r="267">
      <c r="A267" s="12"/>
      <c r="B267" s="12"/>
      <c r="C267" s="12"/>
      <c r="D267" s="12"/>
      <c r="E267" s="12"/>
      <c r="F267" s="12"/>
      <c r="G267" s="1"/>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row>
    <row r="268">
      <c r="A268" s="12"/>
      <c r="B268" s="12"/>
      <c r="C268" s="12"/>
      <c r="D268" s="12"/>
      <c r="E268" s="12"/>
      <c r="F268" s="12"/>
      <c r="G268" s="1"/>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row>
    <row r="269">
      <c r="A269" s="12"/>
      <c r="B269" s="12"/>
      <c r="C269" s="12"/>
      <c r="D269" s="12"/>
      <c r="E269" s="12"/>
      <c r="F269" s="12"/>
      <c r="G269" s="1"/>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row>
    <row r="270">
      <c r="A270" s="12"/>
      <c r="B270" s="12"/>
      <c r="C270" s="12"/>
      <c r="D270" s="12"/>
      <c r="E270" s="12"/>
      <c r="F270" s="12"/>
      <c r="G270" s="1"/>
      <c r="H270" s="1"/>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row>
    <row r="271">
      <c r="A271" s="12"/>
      <c r="B271" s="12"/>
      <c r="C271" s="12"/>
      <c r="D271" s="12"/>
      <c r="E271" s="12"/>
      <c r="F271" s="12"/>
      <c r="G271" s="1"/>
      <c r="H271" s="1"/>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row>
  </sheetData>
  <mergeCells count="252">
    <mergeCell ref="C26:E26"/>
    <mergeCell ref="C27:E27"/>
    <mergeCell ref="C28:E28"/>
    <mergeCell ref="C29:E29"/>
    <mergeCell ref="C38:F38"/>
    <mergeCell ref="C39:F39"/>
    <mergeCell ref="C40:F40"/>
    <mergeCell ref="C41:F41"/>
    <mergeCell ref="C42:F42"/>
    <mergeCell ref="C43:F43"/>
    <mergeCell ref="C44:F44"/>
    <mergeCell ref="C45:F45"/>
    <mergeCell ref="C46:F46"/>
    <mergeCell ref="C47:F47"/>
    <mergeCell ref="C50:F50"/>
    <mergeCell ref="C51:F51"/>
    <mergeCell ref="C52:F52"/>
    <mergeCell ref="C53:F53"/>
    <mergeCell ref="C54:F54"/>
    <mergeCell ref="D59:F59"/>
    <mergeCell ref="D60:F60"/>
    <mergeCell ref="D61:F61"/>
    <mergeCell ref="D62:F62"/>
    <mergeCell ref="D63:F63"/>
    <mergeCell ref="D64:F64"/>
    <mergeCell ref="D65:F65"/>
    <mergeCell ref="D66:F66"/>
    <mergeCell ref="D68:F68"/>
    <mergeCell ref="D69:F69"/>
    <mergeCell ref="D70:F70"/>
    <mergeCell ref="D71:F71"/>
    <mergeCell ref="D72:F72"/>
    <mergeCell ref="D73:F73"/>
    <mergeCell ref="D74:F74"/>
    <mergeCell ref="D75:F75"/>
    <mergeCell ref="D76:F76"/>
    <mergeCell ref="D77:F77"/>
    <mergeCell ref="D78:F78"/>
    <mergeCell ref="D85:E85"/>
    <mergeCell ref="D87:G87"/>
    <mergeCell ref="D90:G90"/>
    <mergeCell ref="I90:O90"/>
    <mergeCell ref="D91:G91"/>
    <mergeCell ref="D92:E92"/>
    <mergeCell ref="C96:I97"/>
    <mergeCell ref="C104:F104"/>
    <mergeCell ref="H104:N104"/>
    <mergeCell ref="D107:I107"/>
    <mergeCell ref="D108:I108"/>
    <mergeCell ref="I157:L157"/>
    <mergeCell ref="I158:L158"/>
    <mergeCell ref="M158:P158"/>
    <mergeCell ref="I159:L159"/>
    <mergeCell ref="M159:P159"/>
    <mergeCell ref="I160:L160"/>
    <mergeCell ref="M160:P160"/>
    <mergeCell ref="I161:L161"/>
    <mergeCell ref="M161:P161"/>
    <mergeCell ref="I162:L162"/>
    <mergeCell ref="M162:P162"/>
    <mergeCell ref="I163:L163"/>
    <mergeCell ref="M163:P163"/>
    <mergeCell ref="M164:P164"/>
    <mergeCell ref="I164:L164"/>
    <mergeCell ref="I165:L165"/>
    <mergeCell ref="I166:L166"/>
    <mergeCell ref="I167:L167"/>
    <mergeCell ref="I168:L168"/>
    <mergeCell ref="I169:L169"/>
    <mergeCell ref="I170:L170"/>
    <mergeCell ref="M172:P172"/>
    <mergeCell ref="M173:P173"/>
    <mergeCell ref="M174:P174"/>
    <mergeCell ref="M175:P175"/>
    <mergeCell ref="M176:P176"/>
    <mergeCell ref="M177:P177"/>
    <mergeCell ref="M178:P178"/>
    <mergeCell ref="M165:P165"/>
    <mergeCell ref="M166:P166"/>
    <mergeCell ref="M167:P167"/>
    <mergeCell ref="M168:P168"/>
    <mergeCell ref="M169:P169"/>
    <mergeCell ref="M170:P170"/>
    <mergeCell ref="M171:P171"/>
    <mergeCell ref="I171:L171"/>
    <mergeCell ref="I172:L172"/>
    <mergeCell ref="I173:L173"/>
    <mergeCell ref="I174:L174"/>
    <mergeCell ref="I175:L175"/>
    <mergeCell ref="I176:L176"/>
    <mergeCell ref="I177:L177"/>
    <mergeCell ref="J191:L191"/>
    <mergeCell ref="K192:L192"/>
    <mergeCell ref="T197:T201"/>
    <mergeCell ref="AB197:AB201"/>
    <mergeCell ref="AK197:AK201"/>
    <mergeCell ref="I178:L178"/>
    <mergeCell ref="P191:Q191"/>
    <mergeCell ref="R191:S191"/>
    <mergeCell ref="X191:Y191"/>
    <mergeCell ref="Z191:AA191"/>
    <mergeCell ref="AG191:AH191"/>
    <mergeCell ref="AI191:AJ191"/>
    <mergeCell ref="D109:I109"/>
    <mergeCell ref="D110:I110"/>
    <mergeCell ref="D111:I111"/>
    <mergeCell ref="D112:I112"/>
    <mergeCell ref="D113:I113"/>
    <mergeCell ref="D114:I114"/>
    <mergeCell ref="D115:I115"/>
    <mergeCell ref="D116:I116"/>
    <mergeCell ref="D117:I117"/>
    <mergeCell ref="D118:I118"/>
    <mergeCell ref="D121:I121"/>
    <mergeCell ref="D122:I122"/>
    <mergeCell ref="D123:I123"/>
    <mergeCell ref="D124:I124"/>
    <mergeCell ref="D125:I125"/>
    <mergeCell ref="D126:I126"/>
    <mergeCell ref="D127:I127"/>
    <mergeCell ref="D128:I128"/>
    <mergeCell ref="D129:I129"/>
    <mergeCell ref="D130:I130"/>
    <mergeCell ref="D131:I131"/>
    <mergeCell ref="D132:I132"/>
    <mergeCell ref="D134:I134"/>
    <mergeCell ref="D135:I135"/>
    <mergeCell ref="D136:I136"/>
    <mergeCell ref="D137:I137"/>
    <mergeCell ref="D138:I138"/>
    <mergeCell ref="D139:I139"/>
    <mergeCell ref="D140:I140"/>
    <mergeCell ref="D141:I141"/>
    <mergeCell ref="D142:I142"/>
    <mergeCell ref="D143:I143"/>
    <mergeCell ref="D144:I144"/>
    <mergeCell ref="D145:I145"/>
    <mergeCell ref="E147:F147"/>
    <mergeCell ref="I154:L154"/>
    <mergeCell ref="M154:P154"/>
    <mergeCell ref="E155:F155"/>
    <mergeCell ref="G155:H155"/>
    <mergeCell ref="I155:L155"/>
    <mergeCell ref="M155:P155"/>
    <mergeCell ref="I156:L156"/>
    <mergeCell ref="M156:P156"/>
    <mergeCell ref="M157:P157"/>
    <mergeCell ref="G174:H174"/>
    <mergeCell ref="G175:H175"/>
    <mergeCell ref="G176:H176"/>
    <mergeCell ref="G177:H177"/>
    <mergeCell ref="G178:H178"/>
    <mergeCell ref="E173:F173"/>
    <mergeCell ref="E174:F174"/>
    <mergeCell ref="E175:F175"/>
    <mergeCell ref="E176:F176"/>
    <mergeCell ref="E177:F177"/>
    <mergeCell ref="D182:G182"/>
    <mergeCell ref="D183:G18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C251:F251"/>
    <mergeCell ref="C254:I255"/>
    <mergeCell ref="C244:F244"/>
    <mergeCell ref="C245:F245"/>
    <mergeCell ref="C246:F246"/>
    <mergeCell ref="C247:F247"/>
    <mergeCell ref="C248:F248"/>
    <mergeCell ref="C249:F249"/>
    <mergeCell ref="C250:F250"/>
    <mergeCell ref="C147:D147"/>
    <mergeCell ref="C148:D148"/>
    <mergeCell ref="E148:F148"/>
    <mergeCell ref="C149:D149"/>
    <mergeCell ref="E149:F149"/>
    <mergeCell ref="E154:F154"/>
    <mergeCell ref="G154:H154"/>
    <mergeCell ref="E156:F156"/>
    <mergeCell ref="G156:H156"/>
    <mergeCell ref="E157:F157"/>
    <mergeCell ref="G157:H157"/>
    <mergeCell ref="E158:F158"/>
    <mergeCell ref="G158:H158"/>
    <mergeCell ref="G159:H159"/>
    <mergeCell ref="E159:F159"/>
    <mergeCell ref="E160:F160"/>
    <mergeCell ref="E161:F161"/>
    <mergeCell ref="E162:F162"/>
    <mergeCell ref="E163:F163"/>
    <mergeCell ref="E164:F164"/>
    <mergeCell ref="E165:F165"/>
    <mergeCell ref="G160:H160"/>
    <mergeCell ref="G161:H161"/>
    <mergeCell ref="G162:H162"/>
    <mergeCell ref="G163:H163"/>
    <mergeCell ref="G164:H164"/>
    <mergeCell ref="G165:H165"/>
    <mergeCell ref="G166:H166"/>
    <mergeCell ref="E166:F166"/>
    <mergeCell ref="E167:F167"/>
    <mergeCell ref="E168:F168"/>
    <mergeCell ref="E169:F169"/>
    <mergeCell ref="E170:F170"/>
    <mergeCell ref="E171:F171"/>
    <mergeCell ref="E172:F172"/>
    <mergeCell ref="G167:H167"/>
    <mergeCell ref="G168:H168"/>
    <mergeCell ref="G169:H169"/>
    <mergeCell ref="G170:H170"/>
    <mergeCell ref="G171:H171"/>
    <mergeCell ref="G172:H172"/>
    <mergeCell ref="G173:H173"/>
    <mergeCell ref="E178:F178"/>
    <mergeCell ref="E191:F191"/>
    <mergeCell ref="E192:F195"/>
    <mergeCell ref="J192:J195"/>
    <mergeCell ref="E197:F197"/>
    <mergeCell ref="E202:F202"/>
    <mergeCell ref="E203:F203"/>
  </mergeCells>
  <conditionalFormatting sqref="D85:E85 D92:E92">
    <cfRule type="expression" dxfId="2" priority="1">
      <formula>OR($B$29 = "In", #REF! = "In", $B$30 = "In", #REF! = "In")</formula>
    </cfRule>
  </conditionalFormatting>
  <conditionalFormatting sqref="D58">
    <cfRule type="expression" dxfId="3" priority="2">
      <formula>AND($B$29 = ".", #REF! = ".", $B$30 = ".")</formula>
    </cfRule>
  </conditionalFormatting>
  <conditionalFormatting sqref="M87:M88">
    <cfRule type="expression" dxfId="2" priority="3">
      <formula>OR(#REF! = "In", #REF! = "In", #REF! = "In", $B$28 = "In")</formula>
    </cfRule>
  </conditionalFormatting>
  <conditionalFormatting sqref="M87:M88">
    <cfRule type="expression" dxfId="2" priority="4">
      <formula>OR(#REF! = "In", #REF! = "In", #REF! = "In", #REF! = "In")</formula>
    </cfRule>
  </conditionalFormatting>
  <conditionalFormatting sqref="M87:M88">
    <cfRule type="expression" dxfId="3" priority="5">
      <formula>OR($B$28 = "In", $B$29 = "In", #REF! = "In")</formula>
    </cfRule>
  </conditionalFormatting>
  <conditionalFormatting sqref="C20">
    <cfRule type="notContainsText" dxfId="2" priority="6" operator="notContains" text="e.g.:">
      <formula>ISERROR(SEARCH(("e.g.:"),(C20)))</formula>
    </cfRule>
  </conditionalFormatting>
  <conditionalFormatting sqref="C20">
    <cfRule type="containsText" dxfId="1" priority="7" operator="containsText" text="e.g.:">
      <formula>NOT(ISERROR(SEARCH(("e.g.:"),(C20))))</formula>
    </cfRule>
  </conditionalFormatting>
  <conditionalFormatting sqref="C96 C254">
    <cfRule type="containsText" dxfId="1" priority="8" operator="containsText" text="e.g.:">
      <formula>NOT(ISERROR(SEARCH(("e.g.:"),(C96))))</formula>
    </cfRule>
  </conditionalFormatting>
  <conditionalFormatting sqref="C107:C118 C121:C132 C134:C145 E146:E148">
    <cfRule type="containsText" dxfId="1" priority="9" operator="containsText" text="e.g.:">
      <formula>NOT(ISERROR(SEARCH(("e.g.:"),(C107))))</formula>
    </cfRule>
  </conditionalFormatting>
  <conditionalFormatting sqref="C107:C118 C121:C132 C134:C145 E146:E148">
    <cfRule type="notContainsText" dxfId="2" priority="10" operator="notContains" text="e.g.:">
      <formula>ISERROR(SEARCH(("e.g.:"),(C107)))</formula>
    </cfRule>
  </conditionalFormatting>
  <conditionalFormatting sqref="C96 C254">
    <cfRule type="notContainsText" dxfId="2" priority="11" operator="notContains" text="e.g.:">
      <formula>ISERROR(SEARCH(("e.g.:"),(C96)))</formula>
    </cfRule>
  </conditionalFormatting>
  <conditionalFormatting sqref="D107:D111 C112:C118 C126:C132 C139:C145">
    <cfRule type="containsText" dxfId="1" priority="12" operator="containsText" text="e.g.:">
      <formula>NOT(ISERROR(SEARCH(("e.g.:"),(D107))))</formula>
    </cfRule>
  </conditionalFormatting>
  <conditionalFormatting sqref="D107:D111 C112:C118 C126:C132 C139:C145">
    <cfRule type="notContainsText" dxfId="2" priority="13" operator="notContains" text="e.g.:">
      <formula>ISERROR(SEARCH(("e.g.:"),(D107)))</formula>
    </cfRule>
  </conditionalFormatting>
  <conditionalFormatting sqref="D108:D109 D121:D123 C123:C132 D134:D136 C136:C145 E146:E148">
    <cfRule type="containsText" dxfId="1" priority="14" operator="containsText" text="e.g.:">
      <formula>NOT(ISERROR(SEARCH(("e.g.:"),(D108))))</formula>
    </cfRule>
  </conditionalFormatting>
  <conditionalFormatting sqref="D108:D109 D121:D123 C123:C132 D134:D136 C136:C145 E146:E148">
    <cfRule type="notContainsText" dxfId="2" priority="15" operator="notContains" text="e.g.:">
      <formula>ISERROR(SEARCH(("e.g.:"),(D108)))</formula>
    </cfRule>
  </conditionalFormatting>
  <conditionalFormatting sqref="M156:M157">
    <cfRule type="containsText" dxfId="1" priority="16" operator="containsText" text="e.g.:">
      <formula>NOT(ISERROR(SEARCH(("e.g.:"),(M156))))</formula>
    </cfRule>
  </conditionalFormatting>
  <conditionalFormatting sqref="M156:M157">
    <cfRule type="notContainsText" dxfId="2" priority="17" operator="notContains" text="e.g.:">
      <formula>ISERROR(SEARCH(("e.g.:"),(M156)))</formula>
    </cfRule>
  </conditionalFormatting>
  <conditionalFormatting sqref="C37:F48 G37 H37:N88 O37:R86 G43:G48 C50:G65 B68:C73 D69:E85 F69:G86 B75:C78 B81:B84 C81:C88 B86:B88 B90 C90:C92 D92:E92">
    <cfRule type="expression" dxfId="4" priority="18">
      <formula>AND($B$28 = ".", #REF! = ".", $B$29 = ".")</formula>
    </cfRule>
  </conditionalFormatting>
  <conditionalFormatting sqref="C73 D73:R84 C75:C78 C81:C84 H87:N88 P87:P88">
    <cfRule type="expression" dxfId="2" priority="19">
      <formula>OR($B$28 = "In", #REF! = "In", $B$29 = "In", #REF! = "In")</formula>
    </cfRule>
  </conditionalFormatting>
  <conditionalFormatting sqref="C73 D73:E85 F73:R84 C75:C78 C81:C84 H87:N88 P87:P88 D92:E92">
    <cfRule type="expression" dxfId="3" priority="20">
      <formula>OR(#REF! = "In", #REF! = "In", #REF! = "In")</formula>
    </cfRule>
  </conditionalFormatting>
  <conditionalFormatting sqref="A1">
    <cfRule type="notContainsBlanks" dxfId="0" priority="21">
      <formula>LEN(TRIM(A1))&gt;0</formula>
    </cfRule>
  </conditionalFormatting>
  <dataValidations>
    <dataValidation type="list" allowBlank="1" sqref="E146:F146 E147">
      <formula1>"Yes,No"</formula1>
    </dataValidation>
    <dataValidation type="list" allowBlank="1" sqref="C159:C178">
      <formula1>"Send 1,Send 2,Send 3,Send 4,Send 5,Send 6,Send 7,Send 8,Send 9,Send 10,Send 11,Send 12,Send 13,Send 14,Send 15,Send 16,Send 17,Send 18,Send 19,Send 20"</formula1>
    </dataValidation>
    <dataValidation type="list" allowBlank="1" sqref="G159:G178">
      <formula1>"Activate,Shop,Activate/Shop,Reminder to Activate,Reminder to Shop,Reminder to Activate/Shop,Unlock Week,Congratulations,Thank you,Information"</formula1>
    </dataValidation>
    <dataValidation type="list" allowBlank="1" sqref="J202:J238">
      <formula1>"Yes,No,."</formula1>
    </dataValidation>
    <dataValidation type="list" allowBlank="1" sqref="E192">
      <formula1>"Average Weekly Spend Bands (SPEND_8WK_SHOPPED_EXC_TOBACCO),Current Points Balance Min - Max,Lifestage"</formula1>
    </dataValidation>
    <dataValidation type="list" allowBlank="1" sqref="I159:I178">
      <formula1>"All in Selected Universe,Email Not Opened Customers,Email Not Opened Customers OR Email Opened-Offer Not Activated Customers,Email Opened-Offer Not Activated Customers,SMS Not Received Customers,SMS Received - Offer Not Activated Customers,Offer Not Activ"&amp;"ated Customers,Offer Activated Customers,Offer Activated Customers - Capped,Offer Activated but not Shopped Customers,Offer Activated and Shopped but not Qualified Customers,Offer Activated and Qualified Customers"</formula1>
    </dataValidation>
    <dataValidation type="list" allowBlank="1" sqref="H38:R47 H49:R54 H57:R86">
      <formula1>"NA-Inc Both,Ex-Optin,Ex-Optout,."</formula1>
    </dataValidation>
    <dataValidation type="list" allowBlank="1" sqref="C38:C47">
      <formula1>"Select Business Subscriptions,Woolworths Rewards Communications,Woolworths Supermarkets,Exclusive Offers and Promotions,BWS,BigW,Caltex Woolworths Fuel,Program Affiliates,Everyday Platinum Credit Card,Market Research,Liquor Communications"</formula1>
    </dataValidation>
    <dataValidation type="custom" allowBlank="1" showDropDown="1" sqref="D159:D178 P203:P237 R203:R237 X203:X237 Z203:Z237 AG203:AG237 AI203:AI237">
      <formula1>OR(NOT(ISERROR(DATEVALUE(D159))), AND(ISNUMBER(D159), LEFT(CELL("format", D159))="D"))</formula1>
    </dataValidation>
    <dataValidation type="list" allowBlank="1" sqref="B28:B29">
      <formula1>"In,."</formula1>
    </dataValidation>
    <dataValidation type="list" allowBlank="1" sqref="C50:C54">
      <formula1>"Select Channel Subscriptions,Email Contact Preference,SMS Contact Preference,Direct Mail Contact Preference,Browser Cookies"</formula1>
    </dataValidation>
    <dataValidation type="list" allowBlank="1" sqref="D182">
      <formula1>"61437079494 (Woolworths Rewards Inbound or Outbound with Keyword),61476857079 (Woolworths Rewards Inbound Only without a Keyword),."</formula1>
    </dataValidation>
    <dataValidation type="list" allowBlank="1" sqref="C108:C118 C122:C132 C135:C145">
      <formula1>"AND,OR,."</formula1>
    </dataValidation>
    <dataValidation type="list" allowBlank="1" sqref="B244:B251">
      <formula1>"✓,."</formula1>
    </dataValidation>
    <dataValidation type="list" allowBlank="1" sqref="E148">
      <formula1>"Target,Target and Control,."</formula1>
    </dataValidation>
    <dataValidation type="list" allowBlank="1" sqref="E159:E178">
      <formula1>"Email,Direct Mail,SMS,Docket,Social Media,Programmatic,Digital Channel"</formula1>
    </dataValidation>
    <dataValidation type="list" allowBlank="1" sqref="B104">
      <formula1>"Ex,."</formula1>
    </dataValidation>
  </dataValidations>
  <printOptions/>
  <pageMargins bottom="0.3937007874015748" footer="0.0" header="0.0" left="0.3937007874015748" right="0.3937007874015748" top="0.3937007874015748"/>
  <pageSetup fitToWidth="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5" width="25.0"/>
    <col customWidth="1" min="6" max="7" width="17.14"/>
    <col customWidth="1" min="9" max="9" width="16.57"/>
  </cols>
  <sheetData>
    <row r="2">
      <c r="A2" s="285"/>
      <c r="B2" s="285"/>
      <c r="C2" s="285"/>
      <c r="D2" s="285"/>
      <c r="E2" s="285"/>
      <c r="F2" s="286" t="s">
        <v>251</v>
      </c>
      <c r="G2" s="287"/>
      <c r="H2" s="286" t="s">
        <v>252</v>
      </c>
      <c r="I2" s="287"/>
      <c r="J2" s="288" t="s">
        <v>253</v>
      </c>
      <c r="K2" s="287"/>
      <c r="L2" s="288" t="s">
        <v>254</v>
      </c>
      <c r="M2" s="287"/>
      <c r="N2" s="288" t="s">
        <v>255</v>
      </c>
      <c r="O2" s="287"/>
      <c r="P2" s="289"/>
      <c r="Q2" s="285"/>
      <c r="R2" s="285"/>
      <c r="S2" s="285"/>
      <c r="T2" s="285"/>
      <c r="U2" s="285"/>
    </row>
    <row r="3">
      <c r="A3" s="290"/>
      <c r="B3" s="291"/>
      <c r="C3" s="292" t="s">
        <v>70</v>
      </c>
      <c r="D3" s="293"/>
      <c r="E3" s="293"/>
      <c r="F3" s="294"/>
      <c r="G3" s="295"/>
      <c r="H3" s="294"/>
      <c r="I3" s="295"/>
      <c r="J3" s="296"/>
      <c r="K3" s="297"/>
      <c r="L3" s="296"/>
      <c r="M3" s="297"/>
      <c r="N3" s="296"/>
      <c r="O3" s="297"/>
      <c r="P3" s="289"/>
      <c r="Q3" s="285"/>
      <c r="R3" s="285"/>
      <c r="S3" s="285"/>
      <c r="T3" s="285"/>
      <c r="U3" s="285"/>
    </row>
    <row r="4">
      <c r="A4" s="298"/>
      <c r="B4" s="299"/>
      <c r="C4" s="300" t="s">
        <v>72</v>
      </c>
      <c r="F4" s="301"/>
      <c r="G4" s="302"/>
      <c r="H4" s="301"/>
      <c r="I4" s="302"/>
      <c r="J4" s="303"/>
      <c r="K4" s="304"/>
      <c r="L4" s="303"/>
      <c r="M4" s="304"/>
      <c r="N4" s="303"/>
      <c r="O4" s="304"/>
      <c r="P4" s="289"/>
      <c r="Q4" s="285"/>
      <c r="R4" s="285"/>
      <c r="S4" s="285"/>
      <c r="T4" s="285"/>
      <c r="U4" s="285"/>
    </row>
    <row r="5">
      <c r="A5" s="305">
        <v>1.0</v>
      </c>
      <c r="B5" s="306"/>
      <c r="C5" s="307" t="s">
        <v>256</v>
      </c>
      <c r="F5" s="308"/>
      <c r="G5" s="309"/>
      <c r="H5" s="308"/>
      <c r="I5" s="309"/>
      <c r="J5" s="310"/>
      <c r="K5" s="311"/>
      <c r="L5" s="310"/>
      <c r="M5" s="311"/>
      <c r="N5" s="310"/>
      <c r="O5" s="311"/>
      <c r="P5" s="289"/>
      <c r="Q5" s="285"/>
      <c r="R5" s="285"/>
      <c r="S5" s="285"/>
      <c r="T5" s="285"/>
      <c r="U5" s="285"/>
    </row>
    <row r="6">
      <c r="A6" s="312"/>
      <c r="B6" s="313"/>
      <c r="C6" s="313"/>
      <c r="D6" s="314"/>
      <c r="E6" s="314"/>
      <c r="F6" s="315"/>
      <c r="G6" s="316"/>
      <c r="H6" s="315"/>
      <c r="I6" s="316"/>
      <c r="J6" s="317"/>
      <c r="K6" s="318"/>
      <c r="L6" s="317"/>
      <c r="M6" s="318"/>
      <c r="N6" s="317"/>
      <c r="O6" s="318"/>
      <c r="P6" s="289"/>
      <c r="Q6" s="285"/>
      <c r="R6" s="285"/>
      <c r="S6" s="285"/>
      <c r="T6" s="285"/>
      <c r="U6" s="285"/>
    </row>
    <row r="7">
      <c r="A7" s="290"/>
      <c r="B7" s="291"/>
      <c r="C7" s="319" t="s">
        <v>257</v>
      </c>
      <c r="D7" s="293"/>
      <c r="E7" s="293"/>
      <c r="F7" s="294"/>
      <c r="G7" s="295"/>
      <c r="H7" s="294"/>
      <c r="I7" s="295"/>
      <c r="J7" s="296"/>
      <c r="K7" s="297"/>
      <c r="L7" s="296"/>
      <c r="M7" s="297"/>
      <c r="N7" s="296"/>
      <c r="O7" s="297"/>
      <c r="P7" s="289"/>
      <c r="Q7" s="285"/>
      <c r="R7" s="285"/>
      <c r="S7" s="285"/>
      <c r="T7" s="285"/>
      <c r="U7" s="285"/>
    </row>
    <row r="8">
      <c r="A8" s="320"/>
      <c r="B8" s="321"/>
      <c r="C8" s="322"/>
      <c r="D8" s="323"/>
      <c r="E8" s="323"/>
      <c r="F8" s="324" t="s">
        <v>82</v>
      </c>
      <c r="G8" s="325" t="s">
        <v>86</v>
      </c>
      <c r="H8" s="324" t="s">
        <v>82</v>
      </c>
      <c r="I8" s="325" t="s">
        <v>86</v>
      </c>
      <c r="J8" s="326" t="s">
        <v>82</v>
      </c>
      <c r="K8" s="327" t="s">
        <v>86</v>
      </c>
      <c r="L8" s="326" t="s">
        <v>82</v>
      </c>
      <c r="M8" s="327" t="s">
        <v>86</v>
      </c>
      <c r="N8" s="326" t="s">
        <v>82</v>
      </c>
      <c r="O8" s="327" t="s">
        <v>86</v>
      </c>
      <c r="P8" s="289"/>
      <c r="Q8" s="285"/>
      <c r="R8" s="285"/>
      <c r="S8" s="285"/>
      <c r="T8" s="285"/>
      <c r="U8" s="285"/>
    </row>
    <row r="9">
      <c r="A9" s="298"/>
      <c r="B9" s="328"/>
      <c r="C9" s="329" t="s">
        <v>258</v>
      </c>
      <c r="F9" s="330"/>
      <c r="G9" s="331"/>
      <c r="H9" s="330"/>
      <c r="I9" s="331"/>
      <c r="J9" s="303"/>
      <c r="K9" s="304"/>
      <c r="L9" s="303"/>
      <c r="M9" s="304"/>
      <c r="N9" s="303"/>
      <c r="O9" s="304"/>
      <c r="P9" s="289"/>
      <c r="Q9" s="285"/>
      <c r="R9" s="285"/>
      <c r="S9" s="285"/>
      <c r="T9" s="285"/>
      <c r="U9" s="285"/>
    </row>
    <row r="10">
      <c r="A10" s="305">
        <v>1.0</v>
      </c>
      <c r="B10" s="332"/>
      <c r="C10" s="307" t="s">
        <v>259</v>
      </c>
      <c r="F10" s="333" t="s">
        <v>260</v>
      </c>
      <c r="G10" s="334" t="s">
        <v>261</v>
      </c>
      <c r="H10" s="333" t="s">
        <v>260</v>
      </c>
      <c r="I10" s="334" t="s">
        <v>261</v>
      </c>
      <c r="J10" s="335" t="s">
        <v>260</v>
      </c>
      <c r="K10" s="336" t="s">
        <v>261</v>
      </c>
      <c r="L10" s="335" t="s">
        <v>260</v>
      </c>
      <c r="M10" s="336" t="s">
        <v>261</v>
      </c>
      <c r="N10" s="335" t="s">
        <v>260</v>
      </c>
      <c r="O10" s="336" t="s">
        <v>261</v>
      </c>
      <c r="P10" s="289"/>
      <c r="Q10" s="285"/>
      <c r="R10" s="285"/>
      <c r="S10" s="285"/>
      <c r="T10" s="285"/>
      <c r="U10" s="285"/>
    </row>
    <row r="11">
      <c r="A11" s="312">
        <f t="shared" ref="A11:A17" si="1">A10+1</f>
        <v>2</v>
      </c>
      <c r="B11" s="314"/>
      <c r="C11" s="337" t="s">
        <v>262</v>
      </c>
      <c r="F11" s="338" t="s">
        <v>260</v>
      </c>
      <c r="G11" s="339" t="s">
        <v>261</v>
      </c>
      <c r="H11" s="338" t="s">
        <v>260</v>
      </c>
      <c r="I11" s="339" t="s">
        <v>261</v>
      </c>
      <c r="J11" s="340" t="s">
        <v>260</v>
      </c>
      <c r="K11" s="341" t="s">
        <v>261</v>
      </c>
      <c r="L11" s="340" t="s">
        <v>260</v>
      </c>
      <c r="M11" s="341" t="s">
        <v>261</v>
      </c>
      <c r="N11" s="340" t="s">
        <v>260</v>
      </c>
      <c r="O11" s="341" t="s">
        <v>261</v>
      </c>
      <c r="P11" s="289"/>
      <c r="Q11" s="285"/>
      <c r="R11" s="285"/>
      <c r="S11" s="285"/>
      <c r="T11" s="285"/>
      <c r="U11" s="285"/>
    </row>
    <row r="12">
      <c r="A12" s="342">
        <f t="shared" si="1"/>
        <v>3</v>
      </c>
      <c r="B12" s="332"/>
      <c r="C12" s="307" t="s">
        <v>95</v>
      </c>
      <c r="F12" s="333" t="s">
        <v>260</v>
      </c>
      <c r="G12" s="334" t="s">
        <v>263</v>
      </c>
      <c r="H12" s="333" t="s">
        <v>76</v>
      </c>
      <c r="I12" s="334" t="s">
        <v>76</v>
      </c>
      <c r="J12" s="335" t="s">
        <v>76</v>
      </c>
      <c r="K12" s="336" t="s">
        <v>76</v>
      </c>
      <c r="L12" s="335" t="s">
        <v>76</v>
      </c>
      <c r="M12" s="336" t="s">
        <v>76</v>
      </c>
      <c r="N12" s="335" t="s">
        <v>76</v>
      </c>
      <c r="O12" s="336" t="s">
        <v>76</v>
      </c>
      <c r="P12" s="289"/>
      <c r="Q12" s="285"/>
      <c r="R12" s="285"/>
      <c r="S12" s="285"/>
      <c r="T12" s="285"/>
      <c r="U12" s="285"/>
    </row>
    <row r="13">
      <c r="A13" s="312">
        <f t="shared" si="1"/>
        <v>4</v>
      </c>
      <c r="B13" s="314"/>
      <c r="C13" s="337" t="s">
        <v>252</v>
      </c>
      <c r="F13" s="338" t="s">
        <v>76</v>
      </c>
      <c r="G13" s="338" t="s">
        <v>76</v>
      </c>
      <c r="H13" s="338" t="s">
        <v>260</v>
      </c>
      <c r="I13" s="339" t="s">
        <v>263</v>
      </c>
      <c r="J13" s="340" t="s">
        <v>76</v>
      </c>
      <c r="K13" s="341" t="s">
        <v>76</v>
      </c>
      <c r="L13" s="340" t="s">
        <v>76</v>
      </c>
      <c r="M13" s="341" t="s">
        <v>76</v>
      </c>
      <c r="N13" s="340" t="s">
        <v>76</v>
      </c>
      <c r="O13" s="341" t="s">
        <v>76</v>
      </c>
      <c r="P13" s="289"/>
      <c r="Q13" s="285"/>
      <c r="R13" s="285"/>
      <c r="S13" s="285"/>
      <c r="T13" s="285"/>
      <c r="U13" s="285"/>
    </row>
    <row r="14">
      <c r="A14" s="342">
        <f t="shared" si="1"/>
        <v>5</v>
      </c>
      <c r="B14" s="332"/>
      <c r="C14" s="307" t="s">
        <v>264</v>
      </c>
      <c r="F14" s="333" t="s">
        <v>76</v>
      </c>
      <c r="G14" s="333" t="s">
        <v>76</v>
      </c>
      <c r="H14" s="333" t="s">
        <v>76</v>
      </c>
      <c r="I14" s="334" t="s">
        <v>76</v>
      </c>
      <c r="J14" s="333" t="s">
        <v>260</v>
      </c>
      <c r="K14" s="334" t="s">
        <v>263</v>
      </c>
      <c r="L14" s="335" t="s">
        <v>76</v>
      </c>
      <c r="M14" s="336" t="s">
        <v>76</v>
      </c>
      <c r="N14" s="335" t="s">
        <v>76</v>
      </c>
      <c r="O14" s="336" t="s">
        <v>76</v>
      </c>
      <c r="P14" s="289"/>
      <c r="Q14" s="285"/>
      <c r="R14" s="285"/>
      <c r="S14" s="285"/>
      <c r="T14" s="285"/>
      <c r="U14" s="285"/>
    </row>
    <row r="15">
      <c r="A15" s="312">
        <f t="shared" si="1"/>
        <v>6</v>
      </c>
      <c r="B15" s="314"/>
      <c r="C15" s="337" t="s">
        <v>265</v>
      </c>
      <c r="F15" s="338" t="s">
        <v>76</v>
      </c>
      <c r="G15" s="338" t="s">
        <v>76</v>
      </c>
      <c r="H15" s="338" t="s">
        <v>76</v>
      </c>
      <c r="I15" s="339" t="s">
        <v>76</v>
      </c>
      <c r="J15" s="340" t="s">
        <v>76</v>
      </c>
      <c r="K15" s="341" t="s">
        <v>76</v>
      </c>
      <c r="L15" s="338" t="s">
        <v>260</v>
      </c>
      <c r="M15" s="339" t="s">
        <v>263</v>
      </c>
      <c r="N15" s="340" t="s">
        <v>76</v>
      </c>
      <c r="O15" s="341" t="s">
        <v>76</v>
      </c>
      <c r="P15" s="289"/>
      <c r="Q15" s="285"/>
      <c r="R15" s="285"/>
      <c r="S15" s="285"/>
      <c r="T15" s="285"/>
      <c r="U15" s="285"/>
    </row>
    <row r="16">
      <c r="A16" s="342">
        <f t="shared" si="1"/>
        <v>7</v>
      </c>
      <c r="B16" s="332"/>
      <c r="C16" s="307" t="s">
        <v>255</v>
      </c>
      <c r="F16" s="333" t="s">
        <v>76</v>
      </c>
      <c r="G16" s="333" t="s">
        <v>76</v>
      </c>
      <c r="H16" s="333" t="s">
        <v>76</v>
      </c>
      <c r="I16" s="334" t="s">
        <v>76</v>
      </c>
      <c r="J16" s="335" t="s">
        <v>76</v>
      </c>
      <c r="K16" s="336" t="s">
        <v>76</v>
      </c>
      <c r="L16" s="335" t="s">
        <v>76</v>
      </c>
      <c r="M16" s="336" t="s">
        <v>76</v>
      </c>
      <c r="N16" s="333" t="s">
        <v>260</v>
      </c>
      <c r="O16" s="334" t="s">
        <v>263</v>
      </c>
      <c r="P16" s="289"/>
      <c r="Q16" s="285"/>
      <c r="R16" s="285"/>
      <c r="S16" s="285"/>
      <c r="T16" s="285"/>
      <c r="U16" s="285"/>
    </row>
    <row r="17">
      <c r="A17" s="312">
        <f t="shared" si="1"/>
        <v>8</v>
      </c>
      <c r="B17" s="314"/>
      <c r="C17" s="337" t="s">
        <v>266</v>
      </c>
      <c r="F17" s="338" t="s">
        <v>76</v>
      </c>
      <c r="G17" s="338" t="s">
        <v>76</v>
      </c>
      <c r="H17" s="338" t="s">
        <v>260</v>
      </c>
      <c r="I17" s="338" t="s">
        <v>260</v>
      </c>
      <c r="J17" s="317"/>
      <c r="K17" s="318"/>
      <c r="L17" s="317"/>
      <c r="M17" s="318"/>
      <c r="N17" s="317"/>
      <c r="O17" s="318"/>
      <c r="P17" s="289"/>
      <c r="Q17" s="285"/>
      <c r="R17" s="285"/>
      <c r="S17" s="285"/>
      <c r="T17" s="285"/>
      <c r="U17" s="285"/>
    </row>
    <row r="18">
      <c r="A18" s="298"/>
      <c r="B18" s="343"/>
      <c r="C18" s="344" t="s">
        <v>267</v>
      </c>
      <c r="F18" s="345"/>
      <c r="G18" s="346"/>
      <c r="H18" s="345"/>
      <c r="I18" s="346"/>
      <c r="J18" s="303"/>
      <c r="K18" s="304"/>
      <c r="L18" s="303"/>
      <c r="M18" s="304"/>
      <c r="N18" s="303"/>
      <c r="O18" s="304"/>
      <c r="P18" s="289"/>
      <c r="Q18" s="285"/>
      <c r="R18" s="285"/>
      <c r="S18" s="285"/>
      <c r="T18" s="285"/>
      <c r="U18" s="285"/>
    </row>
    <row r="19">
      <c r="A19" s="305">
        <v>1.0</v>
      </c>
      <c r="B19" s="347"/>
      <c r="C19" s="348" t="s">
        <v>268</v>
      </c>
      <c r="F19" s="333" t="s">
        <v>260</v>
      </c>
      <c r="G19" s="334" t="s">
        <v>263</v>
      </c>
      <c r="H19" s="333" t="s">
        <v>260</v>
      </c>
      <c r="I19" s="334" t="s">
        <v>263</v>
      </c>
      <c r="J19" s="333" t="s">
        <v>260</v>
      </c>
      <c r="K19" s="334" t="s">
        <v>263</v>
      </c>
      <c r="L19" s="333" t="s">
        <v>260</v>
      </c>
      <c r="M19" s="334" t="s">
        <v>263</v>
      </c>
      <c r="N19" s="333" t="s">
        <v>260</v>
      </c>
      <c r="O19" s="334" t="s">
        <v>263</v>
      </c>
      <c r="P19" s="289"/>
      <c r="Q19" s="285"/>
      <c r="R19" s="285"/>
      <c r="S19" s="285"/>
      <c r="T19" s="285"/>
      <c r="U19" s="285"/>
    </row>
    <row r="20">
      <c r="A20" s="312">
        <f t="shared" ref="A20:A22" si="2">A19+1</f>
        <v>2</v>
      </c>
      <c r="B20" s="349"/>
      <c r="C20" s="350"/>
      <c r="F20" s="338" t="s">
        <v>76</v>
      </c>
      <c r="G20" s="339" t="s">
        <v>76</v>
      </c>
      <c r="H20" s="338" t="s">
        <v>76</v>
      </c>
      <c r="I20" s="339" t="s">
        <v>76</v>
      </c>
      <c r="J20" s="340" t="s">
        <v>76</v>
      </c>
      <c r="K20" s="341" t="s">
        <v>76</v>
      </c>
      <c r="L20" s="340" t="s">
        <v>76</v>
      </c>
      <c r="M20" s="341" t="s">
        <v>76</v>
      </c>
      <c r="N20" s="340" t="s">
        <v>76</v>
      </c>
      <c r="O20" s="341" t="s">
        <v>76</v>
      </c>
      <c r="P20" s="289"/>
      <c r="Q20" s="285"/>
      <c r="R20" s="285"/>
      <c r="S20" s="285"/>
      <c r="T20" s="285"/>
      <c r="U20" s="285"/>
    </row>
    <row r="21">
      <c r="A21" s="342">
        <f t="shared" si="2"/>
        <v>3</v>
      </c>
      <c r="B21" s="347"/>
      <c r="C21" s="348"/>
      <c r="F21" s="333" t="s">
        <v>76</v>
      </c>
      <c r="G21" s="334" t="s">
        <v>76</v>
      </c>
      <c r="H21" s="333" t="s">
        <v>76</v>
      </c>
      <c r="I21" s="334" t="s">
        <v>76</v>
      </c>
      <c r="J21" s="335" t="s">
        <v>76</v>
      </c>
      <c r="K21" s="336" t="s">
        <v>76</v>
      </c>
      <c r="L21" s="335" t="s">
        <v>76</v>
      </c>
      <c r="M21" s="336" t="s">
        <v>76</v>
      </c>
      <c r="N21" s="335" t="s">
        <v>76</v>
      </c>
      <c r="O21" s="336" t="s">
        <v>76</v>
      </c>
      <c r="P21" s="289"/>
      <c r="Q21" s="285"/>
      <c r="R21" s="285"/>
      <c r="S21" s="285"/>
      <c r="T21" s="285"/>
      <c r="U21" s="285"/>
    </row>
    <row r="22">
      <c r="A22" s="312">
        <f t="shared" si="2"/>
        <v>4</v>
      </c>
      <c r="B22" s="349"/>
      <c r="C22" s="350"/>
      <c r="F22" s="338" t="s">
        <v>76</v>
      </c>
      <c r="G22" s="339" t="s">
        <v>76</v>
      </c>
      <c r="H22" s="338" t="s">
        <v>76</v>
      </c>
      <c r="I22" s="339" t="s">
        <v>76</v>
      </c>
      <c r="J22" s="340" t="s">
        <v>76</v>
      </c>
      <c r="K22" s="341" t="s">
        <v>76</v>
      </c>
      <c r="L22" s="340" t="s">
        <v>76</v>
      </c>
      <c r="M22" s="341" t="s">
        <v>76</v>
      </c>
      <c r="N22" s="340" t="s">
        <v>76</v>
      </c>
      <c r="O22" s="341" t="s">
        <v>76</v>
      </c>
      <c r="P22" s="289"/>
      <c r="Q22" s="285"/>
      <c r="R22" s="285"/>
      <c r="S22" s="285"/>
      <c r="T22" s="285"/>
      <c r="U22" s="285"/>
    </row>
    <row r="23">
      <c r="A23" s="342"/>
      <c r="B23" s="351"/>
      <c r="C23" s="348"/>
      <c r="D23" s="352"/>
      <c r="E23" s="353"/>
      <c r="F23" s="308"/>
      <c r="G23" s="309"/>
      <c r="H23" s="308"/>
      <c r="I23" s="309"/>
      <c r="J23" s="310"/>
      <c r="K23" s="311"/>
      <c r="L23" s="310"/>
      <c r="M23" s="311"/>
      <c r="N23" s="310"/>
      <c r="O23" s="311"/>
      <c r="P23" s="289"/>
      <c r="Q23" s="285"/>
      <c r="R23" s="285"/>
      <c r="S23" s="285"/>
      <c r="T23" s="285"/>
      <c r="U23" s="285"/>
    </row>
    <row r="24">
      <c r="A24" s="290"/>
      <c r="B24" s="291"/>
      <c r="C24" s="319" t="s">
        <v>269</v>
      </c>
      <c r="D24" s="293"/>
      <c r="E24" s="293"/>
      <c r="F24" s="294"/>
      <c r="G24" s="295"/>
      <c r="H24" s="294"/>
      <c r="I24" s="295"/>
      <c r="J24" s="296"/>
      <c r="K24" s="297"/>
      <c r="L24" s="296"/>
      <c r="M24" s="297"/>
      <c r="N24" s="296"/>
      <c r="O24" s="297"/>
      <c r="P24" s="289"/>
      <c r="Q24" s="285"/>
      <c r="R24" s="285"/>
      <c r="S24" s="285"/>
      <c r="T24" s="285"/>
      <c r="U24" s="285"/>
    </row>
    <row r="25">
      <c r="A25" s="354"/>
      <c r="B25" s="321"/>
      <c r="C25" s="355"/>
      <c r="D25" s="321"/>
      <c r="E25" s="321"/>
      <c r="F25" s="324" t="s">
        <v>82</v>
      </c>
      <c r="G25" s="325" t="s">
        <v>86</v>
      </c>
      <c r="H25" s="324" t="s">
        <v>82</v>
      </c>
      <c r="I25" s="325" t="s">
        <v>86</v>
      </c>
      <c r="J25" s="326" t="s">
        <v>82</v>
      </c>
      <c r="K25" s="327" t="s">
        <v>86</v>
      </c>
      <c r="L25" s="326" t="s">
        <v>82</v>
      </c>
      <c r="M25" s="327" t="s">
        <v>86</v>
      </c>
      <c r="N25" s="326" t="s">
        <v>82</v>
      </c>
      <c r="O25" s="327" t="s">
        <v>86</v>
      </c>
      <c r="P25" s="289"/>
      <c r="Q25" s="285"/>
      <c r="R25" s="285"/>
      <c r="S25" s="285"/>
      <c r="T25" s="285"/>
      <c r="U25" s="285"/>
    </row>
    <row r="26">
      <c r="A26" s="298"/>
      <c r="B26" s="299"/>
      <c r="C26" s="329" t="s">
        <v>270</v>
      </c>
      <c r="D26" s="328"/>
      <c r="E26" s="328"/>
      <c r="F26" s="330"/>
      <c r="G26" s="331"/>
      <c r="H26" s="330"/>
      <c r="I26" s="331"/>
      <c r="J26" s="303"/>
      <c r="K26" s="304"/>
      <c r="L26" s="303"/>
      <c r="M26" s="304"/>
      <c r="N26" s="303"/>
      <c r="O26" s="304"/>
      <c r="P26" s="289"/>
      <c r="Q26" s="285"/>
      <c r="R26" s="285"/>
      <c r="S26" s="285"/>
      <c r="T26" s="285"/>
      <c r="U26" s="285"/>
    </row>
    <row r="27">
      <c r="A27" s="305">
        <v>1.0</v>
      </c>
      <c r="B27" s="306"/>
      <c r="C27" s="356" t="s">
        <v>271</v>
      </c>
      <c r="F27" s="357" t="b">
        <v>1</v>
      </c>
      <c r="G27" s="358" t="b">
        <v>1</v>
      </c>
      <c r="H27" s="357" t="b">
        <v>1</v>
      </c>
      <c r="I27" s="358" t="b">
        <v>1</v>
      </c>
      <c r="J27" s="357" t="b">
        <v>1</v>
      </c>
      <c r="K27" s="358" t="b">
        <v>1</v>
      </c>
      <c r="L27" s="357" t="b">
        <v>1</v>
      </c>
      <c r="M27" s="358" t="b">
        <v>1</v>
      </c>
      <c r="N27" s="357" t="b">
        <v>1</v>
      </c>
      <c r="O27" s="358" t="b">
        <v>1</v>
      </c>
      <c r="P27" s="289"/>
      <c r="Q27" s="285"/>
      <c r="R27" s="285"/>
      <c r="S27" s="285"/>
      <c r="T27" s="285"/>
      <c r="U27" s="285"/>
    </row>
    <row r="28">
      <c r="A28" s="359">
        <v>2.0</v>
      </c>
      <c r="B28" s="360"/>
      <c r="C28" s="337" t="s">
        <v>272</v>
      </c>
      <c r="F28" s="361" t="b">
        <v>1</v>
      </c>
      <c r="G28" s="362" t="b">
        <v>1</v>
      </c>
      <c r="H28" s="361" t="b">
        <v>1</v>
      </c>
      <c r="I28" s="362" t="b">
        <v>1</v>
      </c>
      <c r="J28" s="361" t="b">
        <v>1</v>
      </c>
      <c r="K28" s="362" t="b">
        <v>1</v>
      </c>
      <c r="L28" s="361" t="b">
        <v>1</v>
      </c>
      <c r="M28" s="362" t="b">
        <v>1</v>
      </c>
      <c r="N28" s="361" t="b">
        <v>1</v>
      </c>
      <c r="O28" s="362" t="b">
        <v>1</v>
      </c>
      <c r="P28" s="289"/>
      <c r="Q28" s="285"/>
      <c r="R28" s="285"/>
      <c r="S28" s="285"/>
      <c r="T28" s="285"/>
      <c r="U28" s="285"/>
    </row>
    <row r="29">
      <c r="A29" s="342">
        <f t="shared" ref="A29:A31" si="3">A28+1</f>
        <v>3</v>
      </c>
      <c r="B29" s="306"/>
      <c r="C29" s="307" t="s">
        <v>106</v>
      </c>
      <c r="F29" s="357" t="b">
        <v>1</v>
      </c>
      <c r="G29" s="358" t="b">
        <v>1</v>
      </c>
      <c r="H29" s="357" t="b">
        <v>1</v>
      </c>
      <c r="I29" s="358" t="b">
        <v>1</v>
      </c>
      <c r="J29" s="357" t="b">
        <v>1</v>
      </c>
      <c r="K29" s="358" t="b">
        <v>1</v>
      </c>
      <c r="L29" s="357" t="b">
        <v>1</v>
      </c>
      <c r="M29" s="358" t="b">
        <v>1</v>
      </c>
      <c r="N29" s="357" t="b">
        <v>1</v>
      </c>
      <c r="O29" s="358" t="b">
        <v>1</v>
      </c>
      <c r="P29" s="289"/>
      <c r="Q29" s="285"/>
      <c r="R29" s="285"/>
      <c r="S29" s="285"/>
      <c r="T29" s="285"/>
      <c r="U29" s="285"/>
    </row>
    <row r="30">
      <c r="A30" s="312">
        <f t="shared" si="3"/>
        <v>4</v>
      </c>
      <c r="B30" s="360"/>
      <c r="C30" s="337" t="s">
        <v>129</v>
      </c>
      <c r="F30" s="361" t="b">
        <v>1</v>
      </c>
      <c r="G30" s="363" t="b">
        <v>0</v>
      </c>
      <c r="H30" s="361" t="b">
        <v>1</v>
      </c>
      <c r="I30" s="363" t="b">
        <v>0</v>
      </c>
      <c r="J30" s="361" t="b">
        <v>1</v>
      </c>
      <c r="K30" s="363" t="b">
        <v>0</v>
      </c>
      <c r="L30" s="361" t="b">
        <v>1</v>
      </c>
      <c r="M30" s="363" t="b">
        <v>0</v>
      </c>
      <c r="N30" s="361" t="b">
        <v>1</v>
      </c>
      <c r="O30" s="363" t="b">
        <v>0</v>
      </c>
      <c r="P30" s="289"/>
      <c r="Q30" s="285"/>
      <c r="R30" s="285"/>
      <c r="S30" s="285"/>
      <c r="T30" s="285"/>
      <c r="U30" s="285"/>
    </row>
    <row r="31">
      <c r="A31" s="342">
        <f t="shared" si="3"/>
        <v>5</v>
      </c>
      <c r="B31" s="306"/>
      <c r="C31" s="307" t="s">
        <v>273</v>
      </c>
      <c r="F31" s="357" t="b">
        <v>1</v>
      </c>
      <c r="G31" s="364" t="b">
        <v>0</v>
      </c>
      <c r="H31" s="357" t="b">
        <v>1</v>
      </c>
      <c r="I31" s="364" t="b">
        <v>0</v>
      </c>
      <c r="J31" s="357" t="b">
        <v>1</v>
      </c>
      <c r="K31" s="364" t="b">
        <v>0</v>
      </c>
      <c r="L31" s="357" t="b">
        <v>1</v>
      </c>
      <c r="M31" s="364" t="b">
        <v>0</v>
      </c>
      <c r="N31" s="357" t="b">
        <v>1</v>
      </c>
      <c r="O31" s="364" t="b">
        <v>0</v>
      </c>
      <c r="P31" s="289"/>
      <c r="Q31" s="285"/>
      <c r="R31" s="285"/>
      <c r="S31" s="285"/>
      <c r="T31" s="285"/>
      <c r="U31" s="285"/>
    </row>
    <row r="32">
      <c r="A32" s="312"/>
      <c r="B32" s="365"/>
      <c r="C32" s="366"/>
      <c r="F32" s="367"/>
      <c r="G32" s="368"/>
      <c r="H32" s="367"/>
      <c r="I32" s="368"/>
      <c r="J32" s="317"/>
      <c r="K32" s="318"/>
      <c r="L32" s="317"/>
      <c r="M32" s="318"/>
      <c r="N32" s="317"/>
      <c r="O32" s="318"/>
      <c r="P32" s="289"/>
      <c r="Q32" s="285"/>
      <c r="R32" s="285"/>
      <c r="S32" s="285"/>
      <c r="T32" s="285"/>
      <c r="U32" s="285"/>
    </row>
    <row r="33">
      <c r="A33" s="298"/>
      <c r="B33" s="343"/>
      <c r="C33" s="329" t="s">
        <v>274</v>
      </c>
      <c r="F33" s="345"/>
      <c r="G33" s="346"/>
      <c r="H33" s="345"/>
      <c r="I33" s="346"/>
      <c r="J33" s="303"/>
      <c r="K33" s="304"/>
      <c r="L33" s="303"/>
      <c r="M33" s="304"/>
      <c r="N33" s="303"/>
      <c r="O33" s="304"/>
      <c r="P33" s="289"/>
      <c r="Q33" s="285"/>
      <c r="R33" s="285"/>
      <c r="S33" s="285"/>
      <c r="T33" s="285"/>
      <c r="U33" s="285"/>
    </row>
    <row r="34">
      <c r="A34" s="369"/>
      <c r="B34" s="370"/>
      <c r="C34" s="371"/>
      <c r="D34" s="370"/>
      <c r="E34" s="370"/>
      <c r="F34" s="372" t="s">
        <v>82</v>
      </c>
      <c r="G34" s="373" t="s">
        <v>86</v>
      </c>
      <c r="H34" s="372" t="s">
        <v>82</v>
      </c>
      <c r="I34" s="373" t="s">
        <v>86</v>
      </c>
      <c r="J34" s="372" t="s">
        <v>82</v>
      </c>
      <c r="K34" s="373" t="s">
        <v>86</v>
      </c>
      <c r="L34" s="372" t="s">
        <v>82</v>
      </c>
      <c r="M34" s="373" t="s">
        <v>86</v>
      </c>
      <c r="N34" s="372" t="s">
        <v>82</v>
      </c>
      <c r="O34" s="373" t="s">
        <v>86</v>
      </c>
      <c r="P34" s="289"/>
      <c r="Q34" s="285"/>
      <c r="R34" s="285"/>
      <c r="S34" s="285"/>
      <c r="T34" s="285"/>
      <c r="U34" s="285"/>
    </row>
    <row r="35">
      <c r="A35" s="359">
        <v>1.0</v>
      </c>
      <c r="B35" s="360"/>
      <c r="C35" s="337" t="s">
        <v>107</v>
      </c>
      <c r="F35" s="361" t="b">
        <v>1</v>
      </c>
      <c r="G35" s="362" t="b">
        <v>1</v>
      </c>
      <c r="H35" s="361" t="b">
        <v>1</v>
      </c>
      <c r="I35" s="362" t="b">
        <v>1</v>
      </c>
      <c r="J35" s="361" t="b">
        <v>1</v>
      </c>
      <c r="K35" s="362" t="b">
        <v>1</v>
      </c>
      <c r="L35" s="361" t="b">
        <v>1</v>
      </c>
      <c r="M35" s="362" t="b">
        <v>1</v>
      </c>
      <c r="N35" s="361" t="b">
        <v>1</v>
      </c>
      <c r="O35" s="362" t="b">
        <v>1</v>
      </c>
      <c r="P35" s="289"/>
      <c r="Q35" s="285"/>
      <c r="R35" s="285"/>
      <c r="S35" s="285"/>
      <c r="T35" s="285"/>
      <c r="U35" s="285"/>
    </row>
    <row r="36">
      <c r="A36" s="342">
        <f t="shared" ref="A36:A37" si="4">A35+1</f>
        <v>2</v>
      </c>
      <c r="B36" s="306"/>
      <c r="C36" s="307" t="s">
        <v>275</v>
      </c>
      <c r="F36" s="357" t="b">
        <v>1</v>
      </c>
      <c r="G36" s="358" t="b">
        <v>1</v>
      </c>
      <c r="H36" s="357" t="b">
        <v>1</v>
      </c>
      <c r="I36" s="358" t="b">
        <v>1</v>
      </c>
      <c r="J36" s="357" t="b">
        <v>1</v>
      </c>
      <c r="K36" s="358" t="b">
        <v>1</v>
      </c>
      <c r="L36" s="357" t="b">
        <v>1</v>
      </c>
      <c r="M36" s="358" t="b">
        <v>1</v>
      </c>
      <c r="N36" s="357" t="b">
        <v>1</v>
      </c>
      <c r="O36" s="358" t="b">
        <v>1</v>
      </c>
      <c r="P36" s="289"/>
      <c r="Q36" s="285"/>
      <c r="R36" s="285"/>
      <c r="S36" s="285"/>
      <c r="T36" s="285"/>
      <c r="U36" s="285"/>
    </row>
    <row r="37">
      <c r="A37" s="312">
        <f t="shared" si="4"/>
        <v>3</v>
      </c>
      <c r="B37" s="360"/>
      <c r="C37" s="337" t="s">
        <v>110</v>
      </c>
      <c r="F37" s="361" t="b">
        <v>1</v>
      </c>
      <c r="G37" s="362" t="b">
        <v>1</v>
      </c>
      <c r="H37" s="361" t="b">
        <v>1</v>
      </c>
      <c r="I37" s="362" t="b">
        <v>1</v>
      </c>
      <c r="J37" s="361" t="b">
        <v>1</v>
      </c>
      <c r="K37" s="362" t="b">
        <v>1</v>
      </c>
      <c r="L37" s="361" t="b">
        <v>1</v>
      </c>
      <c r="M37" s="362" t="b">
        <v>1</v>
      </c>
      <c r="N37" s="361" t="b">
        <v>1</v>
      </c>
      <c r="O37" s="362" t="b">
        <v>1</v>
      </c>
      <c r="P37" s="289"/>
      <c r="Q37" s="285"/>
      <c r="R37" s="285"/>
      <c r="S37" s="285"/>
      <c r="T37" s="285"/>
      <c r="U37" s="285"/>
    </row>
    <row r="38">
      <c r="A38" s="305">
        <v>4.0</v>
      </c>
      <c r="B38" s="306"/>
      <c r="C38" s="307" t="s">
        <v>276</v>
      </c>
      <c r="F38" s="357" t="b">
        <v>1</v>
      </c>
      <c r="G38" s="358" t="b">
        <v>1</v>
      </c>
      <c r="H38" s="357" t="b">
        <v>1</v>
      </c>
      <c r="I38" s="358" t="b">
        <v>1</v>
      </c>
      <c r="J38" s="357" t="b">
        <v>1</v>
      </c>
      <c r="K38" s="358" t="b">
        <v>1</v>
      </c>
      <c r="L38" s="357" t="b">
        <v>1</v>
      </c>
      <c r="M38" s="358" t="b">
        <v>1</v>
      </c>
      <c r="N38" s="357" t="b">
        <v>1</v>
      </c>
      <c r="O38" s="358" t="b">
        <v>1</v>
      </c>
      <c r="P38" s="289"/>
      <c r="Q38" s="285"/>
      <c r="R38" s="285"/>
      <c r="S38" s="285"/>
      <c r="T38" s="285"/>
      <c r="U38" s="285"/>
    </row>
    <row r="39">
      <c r="A39" s="312">
        <f t="shared" ref="A39:A42" si="5">A38+1</f>
        <v>5</v>
      </c>
      <c r="B39" s="360"/>
      <c r="C39" s="337" t="s">
        <v>277</v>
      </c>
      <c r="F39" s="361" t="b">
        <v>1</v>
      </c>
      <c r="G39" s="362" t="b">
        <v>1</v>
      </c>
      <c r="H39" s="361" t="b">
        <v>1</v>
      </c>
      <c r="I39" s="362" t="b">
        <v>1</v>
      </c>
      <c r="J39" s="361" t="b">
        <v>1</v>
      </c>
      <c r="K39" s="362" t="b">
        <v>1</v>
      </c>
      <c r="L39" s="361" t="b">
        <v>1</v>
      </c>
      <c r="M39" s="362" t="b">
        <v>1</v>
      </c>
      <c r="N39" s="361" t="b">
        <v>1</v>
      </c>
      <c r="O39" s="362" t="b">
        <v>1</v>
      </c>
      <c r="P39" s="289"/>
      <c r="Q39" s="285"/>
      <c r="R39" s="285"/>
      <c r="S39" s="285"/>
      <c r="T39" s="285"/>
      <c r="U39" s="285"/>
    </row>
    <row r="40">
      <c r="A40" s="342">
        <f t="shared" si="5"/>
        <v>6</v>
      </c>
      <c r="B40" s="306"/>
      <c r="C40" s="374" t="str">
        <f>HYPERLINK("https://www.health.gov.au/health-topics/alcohol/about-alcohol/alcohol-laws-in-australia","Dry Postcodes (for Liquor Campaigns)")</f>
        <v>Dry Postcodes (for Liquor Campaigns)</v>
      </c>
      <c r="F40" s="357" t="b">
        <v>1</v>
      </c>
      <c r="G40" s="358" t="b">
        <v>1</v>
      </c>
      <c r="H40" s="357" t="b">
        <v>1</v>
      </c>
      <c r="I40" s="358" t="b">
        <v>1</v>
      </c>
      <c r="J40" s="357" t="b">
        <v>1</v>
      </c>
      <c r="K40" s="358" t="b">
        <v>1</v>
      </c>
      <c r="L40" s="357" t="b">
        <v>1</v>
      </c>
      <c r="M40" s="358" t="b">
        <v>1</v>
      </c>
      <c r="N40" s="357" t="b">
        <v>1</v>
      </c>
      <c r="O40" s="358" t="b">
        <v>1</v>
      </c>
      <c r="P40" s="289"/>
      <c r="Q40" s="285"/>
      <c r="R40" s="285"/>
      <c r="S40" s="285"/>
      <c r="T40" s="285"/>
      <c r="U40" s="285"/>
    </row>
    <row r="41">
      <c r="A41" s="312">
        <f t="shared" si="5"/>
        <v>7</v>
      </c>
      <c r="B41" s="360"/>
      <c r="C41" s="375" t="s">
        <v>278</v>
      </c>
      <c r="F41" s="361" t="b">
        <v>1</v>
      </c>
      <c r="G41" s="362" t="b">
        <v>1</v>
      </c>
      <c r="H41" s="361" t="b">
        <v>1</v>
      </c>
      <c r="I41" s="362" t="b">
        <v>1</v>
      </c>
      <c r="J41" s="361" t="b">
        <v>1</v>
      </c>
      <c r="K41" s="362" t="b">
        <v>1</v>
      </c>
      <c r="L41" s="361" t="b">
        <v>1</v>
      </c>
      <c r="M41" s="362" t="b">
        <v>1</v>
      </c>
      <c r="N41" s="361" t="b">
        <v>1</v>
      </c>
      <c r="O41" s="362" t="b">
        <v>1</v>
      </c>
      <c r="P41" s="289"/>
      <c r="Q41" s="285"/>
      <c r="R41" s="285"/>
      <c r="S41" s="285"/>
      <c r="T41" s="285"/>
      <c r="U41" s="285"/>
    </row>
    <row r="42">
      <c r="A42" s="342">
        <f t="shared" si="5"/>
        <v>8</v>
      </c>
      <c r="B42" s="306"/>
      <c r="C42" s="376" t="s">
        <v>279</v>
      </c>
      <c r="D42" s="376"/>
      <c r="E42" s="376"/>
      <c r="F42" s="357" t="b">
        <v>0</v>
      </c>
      <c r="G42" s="364" t="b">
        <v>0</v>
      </c>
      <c r="H42" s="357" t="b">
        <v>0</v>
      </c>
      <c r="I42" s="364" t="b">
        <v>0</v>
      </c>
      <c r="J42" s="357" t="b">
        <v>0</v>
      </c>
      <c r="K42" s="364" t="b">
        <v>0</v>
      </c>
      <c r="L42" s="357" t="b">
        <v>0</v>
      </c>
      <c r="M42" s="364" t="b">
        <v>0</v>
      </c>
      <c r="N42" s="357" t="b">
        <v>0</v>
      </c>
      <c r="O42" s="364" t="b">
        <v>0</v>
      </c>
      <c r="P42" s="289"/>
      <c r="Q42" s="285"/>
      <c r="R42" s="285"/>
      <c r="S42" s="285"/>
      <c r="T42" s="285"/>
      <c r="U42" s="285"/>
    </row>
    <row r="43">
      <c r="A43" s="377"/>
      <c r="B43" s="349"/>
      <c r="C43" s="378"/>
      <c r="F43" s="361"/>
      <c r="G43" s="362"/>
      <c r="H43" s="361"/>
      <c r="I43" s="362"/>
      <c r="J43" s="317"/>
      <c r="K43" s="318"/>
      <c r="L43" s="317"/>
      <c r="M43" s="318"/>
      <c r="N43" s="317"/>
      <c r="O43" s="318"/>
      <c r="P43" s="289"/>
      <c r="Q43" s="285"/>
      <c r="R43" s="285"/>
      <c r="S43" s="285"/>
      <c r="T43" s="285"/>
      <c r="U43" s="285"/>
    </row>
    <row r="44">
      <c r="A44" s="379"/>
      <c r="B44" s="380"/>
      <c r="C44" s="329" t="s">
        <v>280</v>
      </c>
      <c r="F44" s="345"/>
      <c r="G44" s="346"/>
      <c r="H44" s="345"/>
      <c r="I44" s="346"/>
      <c r="J44" s="303"/>
      <c r="K44" s="304"/>
      <c r="L44" s="303"/>
      <c r="M44" s="304"/>
      <c r="N44" s="303"/>
      <c r="O44" s="304"/>
      <c r="P44" s="289"/>
      <c r="Q44" s="285"/>
      <c r="R44" s="285"/>
      <c r="S44" s="285"/>
      <c r="T44" s="285"/>
      <c r="U44" s="285"/>
    </row>
    <row r="45">
      <c r="A45" s="369"/>
      <c r="B45" s="370"/>
      <c r="C45" s="371"/>
      <c r="D45" s="370"/>
      <c r="E45" s="370"/>
      <c r="F45" s="372" t="s">
        <v>82</v>
      </c>
      <c r="G45" s="373" t="s">
        <v>86</v>
      </c>
      <c r="H45" s="372" t="s">
        <v>82</v>
      </c>
      <c r="I45" s="373" t="s">
        <v>86</v>
      </c>
      <c r="J45" s="372" t="s">
        <v>82</v>
      </c>
      <c r="K45" s="373" t="s">
        <v>86</v>
      </c>
      <c r="L45" s="372" t="s">
        <v>82</v>
      </c>
      <c r="M45" s="373" t="s">
        <v>86</v>
      </c>
      <c r="N45" s="372" t="s">
        <v>82</v>
      </c>
      <c r="O45" s="373" t="s">
        <v>86</v>
      </c>
      <c r="P45" s="289"/>
      <c r="Q45" s="285"/>
      <c r="R45" s="285"/>
      <c r="S45" s="285"/>
      <c r="T45" s="285"/>
      <c r="U45" s="285"/>
    </row>
    <row r="46">
      <c r="A46" s="359">
        <v>1.0</v>
      </c>
      <c r="B46" s="360"/>
      <c r="C46" s="337" t="s">
        <v>281</v>
      </c>
      <c r="F46" s="361" t="b">
        <v>1</v>
      </c>
      <c r="G46" s="363" t="b">
        <v>0</v>
      </c>
      <c r="H46" s="361" t="b">
        <v>1</v>
      </c>
      <c r="I46" s="363" t="b">
        <v>0</v>
      </c>
      <c r="J46" s="361" t="b">
        <v>1</v>
      </c>
      <c r="K46" s="363" t="b">
        <v>0</v>
      </c>
      <c r="L46" s="361" t="b">
        <v>1</v>
      </c>
      <c r="M46" s="363" t="b">
        <v>0</v>
      </c>
      <c r="N46" s="361" t="b">
        <v>1</v>
      </c>
      <c r="O46" s="363" t="b">
        <v>0</v>
      </c>
      <c r="P46" s="289"/>
      <c r="Q46" s="285"/>
      <c r="R46" s="285"/>
      <c r="S46" s="285"/>
      <c r="T46" s="285"/>
      <c r="U46" s="285"/>
    </row>
    <row r="47">
      <c r="A47" s="342">
        <f>A46+1</f>
        <v>2</v>
      </c>
      <c r="B47" s="306"/>
      <c r="C47" s="307" t="s">
        <v>282</v>
      </c>
      <c r="F47" s="357" t="b">
        <v>1</v>
      </c>
      <c r="G47" s="364" t="b">
        <v>0</v>
      </c>
      <c r="H47" s="357" t="b">
        <v>1</v>
      </c>
      <c r="I47" s="364" t="b">
        <v>0</v>
      </c>
      <c r="J47" s="357" t="b">
        <v>1</v>
      </c>
      <c r="K47" s="364" t="b">
        <v>0</v>
      </c>
      <c r="L47" s="357" t="b">
        <v>1</v>
      </c>
      <c r="M47" s="364" t="b">
        <v>0</v>
      </c>
      <c r="N47" s="357" t="b">
        <v>1</v>
      </c>
      <c r="O47" s="364" t="b">
        <v>0</v>
      </c>
      <c r="P47" s="289"/>
      <c r="Q47" s="285"/>
      <c r="R47" s="285"/>
      <c r="S47" s="285"/>
      <c r="T47" s="285"/>
      <c r="U47" s="285"/>
    </row>
    <row r="48">
      <c r="A48" s="285"/>
      <c r="B48" s="285"/>
      <c r="C48" s="285"/>
      <c r="D48" s="285"/>
      <c r="E48" s="285"/>
      <c r="F48" s="285"/>
      <c r="G48" s="285"/>
      <c r="H48" s="285"/>
      <c r="I48" s="285"/>
      <c r="J48" s="285"/>
      <c r="K48" s="285"/>
      <c r="L48" s="285"/>
      <c r="M48" s="285"/>
      <c r="N48" s="285"/>
      <c r="O48" s="285"/>
      <c r="P48" s="285"/>
      <c r="Q48" s="285"/>
      <c r="R48" s="285"/>
      <c r="S48" s="285"/>
      <c r="T48" s="285"/>
      <c r="U48" s="285"/>
    </row>
    <row r="49">
      <c r="A49" s="285"/>
      <c r="B49" s="285"/>
      <c r="C49" s="285"/>
      <c r="D49" s="285"/>
      <c r="E49" s="285"/>
      <c r="F49" s="285"/>
      <c r="G49" s="285"/>
      <c r="H49" s="285"/>
      <c r="I49" s="285"/>
      <c r="J49" s="285"/>
      <c r="K49" s="285"/>
      <c r="L49" s="285"/>
      <c r="M49" s="285"/>
      <c r="N49" s="285"/>
      <c r="O49" s="285"/>
      <c r="P49" s="285"/>
      <c r="Q49" s="285"/>
      <c r="R49" s="285"/>
      <c r="S49" s="285"/>
      <c r="T49" s="285"/>
      <c r="U49" s="285"/>
    </row>
    <row r="50">
      <c r="A50" s="285"/>
      <c r="B50" s="285"/>
      <c r="C50" s="285"/>
      <c r="D50" s="285"/>
      <c r="E50" s="285"/>
      <c r="F50" s="285"/>
      <c r="G50" s="285"/>
      <c r="H50" s="285"/>
      <c r="I50" s="285"/>
      <c r="J50" s="285"/>
      <c r="K50" s="285"/>
      <c r="L50" s="285"/>
      <c r="M50" s="285"/>
      <c r="N50" s="285"/>
      <c r="O50" s="285"/>
      <c r="P50" s="285"/>
      <c r="Q50" s="285"/>
      <c r="R50" s="285"/>
      <c r="S50" s="285"/>
      <c r="T50" s="285"/>
      <c r="U50" s="285"/>
    </row>
    <row r="51">
      <c r="A51" s="285"/>
      <c r="B51" s="285"/>
      <c r="C51" s="285"/>
      <c r="D51" s="285"/>
      <c r="E51" s="285"/>
      <c r="F51" s="285"/>
      <c r="G51" s="285"/>
      <c r="H51" s="285"/>
      <c r="I51" s="285"/>
      <c r="J51" s="285"/>
      <c r="K51" s="285"/>
      <c r="L51" s="285"/>
      <c r="M51" s="285"/>
      <c r="N51" s="285"/>
      <c r="O51" s="285"/>
      <c r="P51" s="285"/>
      <c r="Q51" s="285"/>
      <c r="R51" s="285"/>
      <c r="S51" s="285"/>
      <c r="T51" s="285"/>
      <c r="U51" s="285"/>
    </row>
    <row r="52">
      <c r="A52" s="285"/>
      <c r="B52" s="285"/>
      <c r="C52" s="285"/>
      <c r="D52" s="285"/>
      <c r="E52" s="285"/>
      <c r="F52" s="285"/>
      <c r="G52" s="285"/>
      <c r="H52" s="285"/>
      <c r="I52" s="285"/>
      <c r="J52" s="285"/>
      <c r="K52" s="285"/>
      <c r="L52" s="285"/>
      <c r="M52" s="285"/>
      <c r="N52" s="285"/>
      <c r="O52" s="285"/>
      <c r="P52" s="285"/>
      <c r="Q52" s="285"/>
      <c r="R52" s="285"/>
      <c r="S52" s="285"/>
      <c r="T52" s="285"/>
      <c r="U52" s="285"/>
    </row>
    <row r="53">
      <c r="A53" s="285"/>
      <c r="B53" s="285"/>
      <c r="C53" s="285"/>
      <c r="D53" s="285"/>
      <c r="E53" s="285"/>
      <c r="F53" s="285"/>
      <c r="G53" s="285"/>
      <c r="H53" s="285"/>
      <c r="I53" s="285"/>
      <c r="J53" s="285"/>
      <c r="K53" s="285"/>
      <c r="L53" s="285"/>
      <c r="M53" s="285"/>
      <c r="N53" s="285"/>
      <c r="O53" s="285"/>
      <c r="P53" s="285"/>
      <c r="Q53" s="285"/>
      <c r="R53" s="285"/>
      <c r="S53" s="285"/>
      <c r="T53" s="285"/>
      <c r="U53" s="285"/>
    </row>
    <row r="54">
      <c r="A54" s="285"/>
      <c r="B54" s="285"/>
      <c r="C54" s="285"/>
      <c r="D54" s="285"/>
      <c r="E54" s="285"/>
      <c r="F54" s="285"/>
      <c r="G54" s="285"/>
      <c r="H54" s="285"/>
      <c r="I54" s="285"/>
      <c r="J54" s="285"/>
      <c r="K54" s="285"/>
      <c r="L54" s="285"/>
      <c r="M54" s="285"/>
      <c r="N54" s="285"/>
      <c r="O54" s="285"/>
      <c r="P54" s="285"/>
      <c r="Q54" s="285"/>
      <c r="R54" s="285"/>
      <c r="S54" s="285"/>
      <c r="T54" s="285"/>
      <c r="U54" s="285"/>
    </row>
    <row r="55">
      <c r="A55" s="285"/>
      <c r="B55" s="285"/>
      <c r="C55" s="285"/>
      <c r="D55" s="285"/>
      <c r="E55" s="285"/>
      <c r="F55" s="285"/>
      <c r="G55" s="285"/>
      <c r="H55" s="285"/>
      <c r="I55" s="285"/>
      <c r="J55" s="285"/>
      <c r="K55" s="285"/>
      <c r="L55" s="285"/>
      <c r="M55" s="285"/>
      <c r="N55" s="285"/>
      <c r="O55" s="285"/>
      <c r="P55" s="285"/>
      <c r="Q55" s="285"/>
      <c r="R55" s="285"/>
      <c r="S55" s="285"/>
      <c r="T55" s="285"/>
      <c r="U55" s="285"/>
    </row>
    <row r="56">
      <c r="A56" s="285"/>
      <c r="B56" s="285"/>
      <c r="C56" s="285"/>
      <c r="D56" s="285"/>
      <c r="E56" s="285"/>
      <c r="F56" s="285"/>
      <c r="G56" s="285"/>
      <c r="H56" s="285"/>
      <c r="I56" s="285"/>
      <c r="J56" s="285"/>
      <c r="K56" s="285"/>
      <c r="L56" s="285"/>
      <c r="M56" s="285"/>
      <c r="N56" s="285"/>
      <c r="O56" s="285"/>
      <c r="P56" s="285"/>
      <c r="Q56" s="285"/>
      <c r="R56" s="285"/>
      <c r="S56" s="285"/>
      <c r="T56" s="285"/>
      <c r="U56" s="285"/>
    </row>
    <row r="57">
      <c r="A57" s="285"/>
      <c r="B57" s="285"/>
      <c r="C57" s="285"/>
      <c r="D57" s="285"/>
      <c r="E57" s="285"/>
      <c r="F57" s="285"/>
      <c r="G57" s="285"/>
      <c r="H57" s="285"/>
      <c r="I57" s="285"/>
      <c r="J57" s="285"/>
      <c r="K57" s="285"/>
      <c r="L57" s="285"/>
      <c r="M57" s="285"/>
      <c r="N57" s="285"/>
      <c r="O57" s="285"/>
      <c r="P57" s="285"/>
      <c r="Q57" s="285"/>
      <c r="R57" s="285"/>
      <c r="S57" s="285"/>
      <c r="T57" s="285"/>
      <c r="U57" s="285"/>
    </row>
    <row r="58">
      <c r="A58" s="285"/>
      <c r="B58" s="285"/>
      <c r="C58" s="285"/>
      <c r="D58" s="285"/>
      <c r="E58" s="285"/>
      <c r="F58" s="285"/>
      <c r="G58" s="285"/>
      <c r="H58" s="285"/>
      <c r="I58" s="285"/>
      <c r="J58" s="285"/>
      <c r="K58" s="285"/>
      <c r="L58" s="285"/>
      <c r="M58" s="285"/>
      <c r="N58" s="285"/>
      <c r="O58" s="285"/>
      <c r="P58" s="285"/>
      <c r="Q58" s="285"/>
      <c r="R58" s="285"/>
      <c r="S58" s="285"/>
      <c r="T58" s="285"/>
      <c r="U58" s="285"/>
    </row>
    <row r="59">
      <c r="A59" s="285"/>
      <c r="B59" s="285"/>
      <c r="C59" s="285"/>
      <c r="D59" s="285"/>
      <c r="E59" s="285"/>
      <c r="F59" s="285"/>
      <c r="G59" s="285"/>
      <c r="H59" s="285"/>
      <c r="I59" s="285"/>
      <c r="J59" s="285"/>
      <c r="K59" s="285"/>
      <c r="L59" s="285"/>
      <c r="M59" s="285"/>
      <c r="N59" s="285"/>
      <c r="O59" s="285"/>
      <c r="P59" s="285"/>
      <c r="Q59" s="285"/>
      <c r="R59" s="285"/>
      <c r="S59" s="285"/>
      <c r="T59" s="285"/>
      <c r="U59" s="285"/>
    </row>
    <row r="60">
      <c r="A60" s="285"/>
      <c r="B60" s="285"/>
      <c r="C60" s="285"/>
      <c r="D60" s="285"/>
      <c r="E60" s="285"/>
      <c r="F60" s="285"/>
      <c r="G60" s="285"/>
      <c r="H60" s="285"/>
      <c r="I60" s="285"/>
      <c r="J60" s="285"/>
      <c r="K60" s="285"/>
      <c r="L60" s="285"/>
      <c r="M60" s="285"/>
      <c r="N60" s="285"/>
      <c r="O60" s="285"/>
      <c r="P60" s="285"/>
      <c r="Q60" s="285"/>
      <c r="R60" s="285"/>
      <c r="S60" s="285"/>
      <c r="T60" s="285"/>
      <c r="U60" s="285"/>
    </row>
    <row r="61">
      <c r="A61" s="285"/>
      <c r="B61" s="285"/>
      <c r="C61" s="285"/>
      <c r="D61" s="285"/>
      <c r="E61" s="285"/>
      <c r="F61" s="285"/>
      <c r="G61" s="285"/>
      <c r="H61" s="285"/>
      <c r="I61" s="285"/>
      <c r="J61" s="285"/>
      <c r="K61" s="285"/>
      <c r="L61" s="285"/>
      <c r="M61" s="285"/>
      <c r="N61" s="285"/>
      <c r="O61" s="285"/>
      <c r="P61" s="285"/>
      <c r="Q61" s="285"/>
      <c r="R61" s="285"/>
      <c r="S61" s="285"/>
      <c r="T61" s="285"/>
      <c r="U61" s="285"/>
    </row>
    <row r="62">
      <c r="A62" s="285"/>
      <c r="B62" s="285"/>
      <c r="C62" s="285"/>
      <c r="D62" s="285"/>
      <c r="E62" s="285"/>
      <c r="F62" s="285"/>
      <c r="G62" s="285"/>
      <c r="H62" s="285"/>
      <c r="I62" s="285"/>
      <c r="J62" s="285"/>
      <c r="K62" s="285"/>
      <c r="L62" s="285"/>
      <c r="M62" s="285"/>
      <c r="N62" s="285"/>
      <c r="O62" s="285"/>
      <c r="P62" s="285"/>
      <c r="Q62" s="285"/>
      <c r="R62" s="285"/>
      <c r="S62" s="285"/>
      <c r="T62" s="285"/>
      <c r="U62" s="285"/>
    </row>
    <row r="63">
      <c r="A63" s="285"/>
      <c r="B63" s="285"/>
      <c r="C63" s="285"/>
      <c r="D63" s="285"/>
      <c r="E63" s="285"/>
      <c r="F63" s="285"/>
      <c r="G63" s="285"/>
      <c r="H63" s="285"/>
      <c r="I63" s="285"/>
      <c r="J63" s="285"/>
      <c r="K63" s="285"/>
      <c r="L63" s="285"/>
      <c r="M63" s="285"/>
      <c r="N63" s="285"/>
      <c r="O63" s="285"/>
      <c r="P63" s="285"/>
      <c r="Q63" s="285"/>
      <c r="R63" s="285"/>
      <c r="S63" s="285"/>
      <c r="T63" s="285"/>
      <c r="U63" s="285"/>
    </row>
    <row r="64">
      <c r="A64" s="285"/>
      <c r="B64" s="285"/>
      <c r="C64" s="285"/>
      <c r="D64" s="285"/>
      <c r="E64" s="285"/>
      <c r="F64" s="285"/>
      <c r="G64" s="285"/>
      <c r="H64" s="285"/>
      <c r="I64" s="285"/>
      <c r="J64" s="285"/>
      <c r="K64" s="285"/>
      <c r="L64" s="285"/>
      <c r="M64" s="285"/>
      <c r="N64" s="285"/>
      <c r="O64" s="285"/>
      <c r="P64" s="285"/>
      <c r="Q64" s="285"/>
      <c r="R64" s="285"/>
      <c r="S64" s="285"/>
      <c r="T64" s="285"/>
      <c r="U64" s="285"/>
    </row>
    <row r="65">
      <c r="A65" s="285"/>
      <c r="B65" s="285"/>
      <c r="C65" s="285"/>
      <c r="D65" s="285"/>
      <c r="E65" s="285"/>
      <c r="F65" s="285"/>
      <c r="G65" s="285"/>
      <c r="H65" s="285"/>
      <c r="I65" s="285"/>
      <c r="J65" s="285"/>
      <c r="K65" s="285"/>
      <c r="L65" s="285"/>
      <c r="M65" s="285"/>
      <c r="N65" s="285"/>
      <c r="O65" s="285"/>
      <c r="P65" s="285"/>
      <c r="Q65" s="285"/>
      <c r="R65" s="285"/>
      <c r="S65" s="285"/>
      <c r="T65" s="285"/>
      <c r="U65" s="285"/>
    </row>
    <row r="66">
      <c r="A66" s="285"/>
      <c r="B66" s="285"/>
      <c r="C66" s="285"/>
      <c r="D66" s="285"/>
      <c r="E66" s="285"/>
      <c r="F66" s="285"/>
      <c r="G66" s="285"/>
      <c r="H66" s="285"/>
      <c r="I66" s="285"/>
      <c r="J66" s="285"/>
      <c r="K66" s="285"/>
      <c r="L66" s="285"/>
      <c r="M66" s="285"/>
      <c r="N66" s="285"/>
      <c r="O66" s="285"/>
      <c r="P66" s="285"/>
      <c r="Q66" s="285"/>
      <c r="R66" s="285"/>
      <c r="S66" s="285"/>
      <c r="T66" s="285"/>
      <c r="U66" s="285"/>
    </row>
    <row r="67">
      <c r="A67" s="285"/>
      <c r="B67" s="285"/>
      <c r="C67" s="285"/>
      <c r="D67" s="285"/>
      <c r="E67" s="285"/>
      <c r="F67" s="285"/>
      <c r="G67" s="285"/>
      <c r="H67" s="285"/>
      <c r="I67" s="285"/>
      <c r="J67" s="285"/>
      <c r="K67" s="285"/>
      <c r="L67" s="285"/>
      <c r="M67" s="285"/>
      <c r="N67" s="285"/>
      <c r="O67" s="285"/>
      <c r="P67" s="285"/>
      <c r="Q67" s="285"/>
      <c r="R67" s="285"/>
      <c r="S67" s="285"/>
      <c r="T67" s="285"/>
      <c r="U67" s="285"/>
    </row>
    <row r="68">
      <c r="A68" s="285"/>
      <c r="B68" s="285"/>
      <c r="C68" s="285"/>
      <c r="D68" s="285"/>
      <c r="E68" s="285"/>
      <c r="F68" s="285"/>
      <c r="G68" s="285"/>
      <c r="H68" s="285"/>
      <c r="I68" s="285"/>
      <c r="J68" s="285"/>
      <c r="K68" s="285"/>
      <c r="L68" s="285"/>
      <c r="M68" s="285"/>
      <c r="N68" s="285"/>
      <c r="O68" s="285"/>
      <c r="P68" s="285"/>
      <c r="Q68" s="285"/>
      <c r="R68" s="285"/>
      <c r="S68" s="285"/>
      <c r="T68" s="285"/>
      <c r="U68" s="285"/>
    </row>
    <row r="69">
      <c r="A69" s="285"/>
      <c r="B69" s="285"/>
      <c r="C69" s="285"/>
      <c r="D69" s="285"/>
      <c r="E69" s="285"/>
      <c r="F69" s="285"/>
      <c r="G69" s="285"/>
      <c r="H69" s="285"/>
      <c r="I69" s="285"/>
      <c r="J69" s="285"/>
      <c r="K69" s="285"/>
      <c r="L69" s="285"/>
      <c r="M69" s="285"/>
      <c r="N69" s="285"/>
      <c r="O69" s="285"/>
      <c r="P69" s="285"/>
      <c r="Q69" s="285"/>
      <c r="R69" s="285"/>
      <c r="S69" s="285"/>
      <c r="T69" s="285"/>
      <c r="U69" s="285"/>
    </row>
    <row r="70">
      <c r="A70" s="285"/>
      <c r="B70" s="285"/>
      <c r="C70" s="285"/>
      <c r="D70" s="285"/>
      <c r="E70" s="285"/>
      <c r="F70" s="285"/>
      <c r="G70" s="285"/>
      <c r="H70" s="285"/>
      <c r="I70" s="285"/>
      <c r="J70" s="285"/>
      <c r="K70" s="285"/>
      <c r="L70" s="285"/>
      <c r="M70" s="285"/>
      <c r="N70" s="285"/>
      <c r="O70" s="285"/>
      <c r="P70" s="285"/>
      <c r="Q70" s="285"/>
      <c r="R70" s="285"/>
      <c r="S70" s="285"/>
      <c r="T70" s="285"/>
      <c r="U70" s="285"/>
    </row>
    <row r="71">
      <c r="A71" s="285"/>
      <c r="B71" s="285"/>
      <c r="C71" s="285"/>
      <c r="D71" s="285"/>
      <c r="E71" s="285"/>
      <c r="F71" s="285"/>
      <c r="G71" s="285"/>
      <c r="H71" s="285"/>
      <c r="I71" s="285"/>
      <c r="J71" s="285"/>
      <c r="K71" s="285"/>
      <c r="L71" s="285"/>
      <c r="M71" s="285"/>
      <c r="N71" s="285"/>
      <c r="O71" s="285"/>
      <c r="P71" s="285"/>
      <c r="Q71" s="285"/>
      <c r="R71" s="285"/>
      <c r="S71" s="285"/>
      <c r="T71" s="285"/>
      <c r="U71" s="285"/>
    </row>
    <row r="72">
      <c r="A72" s="285"/>
      <c r="B72" s="285"/>
      <c r="C72" s="285"/>
      <c r="D72" s="285"/>
      <c r="E72" s="285"/>
      <c r="F72" s="285"/>
      <c r="G72" s="285"/>
      <c r="H72" s="285"/>
      <c r="I72" s="285"/>
      <c r="J72" s="285"/>
      <c r="K72" s="285"/>
      <c r="L72" s="285"/>
      <c r="M72" s="285"/>
      <c r="N72" s="285"/>
      <c r="O72" s="285"/>
      <c r="P72" s="285"/>
      <c r="Q72" s="285"/>
      <c r="R72" s="285"/>
      <c r="S72" s="285"/>
      <c r="T72" s="285"/>
      <c r="U72" s="285"/>
    </row>
    <row r="73">
      <c r="A73" s="285"/>
      <c r="B73" s="285"/>
      <c r="C73" s="285"/>
      <c r="D73" s="285"/>
      <c r="E73" s="285"/>
      <c r="F73" s="285"/>
      <c r="G73" s="285"/>
      <c r="H73" s="285"/>
      <c r="I73" s="285"/>
      <c r="J73" s="285"/>
      <c r="K73" s="285"/>
      <c r="L73" s="285"/>
      <c r="M73" s="285"/>
      <c r="N73" s="285"/>
      <c r="O73" s="285"/>
      <c r="P73" s="285"/>
      <c r="Q73" s="285"/>
      <c r="R73" s="285"/>
      <c r="S73" s="285"/>
      <c r="T73" s="285"/>
      <c r="U73" s="285"/>
    </row>
    <row r="74">
      <c r="A74" s="285"/>
      <c r="B74" s="285"/>
      <c r="C74" s="285"/>
      <c r="D74" s="285"/>
      <c r="E74" s="285"/>
      <c r="F74" s="285"/>
      <c r="G74" s="285"/>
      <c r="H74" s="285"/>
      <c r="I74" s="285"/>
      <c r="J74" s="285"/>
      <c r="K74" s="285"/>
      <c r="L74" s="285"/>
      <c r="M74" s="285"/>
      <c r="N74" s="285"/>
      <c r="O74" s="285"/>
      <c r="P74" s="285"/>
      <c r="Q74" s="285"/>
      <c r="R74" s="285"/>
      <c r="S74" s="285"/>
      <c r="T74" s="285"/>
      <c r="U74" s="285"/>
    </row>
    <row r="75">
      <c r="A75" s="285"/>
      <c r="B75" s="285"/>
      <c r="C75" s="285"/>
      <c r="D75" s="285"/>
      <c r="E75" s="285"/>
      <c r="F75" s="285"/>
      <c r="G75" s="285"/>
      <c r="H75" s="285"/>
      <c r="I75" s="285"/>
      <c r="J75" s="285"/>
      <c r="K75" s="285"/>
      <c r="L75" s="285"/>
      <c r="M75" s="285"/>
      <c r="N75" s="285"/>
      <c r="O75" s="285"/>
      <c r="P75" s="285"/>
      <c r="Q75" s="285"/>
      <c r="R75" s="285"/>
      <c r="S75" s="285"/>
      <c r="T75" s="285"/>
      <c r="U75" s="285"/>
    </row>
    <row r="76">
      <c r="A76" s="285"/>
      <c r="B76" s="285"/>
      <c r="C76" s="285"/>
      <c r="D76" s="285"/>
      <c r="E76" s="285"/>
      <c r="F76" s="285"/>
      <c r="G76" s="285"/>
      <c r="H76" s="285"/>
      <c r="I76" s="285"/>
      <c r="J76" s="285"/>
      <c r="K76" s="285"/>
      <c r="L76" s="285"/>
      <c r="M76" s="285"/>
      <c r="N76" s="285"/>
      <c r="O76" s="285"/>
      <c r="P76" s="285"/>
      <c r="Q76" s="285"/>
      <c r="R76" s="285"/>
      <c r="S76" s="285"/>
      <c r="T76" s="285"/>
      <c r="U76" s="285"/>
    </row>
    <row r="77">
      <c r="A77" s="285"/>
      <c r="B77" s="285"/>
      <c r="C77" s="285"/>
      <c r="D77" s="285"/>
      <c r="E77" s="285"/>
      <c r="F77" s="285"/>
      <c r="G77" s="285"/>
      <c r="H77" s="285"/>
      <c r="I77" s="285"/>
      <c r="J77" s="285"/>
      <c r="K77" s="285"/>
      <c r="L77" s="285"/>
      <c r="M77" s="285"/>
      <c r="N77" s="285"/>
      <c r="O77" s="285"/>
      <c r="P77" s="285"/>
      <c r="Q77" s="285"/>
      <c r="R77" s="285"/>
      <c r="S77" s="285"/>
      <c r="T77" s="285"/>
      <c r="U77" s="285"/>
    </row>
    <row r="78">
      <c r="A78" s="285"/>
      <c r="B78" s="285"/>
      <c r="C78" s="285"/>
      <c r="D78" s="285"/>
      <c r="E78" s="285"/>
      <c r="F78" s="285"/>
      <c r="G78" s="285"/>
      <c r="H78" s="285"/>
      <c r="I78" s="285"/>
      <c r="J78" s="285"/>
      <c r="K78" s="285"/>
      <c r="L78" s="285"/>
      <c r="M78" s="285"/>
      <c r="N78" s="285"/>
      <c r="O78" s="285"/>
      <c r="P78" s="285"/>
      <c r="Q78" s="285"/>
      <c r="R78" s="285"/>
      <c r="S78" s="285"/>
      <c r="T78" s="285"/>
      <c r="U78" s="285"/>
    </row>
    <row r="79">
      <c r="A79" s="285"/>
      <c r="B79" s="285"/>
      <c r="C79" s="285"/>
      <c r="D79" s="285"/>
      <c r="E79" s="285"/>
      <c r="F79" s="285"/>
      <c r="G79" s="285"/>
      <c r="H79" s="285"/>
      <c r="I79" s="285"/>
      <c r="J79" s="285"/>
      <c r="K79" s="285"/>
      <c r="L79" s="285"/>
      <c r="M79" s="285"/>
      <c r="N79" s="285"/>
      <c r="O79" s="285"/>
      <c r="P79" s="285"/>
      <c r="Q79" s="285"/>
      <c r="R79" s="285"/>
      <c r="S79" s="285"/>
      <c r="T79" s="285"/>
      <c r="U79" s="285"/>
    </row>
    <row r="80">
      <c r="A80" s="285"/>
      <c r="B80" s="285"/>
      <c r="C80" s="285"/>
      <c r="D80" s="285"/>
      <c r="E80" s="285"/>
      <c r="F80" s="285"/>
      <c r="G80" s="285"/>
      <c r="H80" s="285"/>
      <c r="I80" s="285"/>
      <c r="J80" s="285"/>
      <c r="K80" s="285"/>
      <c r="L80" s="285"/>
      <c r="M80" s="285"/>
      <c r="N80" s="285"/>
      <c r="O80" s="285"/>
      <c r="P80" s="285"/>
      <c r="Q80" s="285"/>
      <c r="R80" s="285"/>
      <c r="S80" s="285"/>
      <c r="T80" s="285"/>
      <c r="U80" s="285"/>
    </row>
    <row r="81">
      <c r="A81" s="285"/>
      <c r="B81" s="285"/>
      <c r="C81" s="285"/>
      <c r="D81" s="285"/>
      <c r="E81" s="285"/>
      <c r="F81" s="285"/>
      <c r="G81" s="285"/>
      <c r="H81" s="285"/>
      <c r="I81" s="285"/>
      <c r="J81" s="285"/>
      <c r="K81" s="285"/>
      <c r="L81" s="285"/>
      <c r="M81" s="285"/>
      <c r="N81" s="285"/>
      <c r="O81" s="285"/>
      <c r="P81" s="285"/>
      <c r="Q81" s="285"/>
      <c r="R81" s="285"/>
      <c r="S81" s="285"/>
      <c r="T81" s="285"/>
      <c r="U81" s="285"/>
    </row>
    <row r="82">
      <c r="A82" s="285"/>
      <c r="B82" s="285"/>
      <c r="C82" s="285"/>
      <c r="D82" s="285"/>
      <c r="E82" s="285"/>
      <c r="F82" s="285"/>
      <c r="G82" s="285"/>
      <c r="H82" s="285"/>
      <c r="I82" s="285"/>
      <c r="J82" s="285"/>
      <c r="K82" s="285"/>
      <c r="L82" s="285"/>
      <c r="M82" s="285"/>
      <c r="N82" s="285"/>
      <c r="O82" s="285"/>
      <c r="P82" s="285"/>
      <c r="Q82" s="285"/>
      <c r="R82" s="285"/>
      <c r="S82" s="285"/>
      <c r="T82" s="285"/>
      <c r="U82" s="285"/>
    </row>
    <row r="83">
      <c r="A83" s="285"/>
      <c r="B83" s="285"/>
      <c r="C83" s="285"/>
      <c r="D83" s="285"/>
      <c r="E83" s="285"/>
      <c r="F83" s="285"/>
      <c r="G83" s="285"/>
      <c r="H83" s="285"/>
      <c r="I83" s="285"/>
      <c r="J83" s="285"/>
      <c r="K83" s="285"/>
      <c r="L83" s="285"/>
      <c r="M83" s="285"/>
      <c r="N83" s="285"/>
      <c r="O83" s="285"/>
      <c r="P83" s="285"/>
      <c r="Q83" s="285"/>
      <c r="R83" s="285"/>
      <c r="S83" s="285"/>
      <c r="T83" s="285"/>
      <c r="U83" s="285"/>
    </row>
    <row r="84">
      <c r="A84" s="285"/>
      <c r="B84" s="285"/>
      <c r="C84" s="285"/>
      <c r="D84" s="285"/>
      <c r="E84" s="285"/>
      <c r="F84" s="285"/>
      <c r="G84" s="285"/>
      <c r="H84" s="285"/>
      <c r="I84" s="285"/>
      <c r="J84" s="285"/>
      <c r="K84" s="285"/>
      <c r="L84" s="285"/>
      <c r="M84" s="285"/>
      <c r="N84" s="285"/>
      <c r="O84" s="285"/>
      <c r="P84" s="285"/>
      <c r="Q84" s="285"/>
      <c r="R84" s="285"/>
      <c r="S84" s="285"/>
      <c r="T84" s="285"/>
      <c r="U84" s="285"/>
    </row>
    <row r="85">
      <c r="A85" s="285"/>
      <c r="B85" s="285"/>
      <c r="C85" s="285"/>
      <c r="D85" s="285"/>
      <c r="E85" s="285"/>
      <c r="F85" s="285"/>
      <c r="G85" s="285"/>
      <c r="H85" s="285"/>
      <c r="I85" s="285"/>
      <c r="J85" s="285"/>
      <c r="K85" s="285"/>
      <c r="L85" s="285"/>
      <c r="M85" s="285"/>
      <c r="N85" s="285"/>
      <c r="O85" s="285"/>
      <c r="P85" s="285"/>
      <c r="Q85" s="285"/>
      <c r="R85" s="285"/>
      <c r="S85" s="285"/>
      <c r="T85" s="285"/>
      <c r="U85" s="285"/>
    </row>
    <row r="86">
      <c r="A86" s="285"/>
      <c r="B86" s="285"/>
      <c r="C86" s="285"/>
      <c r="D86" s="285"/>
      <c r="E86" s="285"/>
      <c r="F86" s="285"/>
      <c r="G86" s="285"/>
      <c r="H86" s="285"/>
      <c r="I86" s="285"/>
      <c r="J86" s="285"/>
      <c r="K86" s="285"/>
      <c r="L86" s="285"/>
      <c r="M86" s="285"/>
      <c r="N86" s="285"/>
      <c r="O86" s="285"/>
      <c r="P86" s="285"/>
      <c r="Q86" s="285"/>
      <c r="R86" s="285"/>
      <c r="S86" s="285"/>
      <c r="T86" s="285"/>
      <c r="U86" s="285"/>
    </row>
    <row r="87">
      <c r="A87" s="285"/>
      <c r="B87" s="285"/>
      <c r="C87" s="285"/>
      <c r="D87" s="285"/>
      <c r="E87" s="285"/>
      <c r="F87" s="285"/>
      <c r="G87" s="285"/>
      <c r="H87" s="285"/>
      <c r="I87" s="285"/>
      <c r="J87" s="285"/>
      <c r="K87" s="285"/>
      <c r="L87" s="285"/>
      <c r="M87" s="285"/>
      <c r="N87" s="285"/>
      <c r="O87" s="285"/>
      <c r="P87" s="285"/>
      <c r="Q87" s="285"/>
      <c r="R87" s="285"/>
      <c r="S87" s="285"/>
      <c r="T87" s="285"/>
      <c r="U87" s="285"/>
    </row>
    <row r="88">
      <c r="A88" s="285"/>
      <c r="B88" s="285"/>
      <c r="C88" s="285"/>
      <c r="D88" s="285"/>
      <c r="E88" s="285"/>
      <c r="F88" s="285"/>
      <c r="G88" s="285"/>
      <c r="H88" s="285"/>
      <c r="I88" s="285"/>
      <c r="J88" s="285"/>
      <c r="K88" s="285"/>
      <c r="L88" s="285"/>
      <c r="M88" s="285"/>
      <c r="N88" s="285"/>
      <c r="O88" s="285"/>
      <c r="P88" s="285"/>
      <c r="Q88" s="285"/>
      <c r="R88" s="285"/>
      <c r="S88" s="285"/>
      <c r="T88" s="285"/>
      <c r="U88" s="285"/>
    </row>
    <row r="89">
      <c r="A89" s="285"/>
      <c r="B89" s="285"/>
      <c r="C89" s="285"/>
      <c r="D89" s="285"/>
      <c r="E89" s="285"/>
      <c r="F89" s="285"/>
      <c r="G89" s="285"/>
      <c r="H89" s="285"/>
      <c r="I89" s="285"/>
      <c r="J89" s="285"/>
      <c r="K89" s="285"/>
      <c r="L89" s="285"/>
      <c r="M89" s="285"/>
      <c r="N89" s="285"/>
      <c r="O89" s="285"/>
      <c r="P89" s="285"/>
      <c r="Q89" s="285"/>
      <c r="R89" s="285"/>
      <c r="S89" s="285"/>
      <c r="T89" s="285"/>
      <c r="U89" s="285"/>
    </row>
    <row r="90">
      <c r="A90" s="285"/>
      <c r="B90" s="285"/>
      <c r="C90" s="285"/>
      <c r="D90" s="285"/>
      <c r="E90" s="285"/>
      <c r="F90" s="285"/>
      <c r="G90" s="285"/>
      <c r="H90" s="285"/>
      <c r="I90" s="285"/>
      <c r="J90" s="285"/>
      <c r="K90" s="285"/>
      <c r="L90" s="285"/>
      <c r="M90" s="285"/>
      <c r="N90" s="285"/>
      <c r="O90" s="285"/>
      <c r="P90" s="285"/>
      <c r="Q90" s="285"/>
      <c r="R90" s="285"/>
      <c r="S90" s="285"/>
      <c r="T90" s="285"/>
      <c r="U90" s="285"/>
    </row>
    <row r="91">
      <c r="A91" s="285"/>
      <c r="B91" s="285"/>
      <c r="C91" s="285"/>
      <c r="D91" s="285"/>
      <c r="E91" s="285"/>
      <c r="F91" s="285"/>
      <c r="G91" s="285"/>
      <c r="H91" s="285"/>
      <c r="I91" s="285"/>
      <c r="J91" s="285"/>
      <c r="K91" s="285"/>
      <c r="L91" s="285"/>
      <c r="M91" s="285"/>
      <c r="N91" s="285"/>
      <c r="O91" s="285"/>
      <c r="P91" s="285"/>
      <c r="Q91" s="285"/>
      <c r="R91" s="285"/>
      <c r="S91" s="285"/>
      <c r="T91" s="285"/>
      <c r="U91" s="285"/>
    </row>
    <row r="92">
      <c r="A92" s="285"/>
      <c r="B92" s="285"/>
      <c r="C92" s="285"/>
      <c r="D92" s="285"/>
      <c r="E92" s="285"/>
      <c r="F92" s="285"/>
      <c r="G92" s="285"/>
      <c r="H92" s="285"/>
      <c r="I92" s="285"/>
      <c r="J92" s="285"/>
      <c r="K92" s="285"/>
      <c r="L92" s="285"/>
      <c r="M92" s="285"/>
      <c r="N92" s="285"/>
      <c r="O92" s="285"/>
      <c r="P92" s="285"/>
      <c r="Q92" s="285"/>
      <c r="R92" s="285"/>
      <c r="S92" s="285"/>
      <c r="T92" s="285"/>
      <c r="U92" s="285"/>
    </row>
    <row r="93">
      <c r="A93" s="285"/>
      <c r="B93" s="285"/>
      <c r="C93" s="285"/>
      <c r="D93" s="285"/>
      <c r="E93" s="285"/>
      <c r="F93" s="285"/>
      <c r="G93" s="285"/>
      <c r="H93" s="285"/>
      <c r="I93" s="285"/>
      <c r="J93" s="285"/>
      <c r="K93" s="285"/>
      <c r="L93" s="285"/>
      <c r="M93" s="285"/>
      <c r="N93" s="285"/>
      <c r="O93" s="285"/>
      <c r="P93" s="285"/>
      <c r="Q93" s="285"/>
      <c r="R93" s="285"/>
      <c r="S93" s="285"/>
      <c r="T93" s="285"/>
      <c r="U93" s="285"/>
    </row>
    <row r="94">
      <c r="A94" s="285"/>
      <c r="B94" s="285"/>
      <c r="C94" s="285"/>
      <c r="D94" s="285"/>
      <c r="E94" s="285"/>
      <c r="F94" s="285"/>
      <c r="G94" s="285"/>
      <c r="H94" s="285"/>
      <c r="I94" s="285"/>
      <c r="J94" s="285"/>
      <c r="K94" s="285"/>
      <c r="L94" s="285"/>
      <c r="M94" s="285"/>
      <c r="N94" s="285"/>
      <c r="O94" s="285"/>
      <c r="P94" s="285"/>
      <c r="Q94" s="285"/>
      <c r="R94" s="285"/>
      <c r="S94" s="285"/>
      <c r="T94" s="285"/>
      <c r="U94" s="285"/>
    </row>
    <row r="95">
      <c r="A95" s="285"/>
      <c r="B95" s="285"/>
      <c r="C95" s="285"/>
      <c r="D95" s="285"/>
      <c r="E95" s="285"/>
      <c r="F95" s="285"/>
      <c r="G95" s="285"/>
      <c r="H95" s="285"/>
      <c r="I95" s="285"/>
      <c r="J95" s="285"/>
      <c r="K95" s="285"/>
      <c r="L95" s="285"/>
      <c r="M95" s="285"/>
      <c r="N95" s="285"/>
      <c r="O95" s="285"/>
      <c r="P95" s="285"/>
      <c r="Q95" s="285"/>
      <c r="R95" s="285"/>
      <c r="S95" s="285"/>
      <c r="T95" s="285"/>
      <c r="U95" s="285"/>
    </row>
    <row r="96">
      <c r="A96" s="285"/>
      <c r="B96" s="285"/>
      <c r="C96" s="285"/>
      <c r="D96" s="285"/>
      <c r="E96" s="285"/>
      <c r="F96" s="285"/>
      <c r="G96" s="285"/>
      <c r="H96" s="285"/>
      <c r="I96" s="285"/>
      <c r="J96" s="285"/>
      <c r="K96" s="285"/>
      <c r="L96" s="285"/>
      <c r="M96" s="285"/>
      <c r="N96" s="285"/>
      <c r="O96" s="285"/>
      <c r="P96" s="285"/>
      <c r="Q96" s="285"/>
      <c r="R96" s="285"/>
      <c r="S96" s="285"/>
      <c r="T96" s="285"/>
      <c r="U96" s="285"/>
    </row>
    <row r="97">
      <c r="A97" s="285"/>
      <c r="B97" s="285"/>
      <c r="C97" s="285"/>
      <c r="D97" s="285"/>
      <c r="E97" s="285"/>
      <c r="F97" s="285"/>
      <c r="G97" s="285"/>
      <c r="H97" s="285"/>
      <c r="I97" s="285"/>
      <c r="J97" s="285"/>
      <c r="K97" s="285"/>
      <c r="L97" s="285"/>
      <c r="M97" s="285"/>
      <c r="N97" s="285"/>
      <c r="O97" s="285"/>
      <c r="P97" s="285"/>
      <c r="Q97" s="285"/>
      <c r="R97" s="285"/>
      <c r="S97" s="285"/>
      <c r="T97" s="285"/>
      <c r="U97" s="285"/>
    </row>
    <row r="98">
      <c r="A98" s="285"/>
      <c r="B98" s="285"/>
      <c r="C98" s="285"/>
      <c r="D98" s="285"/>
      <c r="E98" s="285"/>
      <c r="F98" s="285"/>
      <c r="G98" s="285"/>
      <c r="H98" s="285"/>
      <c r="I98" s="285"/>
      <c r="J98" s="285"/>
      <c r="K98" s="285"/>
      <c r="L98" s="285"/>
      <c r="M98" s="285"/>
      <c r="N98" s="285"/>
      <c r="O98" s="285"/>
      <c r="P98" s="285"/>
      <c r="Q98" s="285"/>
      <c r="R98" s="285"/>
      <c r="S98" s="285"/>
      <c r="T98" s="285"/>
      <c r="U98" s="285"/>
    </row>
    <row r="99">
      <c r="A99" s="285"/>
      <c r="B99" s="285"/>
      <c r="C99" s="285"/>
      <c r="D99" s="285"/>
      <c r="E99" s="285"/>
      <c r="F99" s="285"/>
      <c r="G99" s="285"/>
      <c r="H99" s="285"/>
      <c r="I99" s="285"/>
      <c r="J99" s="285"/>
      <c r="K99" s="285"/>
      <c r="L99" s="285"/>
      <c r="M99" s="285"/>
      <c r="N99" s="285"/>
      <c r="O99" s="285"/>
      <c r="P99" s="285"/>
      <c r="Q99" s="285"/>
      <c r="R99" s="285"/>
      <c r="S99" s="285"/>
      <c r="T99" s="285"/>
      <c r="U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row>
    <row r="150">
      <c r="A150" s="285"/>
      <c r="B150" s="285"/>
      <c r="C150" s="285"/>
      <c r="D150" s="285"/>
      <c r="E150" s="285"/>
      <c r="F150" s="285"/>
      <c r="G150" s="285"/>
      <c r="H150" s="285"/>
      <c r="I150" s="285"/>
      <c r="J150" s="285"/>
      <c r="K150" s="285"/>
      <c r="L150" s="285"/>
      <c r="M150" s="285"/>
      <c r="N150" s="285"/>
      <c r="O150" s="285"/>
      <c r="P150" s="285"/>
      <c r="Q150" s="285"/>
      <c r="R150" s="285"/>
      <c r="S150" s="285"/>
      <c r="T150" s="285"/>
      <c r="U150" s="285"/>
    </row>
    <row r="151">
      <c r="A151" s="285"/>
      <c r="B151" s="285"/>
      <c r="C151" s="285"/>
      <c r="D151" s="285"/>
      <c r="E151" s="285"/>
      <c r="F151" s="285"/>
      <c r="G151" s="285"/>
      <c r="H151" s="285"/>
      <c r="I151" s="285"/>
      <c r="J151" s="285"/>
      <c r="K151" s="285"/>
      <c r="L151" s="285"/>
      <c r="M151" s="285"/>
      <c r="N151" s="285"/>
      <c r="O151" s="285"/>
      <c r="P151" s="285"/>
      <c r="Q151" s="285"/>
      <c r="R151" s="285"/>
      <c r="S151" s="285"/>
      <c r="T151" s="285"/>
      <c r="U151" s="285"/>
    </row>
    <row r="152">
      <c r="A152" s="285"/>
      <c r="B152" s="285"/>
      <c r="C152" s="285"/>
      <c r="D152" s="285"/>
      <c r="E152" s="285"/>
      <c r="F152" s="285"/>
      <c r="G152" s="285"/>
      <c r="H152" s="285"/>
      <c r="I152" s="285"/>
      <c r="J152" s="285"/>
      <c r="K152" s="285"/>
      <c r="L152" s="285"/>
      <c r="M152" s="285"/>
      <c r="N152" s="285"/>
      <c r="O152" s="285"/>
      <c r="P152" s="285"/>
      <c r="Q152" s="285"/>
      <c r="R152" s="285"/>
      <c r="S152" s="285"/>
      <c r="T152" s="285"/>
      <c r="U152" s="285"/>
    </row>
    <row r="153">
      <c r="A153" s="285"/>
      <c r="B153" s="285"/>
      <c r="C153" s="285"/>
      <c r="D153" s="285"/>
      <c r="E153" s="285"/>
      <c r="F153" s="285"/>
      <c r="G153" s="285"/>
      <c r="H153" s="285"/>
      <c r="I153" s="285"/>
      <c r="J153" s="285"/>
      <c r="K153" s="285"/>
      <c r="L153" s="285"/>
      <c r="M153" s="285"/>
      <c r="N153" s="285"/>
      <c r="O153" s="285"/>
      <c r="P153" s="285"/>
      <c r="Q153" s="285"/>
      <c r="R153" s="285"/>
      <c r="S153" s="285"/>
      <c r="T153" s="285"/>
      <c r="U153" s="285"/>
    </row>
    <row r="154">
      <c r="A154" s="285"/>
      <c r="B154" s="285"/>
      <c r="C154" s="285"/>
      <c r="D154" s="285"/>
      <c r="E154" s="285"/>
      <c r="F154" s="285"/>
      <c r="G154" s="285"/>
      <c r="H154" s="285"/>
      <c r="I154" s="285"/>
      <c r="J154" s="285"/>
      <c r="K154" s="285"/>
      <c r="L154" s="285"/>
      <c r="M154" s="285"/>
      <c r="N154" s="285"/>
      <c r="O154" s="285"/>
      <c r="P154" s="285"/>
      <c r="Q154" s="285"/>
      <c r="R154" s="285"/>
      <c r="S154" s="285"/>
      <c r="T154" s="285"/>
      <c r="U154" s="285"/>
    </row>
    <row r="155">
      <c r="A155" s="285"/>
      <c r="B155" s="285"/>
      <c r="C155" s="285"/>
      <c r="D155" s="285"/>
      <c r="E155" s="285"/>
      <c r="F155" s="285"/>
      <c r="G155" s="285"/>
      <c r="H155" s="285"/>
      <c r="I155" s="285"/>
      <c r="J155" s="285"/>
      <c r="K155" s="285"/>
      <c r="L155" s="285"/>
      <c r="M155" s="285"/>
      <c r="N155" s="285"/>
      <c r="O155" s="285"/>
      <c r="P155" s="285"/>
      <c r="Q155" s="285"/>
      <c r="R155" s="285"/>
      <c r="S155" s="285"/>
      <c r="T155" s="285"/>
      <c r="U155" s="285"/>
    </row>
    <row r="156">
      <c r="A156" s="285"/>
      <c r="B156" s="285"/>
      <c r="C156" s="285"/>
      <c r="D156" s="285"/>
      <c r="E156" s="285"/>
      <c r="F156" s="285"/>
      <c r="G156" s="285"/>
      <c r="H156" s="285"/>
      <c r="I156" s="285"/>
      <c r="J156" s="285"/>
      <c r="K156" s="285"/>
      <c r="L156" s="285"/>
      <c r="M156" s="285"/>
      <c r="N156" s="285"/>
      <c r="O156" s="285"/>
      <c r="P156" s="285"/>
      <c r="Q156" s="285"/>
      <c r="R156" s="285"/>
      <c r="S156" s="285"/>
      <c r="T156" s="285"/>
      <c r="U156" s="285"/>
    </row>
    <row r="157">
      <c r="A157" s="285"/>
      <c r="B157" s="285"/>
      <c r="C157" s="285"/>
      <c r="D157" s="285"/>
      <c r="E157" s="285"/>
      <c r="F157" s="285"/>
      <c r="G157" s="285"/>
      <c r="H157" s="285"/>
      <c r="I157" s="285"/>
      <c r="J157" s="285"/>
      <c r="K157" s="285"/>
      <c r="L157" s="285"/>
      <c r="M157" s="285"/>
      <c r="N157" s="285"/>
      <c r="O157" s="285"/>
      <c r="P157" s="285"/>
      <c r="Q157" s="285"/>
      <c r="R157" s="285"/>
      <c r="S157" s="285"/>
      <c r="T157" s="285"/>
      <c r="U157" s="285"/>
    </row>
    <row r="158">
      <c r="A158" s="285"/>
      <c r="B158" s="285"/>
      <c r="C158" s="285"/>
      <c r="D158" s="285"/>
      <c r="E158" s="285"/>
      <c r="F158" s="285"/>
      <c r="G158" s="285"/>
      <c r="H158" s="285"/>
      <c r="I158" s="285"/>
      <c r="J158" s="285"/>
      <c r="K158" s="285"/>
      <c r="L158" s="285"/>
      <c r="M158" s="285"/>
      <c r="N158" s="285"/>
      <c r="O158" s="285"/>
      <c r="P158" s="285"/>
      <c r="Q158" s="285"/>
      <c r="R158" s="285"/>
      <c r="S158" s="285"/>
      <c r="T158" s="285"/>
      <c r="U158" s="285"/>
    </row>
    <row r="159">
      <c r="A159" s="285"/>
      <c r="B159" s="285"/>
      <c r="C159" s="285"/>
      <c r="D159" s="285"/>
      <c r="E159" s="285"/>
      <c r="F159" s="285"/>
      <c r="G159" s="285"/>
      <c r="H159" s="285"/>
      <c r="I159" s="285"/>
      <c r="J159" s="285"/>
      <c r="K159" s="285"/>
      <c r="L159" s="285"/>
      <c r="M159" s="285"/>
      <c r="N159" s="285"/>
      <c r="O159" s="285"/>
      <c r="P159" s="285"/>
      <c r="Q159" s="285"/>
      <c r="R159" s="285"/>
      <c r="S159" s="285"/>
      <c r="T159" s="285"/>
      <c r="U159" s="285"/>
    </row>
    <row r="160">
      <c r="A160" s="285"/>
      <c r="B160" s="285"/>
      <c r="C160" s="285"/>
      <c r="D160" s="285"/>
      <c r="E160" s="285"/>
      <c r="F160" s="285"/>
      <c r="G160" s="285"/>
      <c r="H160" s="285"/>
      <c r="I160" s="285"/>
      <c r="J160" s="285"/>
      <c r="K160" s="285"/>
      <c r="L160" s="285"/>
      <c r="M160" s="285"/>
      <c r="N160" s="285"/>
      <c r="O160" s="285"/>
      <c r="P160" s="285"/>
      <c r="Q160" s="285"/>
      <c r="R160" s="285"/>
      <c r="S160" s="285"/>
      <c r="T160" s="285"/>
      <c r="U160" s="285"/>
    </row>
    <row r="161">
      <c r="A161" s="285"/>
      <c r="B161" s="285"/>
      <c r="C161" s="285"/>
      <c r="D161" s="285"/>
      <c r="E161" s="285"/>
      <c r="F161" s="285"/>
      <c r="G161" s="285"/>
      <c r="H161" s="285"/>
      <c r="I161" s="285"/>
      <c r="J161" s="285"/>
      <c r="K161" s="285"/>
      <c r="L161" s="285"/>
      <c r="M161" s="285"/>
      <c r="N161" s="285"/>
      <c r="O161" s="285"/>
      <c r="P161" s="285"/>
      <c r="Q161" s="285"/>
      <c r="R161" s="285"/>
      <c r="S161" s="285"/>
      <c r="T161" s="285"/>
      <c r="U161" s="285"/>
    </row>
    <row r="162">
      <c r="A162" s="285"/>
      <c r="B162" s="285"/>
      <c r="C162" s="285"/>
      <c r="D162" s="285"/>
      <c r="E162" s="285"/>
      <c r="F162" s="285"/>
      <c r="G162" s="285"/>
      <c r="H162" s="285"/>
      <c r="I162" s="285"/>
      <c r="J162" s="285"/>
      <c r="K162" s="285"/>
      <c r="L162" s="285"/>
      <c r="M162" s="285"/>
      <c r="N162" s="285"/>
      <c r="O162" s="285"/>
      <c r="P162" s="285"/>
      <c r="Q162" s="285"/>
      <c r="R162" s="285"/>
      <c r="S162" s="285"/>
      <c r="T162" s="285"/>
      <c r="U162" s="285"/>
    </row>
    <row r="163">
      <c r="A163" s="285"/>
      <c r="B163" s="285"/>
      <c r="C163" s="285"/>
      <c r="D163" s="285"/>
      <c r="E163" s="285"/>
      <c r="F163" s="285"/>
      <c r="G163" s="285"/>
      <c r="H163" s="285"/>
      <c r="I163" s="285"/>
      <c r="J163" s="285"/>
      <c r="K163" s="285"/>
      <c r="L163" s="285"/>
      <c r="M163" s="285"/>
      <c r="N163" s="285"/>
      <c r="O163" s="285"/>
      <c r="P163" s="285"/>
      <c r="Q163" s="285"/>
      <c r="R163" s="285"/>
      <c r="S163" s="285"/>
      <c r="T163" s="285"/>
      <c r="U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row>
    <row r="166">
      <c r="A166" s="285"/>
      <c r="B166" s="285"/>
      <c r="C166" s="285"/>
      <c r="D166" s="285"/>
      <c r="E166" s="285"/>
      <c r="F166" s="285"/>
      <c r="G166" s="285"/>
      <c r="H166" s="285"/>
      <c r="I166" s="285"/>
      <c r="J166" s="285"/>
      <c r="K166" s="285"/>
      <c r="L166" s="285"/>
      <c r="M166" s="285"/>
      <c r="N166" s="285"/>
      <c r="O166" s="285"/>
      <c r="P166" s="285"/>
      <c r="Q166" s="285"/>
      <c r="R166" s="285"/>
      <c r="S166" s="285"/>
      <c r="T166" s="285"/>
      <c r="U166" s="285"/>
    </row>
    <row r="167">
      <c r="A167" s="285"/>
      <c r="B167" s="285"/>
      <c r="C167" s="285"/>
      <c r="D167" s="285"/>
      <c r="E167" s="285"/>
      <c r="F167" s="285"/>
      <c r="G167" s="285"/>
      <c r="H167" s="285"/>
      <c r="I167" s="285"/>
      <c r="J167" s="285"/>
      <c r="K167" s="285"/>
      <c r="L167" s="285"/>
      <c r="M167" s="285"/>
      <c r="N167" s="285"/>
      <c r="O167" s="285"/>
      <c r="P167" s="285"/>
      <c r="Q167" s="285"/>
      <c r="R167" s="285"/>
      <c r="S167" s="285"/>
      <c r="T167" s="285"/>
      <c r="U167" s="285"/>
    </row>
    <row r="168">
      <c r="A168" s="285"/>
      <c r="B168" s="285"/>
      <c r="C168" s="285"/>
      <c r="D168" s="285"/>
      <c r="E168" s="285"/>
      <c r="F168" s="285"/>
      <c r="G168" s="285"/>
      <c r="H168" s="285"/>
      <c r="I168" s="285"/>
      <c r="J168" s="285"/>
      <c r="K168" s="285"/>
      <c r="L168" s="285"/>
      <c r="M168" s="285"/>
      <c r="N168" s="285"/>
      <c r="O168" s="285"/>
      <c r="P168" s="285"/>
      <c r="Q168" s="285"/>
      <c r="R168" s="285"/>
      <c r="S168" s="285"/>
      <c r="T168" s="285"/>
      <c r="U168" s="285"/>
    </row>
    <row r="169">
      <c r="A169" s="285"/>
      <c r="B169" s="285"/>
      <c r="C169" s="285"/>
      <c r="D169" s="285"/>
      <c r="E169" s="285"/>
      <c r="F169" s="285"/>
      <c r="G169" s="285"/>
      <c r="H169" s="285"/>
      <c r="I169" s="285"/>
      <c r="J169" s="285"/>
      <c r="K169" s="285"/>
      <c r="L169" s="285"/>
      <c r="M169" s="285"/>
      <c r="N169" s="285"/>
      <c r="O169" s="285"/>
      <c r="P169" s="285"/>
      <c r="Q169" s="285"/>
      <c r="R169" s="285"/>
      <c r="S169" s="285"/>
      <c r="T169" s="285"/>
      <c r="U169" s="285"/>
    </row>
    <row r="170">
      <c r="A170" s="285"/>
      <c r="B170" s="285"/>
      <c r="C170" s="285"/>
      <c r="D170" s="285"/>
      <c r="E170" s="285"/>
      <c r="F170" s="285"/>
      <c r="G170" s="285"/>
      <c r="H170" s="285"/>
      <c r="I170" s="285"/>
      <c r="J170" s="285"/>
      <c r="K170" s="285"/>
      <c r="L170" s="285"/>
      <c r="M170" s="285"/>
      <c r="N170" s="285"/>
      <c r="O170" s="285"/>
      <c r="P170" s="285"/>
      <c r="Q170" s="285"/>
      <c r="R170" s="285"/>
      <c r="S170" s="285"/>
      <c r="T170" s="285"/>
      <c r="U170" s="285"/>
    </row>
    <row r="171">
      <c r="A171" s="285"/>
      <c r="B171" s="285"/>
      <c r="C171" s="285"/>
      <c r="D171" s="285"/>
      <c r="E171" s="285"/>
      <c r="F171" s="285"/>
      <c r="G171" s="285"/>
      <c r="H171" s="285"/>
      <c r="I171" s="285"/>
      <c r="J171" s="285"/>
      <c r="K171" s="285"/>
      <c r="L171" s="285"/>
      <c r="M171" s="285"/>
      <c r="N171" s="285"/>
      <c r="O171" s="285"/>
      <c r="P171" s="285"/>
      <c r="Q171" s="285"/>
      <c r="R171" s="285"/>
      <c r="S171" s="285"/>
      <c r="T171" s="285"/>
      <c r="U171" s="285"/>
    </row>
    <row r="172">
      <c r="A172" s="285"/>
      <c r="B172" s="285"/>
      <c r="C172" s="285"/>
      <c r="D172" s="285"/>
      <c r="E172" s="285"/>
      <c r="F172" s="285"/>
      <c r="G172" s="285"/>
      <c r="H172" s="285"/>
      <c r="I172" s="285"/>
      <c r="J172" s="285"/>
      <c r="K172" s="285"/>
      <c r="L172" s="285"/>
      <c r="M172" s="285"/>
      <c r="N172" s="285"/>
      <c r="O172" s="285"/>
      <c r="P172" s="285"/>
      <c r="Q172" s="285"/>
      <c r="R172" s="285"/>
      <c r="S172" s="285"/>
      <c r="T172" s="285"/>
      <c r="U172" s="285"/>
    </row>
    <row r="173">
      <c r="A173" s="285"/>
      <c r="B173" s="285"/>
      <c r="C173" s="285"/>
      <c r="D173" s="285"/>
      <c r="E173" s="285"/>
      <c r="F173" s="285"/>
      <c r="G173" s="285"/>
      <c r="H173" s="285"/>
      <c r="I173" s="285"/>
      <c r="J173" s="285"/>
      <c r="K173" s="285"/>
      <c r="L173" s="285"/>
      <c r="M173" s="285"/>
      <c r="N173" s="285"/>
      <c r="O173" s="285"/>
      <c r="P173" s="285"/>
      <c r="Q173" s="285"/>
      <c r="R173" s="285"/>
      <c r="S173" s="285"/>
      <c r="T173" s="285"/>
      <c r="U173" s="285"/>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row>
  </sheetData>
  <mergeCells count="39">
    <mergeCell ref="F2:G2"/>
    <mergeCell ref="H2:I2"/>
    <mergeCell ref="J2:K2"/>
    <mergeCell ref="L2:M2"/>
    <mergeCell ref="N2:O2"/>
    <mergeCell ref="C4:E4"/>
    <mergeCell ref="C5:E5"/>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7:E27"/>
    <mergeCell ref="C28:E28"/>
    <mergeCell ref="C29:E29"/>
    <mergeCell ref="C30:E30"/>
    <mergeCell ref="C31:E31"/>
    <mergeCell ref="C32:E32"/>
    <mergeCell ref="C33:E33"/>
    <mergeCell ref="C43:E43"/>
    <mergeCell ref="C44:E44"/>
    <mergeCell ref="C46:E46"/>
    <mergeCell ref="C47:E47"/>
    <mergeCell ref="C35:E35"/>
    <mergeCell ref="C36:E36"/>
    <mergeCell ref="C37:E37"/>
    <mergeCell ref="C38:E38"/>
    <mergeCell ref="C39:E39"/>
    <mergeCell ref="C40:E40"/>
    <mergeCell ref="C41:E41"/>
  </mergeCells>
  <dataValidations>
    <dataValidation type="list" allowBlank="1" sqref="F10:I13 F14:K14 L15:M15 F15:I16 N16:O16 F17:G17 F19:O19 F20:I22">
      <formula1>meta!$J$2:$J966</formula1>
    </dataValidation>
    <dataValidation type="list" allowBlank="1" sqref="C19:C22">
      <formula1>meta!$L$2:$L966</formula1>
    </dataValidation>
    <dataValidation type="list" allowBlank="1" sqref="F8:I8 F25:I25 F34:O34 F45:O45">
      <formula1>meta!$F$2:$F966</formula1>
    </dataValidation>
    <dataValidation type="list" allowBlank="1" sqref="C10:C17">
      <formula1>meta!$K$2:$K966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29"/>
    <col customWidth="1" min="2" max="2" width="22.29"/>
    <col customWidth="1" min="3" max="4" width="9.86"/>
    <col customWidth="1" min="5" max="5" width="10.43"/>
    <col customWidth="1" min="6" max="6" width="9.86"/>
    <col customWidth="1" min="7" max="9" width="10.14"/>
    <col customWidth="1" min="10" max="10" width="11.57"/>
    <col customWidth="1" min="11" max="11" width="9.57"/>
    <col customWidth="1" min="13" max="13" width="9.57"/>
    <col customWidth="1" min="14" max="14" width="10.29"/>
    <col customWidth="1" min="15" max="15" width="11.43"/>
  </cols>
  <sheetData>
    <row r="1" hidden="1">
      <c r="A1" s="381" t="s">
        <v>82</v>
      </c>
      <c r="B1" s="285" t="str">
        <f>IFERROR(__xludf.DUMMYFUNCTION("importrange(""1sR5LUhmkYePdyssK1Op4xrpz2vCMaZ6yMgYZ5svxGfE"",""Control!B2"")"),"#REF!")</f>
        <v>#REF!</v>
      </c>
      <c r="C1" s="382"/>
      <c r="D1" s="382"/>
      <c r="E1" s="382"/>
      <c r="F1" s="382"/>
      <c r="G1" s="285"/>
      <c r="H1" s="285"/>
      <c r="I1" s="285"/>
      <c r="J1" s="285"/>
      <c r="K1" s="285"/>
      <c r="L1" s="285"/>
      <c r="M1" s="285"/>
      <c r="N1" s="383"/>
      <c r="O1" s="285"/>
      <c r="P1" s="285"/>
      <c r="Q1" s="285"/>
      <c r="R1" s="285"/>
      <c r="S1" s="285"/>
      <c r="T1" s="285"/>
      <c r="U1" s="285"/>
      <c r="V1" s="285"/>
      <c r="W1" s="285"/>
      <c r="X1" s="285"/>
      <c r="Y1" s="285"/>
      <c r="Z1" s="285"/>
      <c r="AA1" s="285"/>
      <c r="AB1" s="285"/>
      <c r="AC1" s="285"/>
      <c r="AD1" s="285"/>
    </row>
    <row r="2" hidden="1">
      <c r="A2" s="381"/>
      <c r="B2" s="384">
        <v>8.0</v>
      </c>
      <c r="C2" s="382"/>
      <c r="D2" s="382"/>
      <c r="E2" s="382"/>
      <c r="F2" s="382"/>
      <c r="G2" s="285"/>
      <c r="H2" s="285"/>
      <c r="I2" s="285"/>
      <c r="J2" s="285"/>
      <c r="K2" s="285"/>
      <c r="L2" s="285"/>
      <c r="M2" s="285"/>
      <c r="N2" s="285"/>
      <c r="O2" s="285"/>
      <c r="P2" s="285"/>
      <c r="Q2" s="285"/>
      <c r="R2" s="285"/>
      <c r="S2" s="285"/>
      <c r="T2" s="285"/>
      <c r="U2" s="285"/>
      <c r="V2" s="285"/>
      <c r="W2" s="285"/>
      <c r="X2" s="285"/>
      <c r="Y2" s="285"/>
      <c r="Z2" s="285"/>
      <c r="AA2" s="285"/>
      <c r="AB2" s="285"/>
      <c r="AC2" s="285"/>
      <c r="AD2" s="285"/>
    </row>
    <row r="3" hidden="1">
      <c r="A3" s="381"/>
      <c r="B3" s="285"/>
      <c r="C3" s="382"/>
      <c r="D3" s="382"/>
      <c r="E3" s="382"/>
      <c r="F3" s="382"/>
      <c r="G3" s="285"/>
      <c r="H3" s="285"/>
      <c r="I3" s="285"/>
      <c r="J3" s="285"/>
      <c r="K3" s="285"/>
      <c r="L3" s="285"/>
      <c r="M3" s="285"/>
      <c r="N3" s="285"/>
      <c r="O3" s="285"/>
      <c r="P3" s="285"/>
      <c r="Q3" s="285"/>
      <c r="R3" s="285"/>
      <c r="S3" s="285"/>
      <c r="T3" s="285"/>
      <c r="U3" s="285"/>
      <c r="V3" s="285"/>
      <c r="W3" s="285"/>
      <c r="X3" s="285"/>
      <c r="Y3" s="285"/>
      <c r="Z3" s="285"/>
      <c r="AA3" s="285"/>
      <c r="AB3" s="285"/>
      <c r="AC3" s="285"/>
      <c r="AD3" s="285"/>
    </row>
    <row r="4" hidden="1">
      <c r="A4" s="381"/>
      <c r="B4" s="285"/>
      <c r="C4" s="382"/>
      <c r="D4" s="382"/>
      <c r="E4" s="382"/>
      <c r="F4" s="382"/>
      <c r="G4" s="285"/>
      <c r="H4" s="285"/>
      <c r="I4" s="285"/>
      <c r="J4" s="285"/>
      <c r="K4" s="285"/>
      <c r="L4" s="285"/>
      <c r="M4" s="285"/>
      <c r="N4" s="285"/>
      <c r="O4" s="285"/>
      <c r="P4" s="285"/>
      <c r="Q4" s="285"/>
      <c r="R4" s="285"/>
      <c r="S4" s="285"/>
      <c r="T4" s="285"/>
      <c r="U4" s="285"/>
      <c r="V4" s="285"/>
      <c r="W4" s="285"/>
      <c r="X4" s="285"/>
      <c r="Y4" s="285"/>
      <c r="Z4" s="285"/>
      <c r="AA4" s="285"/>
      <c r="AB4" s="285"/>
      <c r="AC4" s="285"/>
      <c r="AD4" s="285"/>
    </row>
    <row r="5" hidden="1">
      <c r="A5" s="385" t="s">
        <v>251</v>
      </c>
      <c r="B5" s="386" t="str">
        <f>if(A5="BWS","BWS",if(A5="XSell","XSell","ALL"))</f>
        <v>ALL</v>
      </c>
      <c r="C5" s="387"/>
      <c r="D5" s="387"/>
      <c r="E5" s="387"/>
      <c r="F5" s="387"/>
      <c r="G5" s="386"/>
      <c r="H5" s="386"/>
      <c r="I5" s="386"/>
      <c r="J5" s="386"/>
      <c r="K5" s="285"/>
      <c r="L5" s="285"/>
      <c r="M5" s="285"/>
      <c r="N5" s="285"/>
      <c r="O5" s="285"/>
      <c r="P5" s="285"/>
      <c r="Q5" s="285"/>
      <c r="R5" s="285"/>
      <c r="S5" s="285"/>
      <c r="T5" s="285"/>
      <c r="U5" s="285"/>
      <c r="V5" s="285"/>
      <c r="W5" s="285"/>
      <c r="X5" s="285"/>
      <c r="Y5" s="285"/>
      <c r="Z5" s="285"/>
      <c r="AA5" s="285"/>
      <c r="AB5" s="285"/>
      <c r="AC5" s="285"/>
      <c r="AD5" s="285"/>
    </row>
    <row r="6" ht="268.5" customHeight="1">
      <c r="A6" s="388" t="s">
        <v>283</v>
      </c>
      <c r="B6" s="26"/>
      <c r="C6" s="26"/>
      <c r="D6" s="26"/>
      <c r="E6" s="26"/>
      <c r="F6" s="26"/>
      <c r="G6" s="26"/>
      <c r="H6" s="26"/>
      <c r="I6" s="26"/>
      <c r="J6" s="27"/>
      <c r="K6" s="289"/>
      <c r="L6" s="285"/>
      <c r="M6" s="285"/>
      <c r="N6" s="285"/>
      <c r="O6" s="285"/>
      <c r="P6" s="285"/>
      <c r="Q6" s="285"/>
      <c r="R6" s="285"/>
      <c r="S6" s="285"/>
      <c r="T6" s="285"/>
      <c r="U6" s="285"/>
      <c r="V6" s="285"/>
      <c r="W6" s="285"/>
      <c r="X6" s="285"/>
      <c r="Y6" s="285"/>
      <c r="Z6" s="285"/>
      <c r="AA6" s="285"/>
      <c r="AB6" s="285"/>
      <c r="AC6" s="285"/>
      <c r="AD6" s="285"/>
    </row>
    <row r="7">
      <c r="A7" s="389" t="s">
        <v>284</v>
      </c>
      <c r="B7" s="390"/>
      <c r="C7" s="391"/>
      <c r="D7" s="391"/>
      <c r="E7" s="391"/>
      <c r="F7" s="392"/>
      <c r="G7" s="393"/>
      <c r="H7" s="393"/>
      <c r="I7" s="393"/>
      <c r="J7" s="393"/>
      <c r="K7" s="285"/>
      <c r="L7" s="285"/>
      <c r="M7" s="285"/>
      <c r="N7" s="285"/>
      <c r="O7" s="285"/>
      <c r="P7" s="285"/>
      <c r="Q7" s="285"/>
      <c r="R7" s="285"/>
      <c r="S7" s="285"/>
      <c r="T7" s="285"/>
      <c r="U7" s="285"/>
      <c r="V7" s="285"/>
      <c r="W7" s="285"/>
      <c r="X7" s="285"/>
      <c r="Y7" s="285"/>
      <c r="Z7" s="285"/>
      <c r="AA7" s="285"/>
      <c r="AB7" s="285"/>
      <c r="AC7" s="285"/>
      <c r="AD7" s="285"/>
    </row>
    <row r="8" ht="36.0" customHeight="1">
      <c r="A8" s="394"/>
      <c r="B8" s="395" t="s">
        <v>285</v>
      </c>
      <c r="C8" s="396"/>
      <c r="D8" s="397"/>
      <c r="E8" s="397"/>
      <c r="F8" s="397"/>
      <c r="G8" s="285"/>
      <c r="H8" s="285"/>
      <c r="I8" s="285"/>
      <c r="J8" s="285"/>
      <c r="K8" s="285"/>
      <c r="L8" s="285"/>
      <c r="M8" s="285"/>
      <c r="N8" s="285"/>
      <c r="O8" s="285"/>
      <c r="P8" s="285"/>
      <c r="Q8" s="285"/>
      <c r="R8" s="285"/>
      <c r="S8" s="285"/>
      <c r="T8" s="285"/>
      <c r="U8" s="285"/>
      <c r="V8" s="285"/>
      <c r="W8" s="285"/>
      <c r="X8" s="285"/>
      <c r="Y8" s="285"/>
      <c r="Z8" s="285"/>
      <c r="AA8" s="285"/>
      <c r="AB8" s="285"/>
      <c r="AC8" s="285"/>
      <c r="AD8" s="285"/>
    </row>
    <row r="9" ht="36.0" customHeight="1">
      <c r="A9" s="394"/>
      <c r="B9" s="395" t="s">
        <v>286</v>
      </c>
      <c r="C9" s="397"/>
      <c r="D9" s="397"/>
      <c r="E9" s="397"/>
      <c r="F9" s="397"/>
      <c r="G9" s="285"/>
      <c r="H9" s="285"/>
      <c r="I9" s="285"/>
      <c r="J9" s="285"/>
      <c r="K9" s="285"/>
      <c r="L9" s="285"/>
      <c r="M9" s="285"/>
      <c r="N9" s="285"/>
      <c r="O9" s="285"/>
      <c r="P9" s="285"/>
      <c r="Q9" s="285"/>
      <c r="R9" s="285"/>
      <c r="S9" s="285"/>
      <c r="T9" s="285"/>
      <c r="U9" s="285"/>
      <c r="V9" s="285"/>
      <c r="W9" s="285"/>
      <c r="X9" s="285"/>
      <c r="Y9" s="285"/>
      <c r="Z9" s="285"/>
      <c r="AA9" s="285"/>
      <c r="AB9" s="285"/>
      <c r="AC9" s="285"/>
      <c r="AD9" s="285"/>
    </row>
    <row r="10" ht="36.0" customHeight="1">
      <c r="A10" s="394"/>
      <c r="B10" s="395" t="s">
        <v>287</v>
      </c>
      <c r="C10" s="397"/>
      <c r="D10" s="397"/>
      <c r="E10" s="397"/>
      <c r="F10" s="397"/>
      <c r="G10" s="285"/>
      <c r="H10" s="285"/>
      <c r="I10" s="285"/>
      <c r="J10" s="285"/>
      <c r="K10" s="285"/>
      <c r="L10" s="285"/>
      <c r="M10" s="285"/>
      <c r="N10" s="285"/>
      <c r="O10" s="285"/>
      <c r="P10" s="285"/>
      <c r="Q10" s="285"/>
      <c r="R10" s="285"/>
      <c r="S10" s="285"/>
      <c r="T10" s="285"/>
      <c r="U10" s="285"/>
      <c r="V10" s="285"/>
      <c r="W10" s="285"/>
      <c r="X10" s="285"/>
      <c r="Y10" s="285"/>
      <c r="Z10" s="285"/>
      <c r="AA10" s="285"/>
      <c r="AB10" s="285"/>
      <c r="AC10" s="285"/>
      <c r="AD10" s="285"/>
    </row>
    <row r="11" ht="36.0" customHeight="1">
      <c r="A11" s="394"/>
      <c r="B11" s="395" t="s">
        <v>288</v>
      </c>
      <c r="C11" s="397"/>
      <c r="D11" s="397"/>
      <c r="E11" s="397"/>
      <c r="F11" s="397"/>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row>
    <row r="12">
      <c r="A12" s="393"/>
      <c r="B12" s="393"/>
      <c r="C12" s="392"/>
      <c r="D12" s="392"/>
      <c r="E12" s="392"/>
      <c r="F12" s="382"/>
      <c r="G12" s="285"/>
      <c r="H12" s="285"/>
      <c r="I12" s="285"/>
      <c r="J12" s="285"/>
      <c r="K12" s="285"/>
      <c r="L12" s="285"/>
      <c r="M12" s="285"/>
      <c r="N12" s="285"/>
      <c r="O12" s="285"/>
      <c r="P12" s="285"/>
      <c r="Q12" s="285"/>
      <c r="R12" s="285"/>
      <c r="S12" s="285"/>
      <c r="T12" s="285"/>
      <c r="U12" s="285"/>
      <c r="V12" s="285"/>
      <c r="W12" s="285"/>
      <c r="X12" s="285"/>
      <c r="Y12" s="285"/>
      <c r="Z12" s="285"/>
      <c r="AA12" s="285"/>
      <c r="AB12" s="285"/>
      <c r="AC12" s="285"/>
      <c r="AD12" s="285"/>
    </row>
    <row r="13">
      <c r="A13" s="285"/>
      <c r="B13" s="285"/>
      <c r="C13" s="285"/>
      <c r="D13" s="285"/>
      <c r="E13" s="285"/>
      <c r="F13" s="285"/>
      <c r="G13" s="285"/>
      <c r="H13" s="285"/>
      <c r="I13" s="285"/>
      <c r="J13" s="285"/>
      <c r="K13" s="285"/>
      <c r="L13" s="285"/>
      <c r="M13" s="285"/>
      <c r="N13" s="285"/>
      <c r="O13" s="285"/>
      <c r="P13" s="285"/>
      <c r="Q13" s="285"/>
      <c r="R13" s="285"/>
      <c r="S13" s="285"/>
      <c r="T13" s="285"/>
      <c r="U13" s="285"/>
      <c r="V13" s="285"/>
      <c r="W13" s="285"/>
      <c r="X13" s="285"/>
      <c r="Y13" s="285"/>
      <c r="Z13" s="285"/>
      <c r="AA13" s="285"/>
      <c r="AB13" s="285"/>
      <c r="AC13" s="285"/>
      <c r="AD13" s="285"/>
    </row>
    <row r="14">
      <c r="A14" s="285"/>
      <c r="B14" s="285"/>
      <c r="C14" s="285"/>
      <c r="D14" s="285"/>
      <c r="E14" s="285"/>
      <c r="F14" s="285"/>
      <c r="G14" s="285"/>
      <c r="H14" s="285"/>
      <c r="I14" s="285"/>
      <c r="J14" s="285"/>
      <c r="K14" s="285"/>
      <c r="L14" s="285"/>
      <c r="M14" s="285"/>
      <c r="N14" s="285"/>
      <c r="O14" s="285"/>
      <c r="P14" s="285"/>
      <c r="Q14" s="285"/>
      <c r="R14" s="285"/>
      <c r="S14" s="285"/>
      <c r="T14" s="285"/>
      <c r="U14" s="285"/>
      <c r="V14" s="285"/>
      <c r="W14" s="285"/>
      <c r="X14" s="285"/>
      <c r="Y14" s="285"/>
      <c r="Z14" s="285"/>
      <c r="AA14" s="285"/>
      <c r="AB14" s="285"/>
      <c r="AC14" s="285"/>
      <c r="AD14" s="285"/>
    </row>
    <row r="15">
      <c r="A15" s="285"/>
      <c r="B15" s="285"/>
      <c r="C15" s="285"/>
      <c r="D15" s="285"/>
      <c r="E15" s="285"/>
      <c r="F15" s="285"/>
      <c r="G15" s="285"/>
      <c r="H15" s="285"/>
      <c r="I15" s="285"/>
      <c r="J15" s="285"/>
      <c r="K15" s="285"/>
      <c r="L15" s="285"/>
      <c r="M15" s="285"/>
      <c r="N15" s="285"/>
      <c r="O15" s="285"/>
      <c r="P15" s="285"/>
      <c r="Q15" s="285"/>
      <c r="R15" s="285"/>
      <c r="S15" s="285"/>
      <c r="T15" s="285"/>
      <c r="U15" s="285"/>
      <c r="V15" s="285"/>
      <c r="W15" s="285"/>
      <c r="X15" s="285"/>
      <c r="Y15" s="285"/>
      <c r="Z15" s="285"/>
      <c r="AA15" s="285"/>
      <c r="AB15" s="285"/>
      <c r="AC15" s="285"/>
      <c r="AD15" s="285"/>
    </row>
    <row r="16">
      <c r="A16" s="285"/>
      <c r="B16" s="285"/>
      <c r="C16" s="382"/>
      <c r="D16" s="285"/>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row>
    <row r="17">
      <c r="A17" s="385" t="s">
        <v>289</v>
      </c>
      <c r="B17" s="386"/>
      <c r="C17" s="387"/>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row>
    <row r="18" ht="36.0" customHeight="1">
      <c r="A18" s="394"/>
      <c r="B18" s="395" t="s">
        <v>290</v>
      </c>
      <c r="C18" s="396"/>
      <c r="D18" s="398"/>
      <c r="E18" s="394"/>
      <c r="F18" s="399" t="s">
        <v>291</v>
      </c>
      <c r="G18" s="400"/>
      <c r="H18" s="401"/>
      <c r="I18" s="397"/>
      <c r="J18" s="285"/>
      <c r="K18" s="394"/>
      <c r="L18" s="399" t="s">
        <v>292</v>
      </c>
      <c r="M18" s="400"/>
      <c r="N18" s="401"/>
      <c r="O18" s="397"/>
      <c r="P18" s="285"/>
      <c r="Q18" s="285"/>
      <c r="R18" s="285"/>
      <c r="S18" s="285"/>
      <c r="T18" s="285"/>
      <c r="U18" s="285"/>
      <c r="V18" s="285"/>
      <c r="W18" s="285"/>
      <c r="X18" s="285"/>
      <c r="Y18" s="285"/>
      <c r="Z18" s="285"/>
      <c r="AA18" s="285"/>
      <c r="AB18" s="285"/>
      <c r="AC18" s="285"/>
      <c r="AD18" s="285"/>
    </row>
    <row r="19" ht="36.0" customHeight="1">
      <c r="A19" s="394"/>
      <c r="B19" s="395" t="s">
        <v>252</v>
      </c>
      <c r="C19" s="397"/>
      <c r="D19" s="398"/>
      <c r="E19" s="394"/>
      <c r="F19" s="399" t="s">
        <v>293</v>
      </c>
      <c r="G19" s="400"/>
      <c r="H19" s="401"/>
      <c r="I19" s="397"/>
      <c r="J19" s="285"/>
      <c r="K19" s="394"/>
      <c r="L19" s="399" t="s">
        <v>294</v>
      </c>
      <c r="M19" s="400"/>
      <c r="N19" s="401"/>
      <c r="O19" s="397"/>
      <c r="P19" s="285"/>
      <c r="Q19" s="285"/>
      <c r="R19" s="285"/>
      <c r="S19" s="285"/>
      <c r="T19" s="285"/>
      <c r="U19" s="285"/>
      <c r="V19" s="285"/>
      <c r="W19" s="285"/>
      <c r="X19" s="285"/>
      <c r="Y19" s="285"/>
      <c r="Z19" s="285"/>
      <c r="AA19" s="285"/>
      <c r="AB19" s="285"/>
      <c r="AC19" s="285"/>
      <c r="AD19" s="285"/>
    </row>
    <row r="20" ht="36.0" customHeight="1">
      <c r="A20" s="394"/>
      <c r="B20" s="395" t="s">
        <v>295</v>
      </c>
      <c r="C20" s="397"/>
      <c r="D20" s="398"/>
      <c r="E20" s="394"/>
      <c r="F20" s="399" t="s">
        <v>296</v>
      </c>
      <c r="G20" s="400"/>
      <c r="H20" s="401"/>
      <c r="I20" s="397"/>
      <c r="J20" s="285"/>
      <c r="K20" s="285"/>
      <c r="L20" s="393"/>
      <c r="M20" s="393"/>
      <c r="N20" s="285"/>
      <c r="O20" s="382"/>
      <c r="P20" s="285"/>
      <c r="Q20" s="285"/>
      <c r="R20" s="285"/>
      <c r="S20" s="285"/>
      <c r="T20" s="285"/>
      <c r="U20" s="285"/>
      <c r="V20" s="285"/>
      <c r="W20" s="285"/>
      <c r="X20" s="285"/>
      <c r="Y20" s="285"/>
      <c r="Z20" s="285"/>
      <c r="AA20" s="285"/>
      <c r="AB20" s="285"/>
      <c r="AC20" s="285"/>
      <c r="AD20" s="285"/>
    </row>
    <row r="21" ht="36.0" customHeight="1">
      <c r="A21" s="394"/>
      <c r="B21" s="395" t="s">
        <v>297</v>
      </c>
      <c r="C21" s="397"/>
      <c r="D21" s="398"/>
      <c r="E21" s="394"/>
      <c r="F21" s="399" t="s">
        <v>298</v>
      </c>
      <c r="G21" s="400"/>
      <c r="H21" s="401"/>
      <c r="I21" s="397"/>
      <c r="J21" s="285"/>
      <c r="K21" s="285"/>
      <c r="L21" s="393"/>
      <c r="M21" s="393"/>
      <c r="N21" s="393"/>
      <c r="O21" s="382"/>
      <c r="P21" s="285"/>
      <c r="Q21" s="285"/>
      <c r="R21" s="285"/>
      <c r="S21" s="285"/>
      <c r="T21" s="285"/>
      <c r="U21" s="285"/>
      <c r="V21" s="285"/>
      <c r="W21" s="285"/>
      <c r="X21" s="285"/>
      <c r="Y21" s="285"/>
      <c r="Z21" s="285"/>
      <c r="AA21" s="285"/>
      <c r="AB21" s="285"/>
      <c r="AC21" s="285"/>
      <c r="AD21" s="285"/>
    </row>
    <row r="22" ht="36.0" customHeight="1">
      <c r="A22" s="394"/>
      <c r="B22" s="395" t="s">
        <v>299</v>
      </c>
      <c r="C22" s="397"/>
      <c r="D22" s="398"/>
      <c r="E22" s="394"/>
      <c r="F22" s="399" t="s">
        <v>300</v>
      </c>
      <c r="G22" s="400"/>
      <c r="H22" s="401"/>
      <c r="I22" s="397"/>
      <c r="J22" s="285"/>
      <c r="K22" s="285"/>
      <c r="L22" s="393"/>
      <c r="M22" s="393"/>
      <c r="N22" s="285"/>
      <c r="O22" s="382"/>
      <c r="P22" s="285"/>
      <c r="Q22" s="285"/>
      <c r="R22" s="285"/>
      <c r="S22" s="285"/>
      <c r="T22" s="285"/>
      <c r="U22" s="285"/>
      <c r="V22" s="285"/>
      <c r="W22" s="285"/>
      <c r="X22" s="285"/>
      <c r="Y22" s="285"/>
      <c r="Z22" s="285"/>
      <c r="AA22" s="285"/>
      <c r="AB22" s="285"/>
      <c r="AC22" s="285"/>
      <c r="AD22" s="285"/>
    </row>
    <row r="23" ht="36.0" customHeight="1">
      <c r="A23" s="394"/>
      <c r="B23" s="395" t="s">
        <v>301</v>
      </c>
      <c r="C23" s="397"/>
      <c r="D23" s="398"/>
      <c r="E23" s="394"/>
      <c r="F23" s="402" t="s">
        <v>302</v>
      </c>
      <c r="G23" s="403"/>
      <c r="H23" s="404"/>
      <c r="I23" s="397"/>
      <c r="J23" s="285"/>
      <c r="K23" s="285"/>
      <c r="L23" s="285"/>
      <c r="M23" s="285"/>
      <c r="N23" s="285"/>
      <c r="O23" s="382"/>
      <c r="P23" s="285"/>
      <c r="Q23" s="285"/>
      <c r="R23" s="285"/>
      <c r="S23" s="285"/>
      <c r="T23" s="285"/>
      <c r="U23" s="285"/>
      <c r="V23" s="285"/>
      <c r="W23" s="285"/>
      <c r="X23" s="285"/>
      <c r="Y23" s="285"/>
      <c r="Z23" s="285"/>
      <c r="AA23" s="285"/>
      <c r="AB23" s="285"/>
      <c r="AC23" s="285"/>
      <c r="AD23" s="285"/>
    </row>
    <row r="24" ht="36.0" customHeight="1">
      <c r="A24" s="394"/>
      <c r="B24" s="395" t="s">
        <v>303</v>
      </c>
      <c r="C24" s="397"/>
      <c r="D24" s="398"/>
      <c r="E24" s="394"/>
      <c r="F24" s="399" t="s">
        <v>304</v>
      </c>
      <c r="G24" s="400"/>
      <c r="H24" s="401"/>
      <c r="I24" s="397"/>
      <c r="J24" s="285"/>
      <c r="K24" s="285"/>
      <c r="L24" s="285"/>
      <c r="M24" s="285"/>
      <c r="N24" s="285"/>
      <c r="O24" s="382"/>
      <c r="P24" s="285"/>
      <c r="Q24" s="285"/>
      <c r="R24" s="285"/>
      <c r="S24" s="285"/>
      <c r="T24" s="285"/>
      <c r="U24" s="285"/>
      <c r="V24" s="285"/>
      <c r="W24" s="285"/>
      <c r="X24" s="285"/>
      <c r="Y24" s="285"/>
      <c r="Z24" s="285"/>
      <c r="AA24" s="285"/>
      <c r="AB24" s="285"/>
      <c r="AC24" s="285"/>
      <c r="AD24" s="285"/>
    </row>
    <row r="25" ht="36.0" customHeight="1">
      <c r="A25" s="394"/>
      <c r="B25" s="395" t="s">
        <v>305</v>
      </c>
      <c r="C25" s="397"/>
      <c r="D25" s="398"/>
      <c r="E25" s="394"/>
      <c r="F25" s="399" t="s">
        <v>306</v>
      </c>
      <c r="G25" s="400"/>
      <c r="H25" s="401"/>
      <c r="I25" s="397"/>
      <c r="J25" s="285"/>
      <c r="K25" s="285"/>
      <c r="L25" s="285"/>
      <c r="M25" s="285"/>
      <c r="N25" s="285"/>
      <c r="O25" s="382"/>
      <c r="P25" s="285"/>
      <c r="Q25" s="285"/>
      <c r="R25" s="285"/>
      <c r="S25" s="285"/>
      <c r="T25" s="285"/>
      <c r="U25" s="285"/>
      <c r="V25" s="285"/>
      <c r="W25" s="285"/>
      <c r="X25" s="285"/>
      <c r="Y25" s="285"/>
      <c r="Z25" s="285"/>
      <c r="AA25" s="285"/>
      <c r="AB25" s="285"/>
      <c r="AC25" s="285"/>
      <c r="AD25" s="285"/>
    </row>
    <row r="26" ht="36.0" customHeight="1">
      <c r="A26" s="285"/>
      <c r="B26" s="285"/>
      <c r="C26" s="285"/>
      <c r="D26" s="285"/>
      <c r="E26" s="285"/>
      <c r="F26" s="393"/>
      <c r="G26" s="393"/>
      <c r="H26" s="392"/>
      <c r="I26" s="382"/>
      <c r="J26" s="285"/>
      <c r="K26" s="285"/>
      <c r="L26" s="285"/>
      <c r="M26" s="285"/>
      <c r="N26" s="285"/>
      <c r="O26" s="285"/>
      <c r="P26" s="285"/>
      <c r="Q26" s="285"/>
      <c r="R26" s="285"/>
      <c r="S26" s="285"/>
      <c r="T26" s="285"/>
      <c r="U26" s="285"/>
      <c r="V26" s="285"/>
      <c r="W26" s="285"/>
      <c r="X26" s="285"/>
      <c r="Y26" s="285"/>
      <c r="Z26" s="285"/>
      <c r="AA26" s="285"/>
      <c r="AB26" s="285"/>
      <c r="AC26" s="285"/>
      <c r="AD26" s="285"/>
    </row>
    <row r="27">
      <c r="A27" s="393"/>
      <c r="B27" s="405"/>
      <c r="C27" s="405"/>
      <c r="D27" s="381"/>
      <c r="E27" s="285"/>
      <c r="F27" s="393"/>
      <c r="G27" s="393"/>
      <c r="H27" s="393"/>
      <c r="I27" s="285"/>
      <c r="J27" s="285"/>
      <c r="K27" s="285"/>
      <c r="L27" s="285"/>
      <c r="M27" s="285"/>
      <c r="N27" s="285"/>
      <c r="O27" s="285"/>
      <c r="P27" s="285"/>
      <c r="Q27" s="285"/>
      <c r="R27" s="285"/>
      <c r="S27" s="285"/>
      <c r="T27" s="285"/>
      <c r="U27" s="285"/>
      <c r="V27" s="285"/>
      <c r="W27" s="285"/>
      <c r="X27" s="285"/>
      <c r="Y27" s="285"/>
      <c r="Z27" s="285"/>
      <c r="AA27" s="285"/>
      <c r="AB27" s="285"/>
      <c r="AC27" s="285"/>
      <c r="AD27" s="285"/>
    </row>
    <row r="28">
      <c r="A28" s="393"/>
      <c r="B28" s="405"/>
      <c r="C28" s="405"/>
      <c r="D28" s="381"/>
      <c r="E28" s="285"/>
      <c r="F28" s="393"/>
      <c r="G28" s="393"/>
      <c r="H28" s="393"/>
      <c r="I28" s="285"/>
      <c r="J28" s="285"/>
      <c r="K28" s="285"/>
      <c r="L28" s="285"/>
      <c r="M28" s="285"/>
      <c r="N28" s="285"/>
      <c r="O28" s="285"/>
      <c r="P28" s="285"/>
      <c r="Q28" s="285"/>
      <c r="R28" s="285"/>
      <c r="S28" s="285"/>
      <c r="T28" s="285"/>
      <c r="U28" s="285"/>
      <c r="V28" s="285"/>
      <c r="W28" s="285"/>
      <c r="X28" s="285"/>
      <c r="Y28" s="285"/>
      <c r="Z28" s="285"/>
      <c r="AA28" s="285"/>
      <c r="AB28" s="285"/>
      <c r="AC28" s="285"/>
      <c r="AD28" s="285"/>
    </row>
    <row r="29">
      <c r="A29" s="393"/>
      <c r="B29" s="405"/>
      <c r="C29" s="405"/>
      <c r="D29" s="381"/>
      <c r="E29" s="285"/>
      <c r="F29" s="393"/>
      <c r="G29" s="393"/>
      <c r="H29" s="393"/>
      <c r="I29" s="285"/>
      <c r="J29" s="285"/>
      <c r="K29" s="285"/>
      <c r="L29" s="285"/>
      <c r="M29" s="285"/>
      <c r="N29" s="285"/>
      <c r="O29" s="285"/>
      <c r="P29" s="285"/>
      <c r="Q29" s="285"/>
      <c r="R29" s="285"/>
      <c r="S29" s="285"/>
      <c r="T29" s="285"/>
      <c r="U29" s="285"/>
      <c r="V29" s="285"/>
      <c r="W29" s="285"/>
      <c r="X29" s="285"/>
      <c r="Y29" s="285"/>
      <c r="Z29" s="285"/>
      <c r="AA29" s="285"/>
      <c r="AB29" s="285"/>
      <c r="AC29" s="285"/>
      <c r="AD29" s="285"/>
    </row>
    <row r="30">
      <c r="A30" s="285"/>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c r="Z30" s="285"/>
      <c r="AA30" s="285"/>
      <c r="AB30" s="285"/>
      <c r="AC30" s="285"/>
      <c r="AD30" s="285"/>
    </row>
    <row r="31">
      <c r="A31" s="381" t="s">
        <v>307</v>
      </c>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row>
    <row r="32">
      <c r="A32" s="285"/>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row>
    <row r="33">
      <c r="A33" s="285"/>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row>
    <row r="34">
      <c r="A34" s="285"/>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row>
    <row r="35">
      <c r="A35" s="285"/>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row>
    <row r="36">
      <c r="A36" s="285"/>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row>
    <row r="37">
      <c r="A37" s="285"/>
      <c r="B37" s="285"/>
      <c r="C37" s="285"/>
      <c r="D37" s="285"/>
      <c r="E37" s="285"/>
      <c r="F37" s="285"/>
      <c r="G37" s="381"/>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row>
    <row r="38">
      <c r="A38" s="285"/>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c r="AC38" s="285"/>
      <c r="AD38" s="285"/>
    </row>
    <row r="39">
      <c r="A39" s="285"/>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row>
    <row r="40">
      <c r="A40" s="285"/>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row>
    <row r="4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row>
    <row r="42">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row>
    <row r="43">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row>
    <row r="44">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row>
    <row r="45">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row>
    <row r="46">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row>
    <row r="47">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row>
    <row r="48">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row>
    <row r="49">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row>
    <row r="50">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row>
    <row r="5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row>
    <row r="52">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row>
    <row r="53">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row>
    <row r="54">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row>
    <row r="55">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row>
    <row r="56">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row>
    <row r="57">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row>
    <row r="58">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row>
    <row r="59">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row>
    <row r="6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row>
    <row r="62">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row>
    <row r="63">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row>
    <row r="68">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row>
    <row r="69">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row>
    <row r="70">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row>
    <row r="7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row>
    <row r="72">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row>
    <row r="73">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row>
    <row r="74">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row>
    <row r="75">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row>
    <row r="76">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row>
    <row r="77">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row>
    <row r="90">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row>
    <row r="9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row>
    <row r="92">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row>
    <row r="93">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row>
    <row r="94">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row>
    <row r="95">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row>
    <row r="96">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row>
    <row r="97">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c r="AA97" s="285"/>
      <c r="AB97" s="285"/>
      <c r="AC97" s="285"/>
      <c r="AD97" s="285"/>
    </row>
    <row r="98">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row>
    <row r="99">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c r="AA125" s="285"/>
      <c r="AB125" s="285"/>
      <c r="AC125" s="285"/>
      <c r="AD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c r="AA126" s="285"/>
      <c r="AB126" s="285"/>
      <c r="AC126" s="285"/>
      <c r="AD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c r="Y127" s="285"/>
      <c r="Z127" s="285"/>
      <c r="AA127" s="285"/>
      <c r="AB127" s="285"/>
      <c r="AC127" s="285"/>
      <c r="AD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c r="Y128" s="285"/>
      <c r="Z128" s="285"/>
      <c r="AA128" s="285"/>
      <c r="AB128" s="285"/>
      <c r="AC128" s="285"/>
      <c r="AD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c r="AA129" s="285"/>
      <c r="AB129" s="285"/>
      <c r="AC129" s="285"/>
      <c r="AD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c r="AA130" s="285"/>
      <c r="AB130" s="285"/>
      <c r="AC130" s="285"/>
      <c r="AD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c r="AA132" s="285"/>
      <c r="AB132" s="285"/>
      <c r="AC132" s="285"/>
      <c r="AD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c r="AA133" s="285"/>
      <c r="AB133" s="285"/>
      <c r="AC133" s="285"/>
      <c r="AD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c r="AA134" s="285"/>
      <c r="AB134" s="285"/>
      <c r="AC134" s="285"/>
      <c r="AD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c r="AA135" s="285"/>
      <c r="AB135" s="285"/>
      <c r="AC135" s="285"/>
      <c r="AD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c r="AC149" s="285"/>
      <c r="AD149" s="285"/>
    </row>
    <row r="150">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c r="AA150" s="285"/>
      <c r="AB150" s="285"/>
      <c r="AC150" s="285"/>
      <c r="AD150" s="285"/>
    </row>
    <row r="15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c r="Y151" s="285"/>
      <c r="Z151" s="285"/>
      <c r="AA151" s="285"/>
      <c r="AB151" s="285"/>
      <c r="AC151" s="285"/>
      <c r="AD151" s="285"/>
    </row>
    <row r="152">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row>
    <row r="153">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row>
    <row r="154">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row>
    <row r="155">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row>
    <row r="156">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row>
    <row r="157">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row>
    <row r="158">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c r="AA158" s="285"/>
      <c r="AB158" s="285"/>
      <c r="AC158" s="285"/>
      <c r="AD158" s="285"/>
    </row>
    <row r="159">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row>
    <row r="160">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c r="AA160" s="285"/>
      <c r="AB160" s="285"/>
      <c r="AC160" s="285"/>
      <c r="AD160" s="285"/>
    </row>
    <row r="161">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c r="AA161" s="285"/>
      <c r="AB161" s="285"/>
      <c r="AC161" s="285"/>
      <c r="AD161" s="285"/>
    </row>
    <row r="162">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285"/>
      <c r="W162" s="285"/>
      <c r="X162" s="285"/>
      <c r="Y162" s="285"/>
      <c r="Z162" s="285"/>
      <c r="AA162" s="285"/>
      <c r="AB162" s="285"/>
      <c r="AC162" s="285"/>
      <c r="AD162" s="285"/>
    </row>
    <row r="163">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285"/>
      <c r="W163" s="285"/>
      <c r="X163" s="285"/>
      <c r="Y163" s="285"/>
      <c r="Z163" s="285"/>
      <c r="AA163" s="285"/>
      <c r="AB163" s="285"/>
      <c r="AC163" s="285"/>
      <c r="AD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c r="AA164" s="285"/>
      <c r="AB164" s="285"/>
      <c r="AC164" s="285"/>
      <c r="AD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c r="AA165" s="285"/>
      <c r="AB165" s="285"/>
      <c r="AC165" s="285"/>
      <c r="AD165" s="285"/>
    </row>
    <row r="166">
      <c r="A166" s="285"/>
      <c r="B166" s="285"/>
      <c r="C166" s="285"/>
      <c r="D166" s="285"/>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c r="AA166" s="285"/>
      <c r="AB166" s="285"/>
      <c r="AC166" s="285"/>
      <c r="AD166" s="285"/>
    </row>
    <row r="167">
      <c r="A167" s="285"/>
      <c r="B167" s="285"/>
      <c r="C167" s="285"/>
      <c r="D167" s="285"/>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c r="AA167" s="285"/>
      <c r="AB167" s="285"/>
      <c r="AC167" s="285"/>
      <c r="AD167" s="285"/>
    </row>
    <row r="168">
      <c r="A168" s="285"/>
      <c r="B168" s="285"/>
      <c r="C168" s="285"/>
      <c r="D168" s="285"/>
      <c r="E168" s="285"/>
      <c r="F168" s="285"/>
      <c r="G168" s="285"/>
      <c r="H168" s="285"/>
      <c r="I168" s="285"/>
      <c r="J168" s="285"/>
      <c r="K168" s="285"/>
      <c r="L168" s="285"/>
      <c r="M168" s="285"/>
      <c r="N168" s="285"/>
      <c r="O168" s="285"/>
      <c r="P168" s="285"/>
      <c r="Q168" s="285"/>
      <c r="R168" s="285"/>
      <c r="S168" s="285"/>
      <c r="T168" s="285"/>
      <c r="U168" s="285"/>
      <c r="V168" s="285"/>
      <c r="W168" s="285"/>
      <c r="X168" s="285"/>
      <c r="Y168" s="285"/>
      <c r="Z168" s="285"/>
      <c r="AA168" s="285"/>
      <c r="AB168" s="285"/>
      <c r="AC168" s="285"/>
      <c r="AD168" s="285"/>
    </row>
    <row r="169">
      <c r="A169" s="285"/>
      <c r="B169" s="285"/>
      <c r="C169" s="285"/>
      <c r="D169" s="285"/>
      <c r="E169" s="285"/>
      <c r="F169" s="285"/>
      <c r="G169" s="285"/>
      <c r="H169" s="285"/>
      <c r="I169" s="285"/>
      <c r="J169" s="285"/>
      <c r="K169" s="285"/>
      <c r="L169" s="285"/>
      <c r="M169" s="285"/>
      <c r="N169" s="285"/>
      <c r="O169" s="285"/>
      <c r="P169" s="285"/>
      <c r="Q169" s="285"/>
      <c r="R169" s="285"/>
      <c r="S169" s="285"/>
      <c r="T169" s="285"/>
      <c r="U169" s="285"/>
      <c r="V169" s="285"/>
      <c r="W169" s="285"/>
      <c r="X169" s="285"/>
      <c r="Y169" s="285"/>
      <c r="Z169" s="285"/>
      <c r="AA169" s="285"/>
      <c r="AB169" s="285"/>
      <c r="AC169" s="285"/>
      <c r="AD169" s="285"/>
    </row>
    <row r="170">
      <c r="A170" s="285"/>
      <c r="B170" s="285"/>
      <c r="C170" s="285"/>
      <c r="D170" s="285"/>
      <c r="E170" s="285"/>
      <c r="F170" s="285"/>
      <c r="G170" s="285"/>
      <c r="H170" s="285"/>
      <c r="I170" s="285"/>
      <c r="J170" s="285"/>
      <c r="K170" s="285"/>
      <c r="L170" s="285"/>
      <c r="M170" s="285"/>
      <c r="N170" s="285"/>
      <c r="O170" s="285"/>
      <c r="P170" s="285"/>
      <c r="Q170" s="285"/>
      <c r="R170" s="285"/>
      <c r="S170" s="285"/>
      <c r="T170" s="285"/>
      <c r="U170" s="285"/>
      <c r="V170" s="285"/>
      <c r="W170" s="285"/>
      <c r="X170" s="285"/>
      <c r="Y170" s="285"/>
      <c r="Z170" s="285"/>
      <c r="AA170" s="285"/>
      <c r="AB170" s="285"/>
      <c r="AC170" s="285"/>
      <c r="AD170" s="285"/>
    </row>
    <row r="171">
      <c r="A171" s="28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row>
    <row r="172">
      <c r="A172" s="285"/>
      <c r="B172" s="285"/>
      <c r="C172" s="285"/>
      <c r="D172" s="285"/>
      <c r="E172" s="285"/>
      <c r="F172" s="285"/>
      <c r="G172" s="285"/>
      <c r="H172" s="285"/>
      <c r="I172" s="285"/>
      <c r="J172" s="285"/>
      <c r="K172" s="285"/>
      <c r="L172" s="285"/>
      <c r="M172" s="285"/>
      <c r="N172" s="285"/>
      <c r="O172" s="285"/>
      <c r="P172" s="285"/>
      <c r="Q172" s="285"/>
      <c r="R172" s="285"/>
      <c r="S172" s="285"/>
      <c r="T172" s="285"/>
      <c r="U172" s="285"/>
      <c r="V172" s="285"/>
      <c r="W172" s="285"/>
      <c r="X172" s="285"/>
      <c r="Y172" s="285"/>
      <c r="Z172" s="285"/>
      <c r="AA172" s="285"/>
      <c r="AB172" s="285"/>
      <c r="AC172" s="285"/>
      <c r="AD172" s="285"/>
    </row>
    <row r="173">
      <c r="A173" s="285"/>
      <c r="B173" s="285"/>
      <c r="C173" s="285"/>
      <c r="D173" s="285"/>
      <c r="E173" s="285"/>
      <c r="F173" s="285"/>
      <c r="G173" s="285"/>
      <c r="H173" s="285"/>
      <c r="I173" s="285"/>
      <c r="J173" s="285"/>
      <c r="K173" s="285"/>
      <c r="L173" s="285"/>
      <c r="M173" s="285"/>
      <c r="N173" s="285"/>
      <c r="O173" s="285"/>
      <c r="P173" s="285"/>
      <c r="Q173" s="285"/>
      <c r="R173" s="285"/>
      <c r="S173" s="285"/>
      <c r="T173" s="285"/>
      <c r="U173" s="285"/>
      <c r="V173" s="285"/>
      <c r="W173" s="285"/>
      <c r="X173" s="285"/>
      <c r="Y173" s="285"/>
      <c r="Z173" s="285"/>
      <c r="AA173" s="285"/>
      <c r="AB173" s="285"/>
      <c r="AC173" s="285"/>
      <c r="AD173" s="285"/>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c r="Y174" s="285"/>
      <c r="Z174" s="285"/>
      <c r="AA174" s="285"/>
      <c r="AB174" s="285"/>
      <c r="AC174" s="285"/>
      <c r="AD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c r="Y175" s="285"/>
      <c r="Z175" s="285"/>
      <c r="AA175" s="285"/>
      <c r="AB175" s="285"/>
      <c r="AC175" s="285"/>
      <c r="AD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c r="AA186" s="285"/>
      <c r="AB186" s="285"/>
      <c r="AC186" s="285"/>
      <c r="AD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c r="AA187" s="285"/>
      <c r="AB187" s="285"/>
      <c r="AC187" s="285"/>
      <c r="AD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c r="Y188" s="285"/>
      <c r="Z188" s="285"/>
      <c r="AA188" s="285"/>
      <c r="AB188" s="285"/>
      <c r="AC188" s="285"/>
      <c r="AD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c r="AA189" s="285"/>
      <c r="AB189" s="285"/>
      <c r="AC189" s="285"/>
      <c r="AD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c r="Y190" s="285"/>
      <c r="Z190" s="285"/>
      <c r="AA190" s="285"/>
      <c r="AB190" s="285"/>
      <c r="AC190" s="285"/>
      <c r="AD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c r="AA191" s="285"/>
      <c r="AB191" s="285"/>
      <c r="AC191" s="285"/>
      <c r="AD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c r="Y192" s="285"/>
      <c r="Z192" s="285"/>
      <c r="AA192" s="285"/>
      <c r="AB192" s="285"/>
      <c r="AC192" s="285"/>
      <c r="AD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c r="Y193" s="285"/>
      <c r="Z193" s="285"/>
      <c r="AA193" s="285"/>
      <c r="AB193" s="285"/>
      <c r="AC193" s="285"/>
      <c r="AD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c r="Y194" s="285"/>
      <c r="Z194" s="285"/>
      <c r="AA194" s="285"/>
      <c r="AB194" s="285"/>
      <c r="AC194" s="285"/>
      <c r="AD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c r="Y195" s="285"/>
      <c r="Z195" s="285"/>
      <c r="AA195" s="285"/>
      <c r="AB195" s="285"/>
      <c r="AC195" s="285"/>
      <c r="AD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c r="AA196" s="285"/>
      <c r="AB196" s="285"/>
      <c r="AC196" s="285"/>
      <c r="AD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c r="AA197" s="285"/>
      <c r="AB197" s="285"/>
      <c r="AC197" s="285"/>
      <c r="AD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c r="Y198" s="285"/>
      <c r="Z198" s="285"/>
      <c r="AA198" s="285"/>
      <c r="AB198" s="285"/>
      <c r="AC198" s="285"/>
      <c r="AD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c r="AA199" s="285"/>
      <c r="AB199" s="285"/>
      <c r="AC199" s="285"/>
      <c r="AD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c r="Y200" s="285"/>
      <c r="Z200" s="285"/>
      <c r="AA200" s="285"/>
      <c r="AB200" s="285"/>
      <c r="AC200" s="285"/>
      <c r="AD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c r="Y201" s="285"/>
      <c r="Z201" s="285"/>
      <c r="AA201" s="285"/>
      <c r="AB201" s="285"/>
      <c r="AC201" s="285"/>
      <c r="AD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c r="AA202" s="285"/>
      <c r="AB202" s="285"/>
      <c r="AC202" s="285"/>
      <c r="AD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c r="AA206" s="285"/>
      <c r="AB206" s="285"/>
      <c r="AC206" s="285"/>
      <c r="AD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c r="AA210" s="285"/>
      <c r="AB210" s="285"/>
      <c r="AC210" s="285"/>
      <c r="AD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c r="AA211" s="285"/>
      <c r="AB211" s="285"/>
      <c r="AC211" s="285"/>
      <c r="AD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c r="AA212" s="285"/>
      <c r="AB212" s="285"/>
      <c r="AC212" s="285"/>
      <c r="AD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c r="AA214" s="285"/>
      <c r="AB214" s="285"/>
      <c r="AC214" s="285"/>
      <c r="AD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c r="Y217" s="285"/>
      <c r="Z217" s="285"/>
      <c r="AA217" s="285"/>
      <c r="AB217" s="285"/>
      <c r="AC217" s="285"/>
      <c r="AD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c r="Z218" s="285"/>
      <c r="AA218" s="285"/>
      <c r="AB218" s="285"/>
      <c r="AC218" s="285"/>
      <c r="AD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c r="Z219" s="285"/>
      <c r="AA219" s="285"/>
      <c r="AB219" s="285"/>
      <c r="AC219" s="285"/>
      <c r="AD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c r="Z220" s="285"/>
      <c r="AA220" s="285"/>
      <c r="AB220" s="285"/>
      <c r="AC220" s="285"/>
      <c r="AD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c r="Z223" s="285"/>
      <c r="AA223" s="285"/>
      <c r="AB223" s="285"/>
      <c r="AC223" s="285"/>
      <c r="AD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c r="Z224" s="285"/>
      <c r="AA224" s="285"/>
      <c r="AB224" s="285"/>
      <c r="AC224" s="285"/>
      <c r="AD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c r="Z225" s="285"/>
      <c r="AA225" s="285"/>
      <c r="AB225" s="285"/>
      <c r="AC225" s="285"/>
      <c r="AD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c r="Z226" s="285"/>
      <c r="AA226" s="285"/>
      <c r="AB226" s="285"/>
      <c r="AC226" s="285"/>
      <c r="AD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c r="AA227" s="285"/>
      <c r="AB227" s="285"/>
      <c r="AC227" s="285"/>
      <c r="AD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c r="Z228" s="285"/>
      <c r="AA228" s="285"/>
      <c r="AB228" s="285"/>
      <c r="AC228" s="285"/>
      <c r="AD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c r="Z229" s="285"/>
      <c r="AA229" s="285"/>
      <c r="AB229" s="285"/>
      <c r="AC229" s="285"/>
      <c r="AD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c r="Z230" s="285"/>
      <c r="AA230" s="285"/>
      <c r="AB230" s="285"/>
      <c r="AC230" s="285"/>
      <c r="AD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c r="AA231" s="285"/>
      <c r="AB231" s="285"/>
      <c r="AC231" s="285"/>
      <c r="AD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c r="AA232" s="285"/>
      <c r="AB232" s="285"/>
      <c r="AC232" s="285"/>
      <c r="AD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c r="AA234" s="285"/>
      <c r="AB234" s="285"/>
      <c r="AC234" s="285"/>
      <c r="AD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c r="AA235" s="285"/>
      <c r="AB235" s="285"/>
      <c r="AC235" s="285"/>
      <c r="AD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c r="Z236" s="285"/>
      <c r="AA236" s="285"/>
      <c r="AB236" s="285"/>
      <c r="AC236" s="285"/>
      <c r="AD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c r="Z237" s="285"/>
      <c r="AA237" s="285"/>
      <c r="AB237" s="285"/>
      <c r="AC237" s="285"/>
      <c r="AD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c r="Z238" s="285"/>
      <c r="AA238" s="285"/>
      <c r="AB238" s="285"/>
      <c r="AC238" s="285"/>
      <c r="AD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c r="AA239" s="285"/>
      <c r="AB239" s="285"/>
      <c r="AC239" s="285"/>
      <c r="AD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c r="Z240" s="285"/>
      <c r="AA240" s="285"/>
      <c r="AB240" s="285"/>
      <c r="AC240" s="285"/>
      <c r="AD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c r="Z241" s="285"/>
      <c r="AA241" s="285"/>
      <c r="AB241" s="285"/>
      <c r="AC241" s="285"/>
      <c r="AD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c r="Z242" s="285"/>
      <c r="AA242" s="285"/>
      <c r="AB242" s="285"/>
      <c r="AC242" s="285"/>
      <c r="AD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c r="Z243" s="285"/>
      <c r="AA243" s="285"/>
      <c r="AB243" s="285"/>
      <c r="AC243" s="285"/>
      <c r="AD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c r="AA244" s="285"/>
      <c r="AB244" s="285"/>
      <c r="AC244" s="285"/>
      <c r="AD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c r="AA245" s="285"/>
      <c r="AB245" s="285"/>
      <c r="AC245" s="285"/>
      <c r="AD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c r="Z246" s="285"/>
      <c r="AA246" s="285"/>
      <c r="AB246" s="285"/>
      <c r="AC246" s="285"/>
      <c r="AD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c r="Z247" s="285"/>
      <c r="AA247" s="285"/>
      <c r="AB247" s="285"/>
      <c r="AC247" s="285"/>
      <c r="AD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c r="Z248" s="285"/>
      <c r="AA248" s="285"/>
      <c r="AB248" s="285"/>
      <c r="AC248" s="285"/>
      <c r="AD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c r="Z249" s="285"/>
      <c r="AA249" s="285"/>
      <c r="AB249" s="285"/>
      <c r="AC249" s="285"/>
      <c r="AD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c r="Z250" s="285"/>
      <c r="AA250" s="285"/>
      <c r="AB250" s="285"/>
      <c r="AC250" s="285"/>
      <c r="AD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c r="AA251" s="285"/>
      <c r="AB251" s="285"/>
      <c r="AC251" s="285"/>
      <c r="AD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c r="Z252" s="285"/>
      <c r="AA252" s="285"/>
      <c r="AB252" s="285"/>
      <c r="AC252" s="285"/>
      <c r="AD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c r="Z253" s="285"/>
      <c r="AA253" s="285"/>
      <c r="AB253" s="285"/>
      <c r="AC253" s="285"/>
      <c r="AD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c r="Z254" s="285"/>
      <c r="AA254" s="285"/>
      <c r="AB254" s="285"/>
      <c r="AC254" s="285"/>
      <c r="AD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c r="Z255" s="285"/>
      <c r="AA255" s="285"/>
      <c r="AB255" s="285"/>
      <c r="AC255" s="285"/>
      <c r="AD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c r="Z256" s="285"/>
      <c r="AA256" s="285"/>
      <c r="AB256" s="285"/>
      <c r="AC256" s="285"/>
      <c r="AD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c r="AA257" s="285"/>
      <c r="AB257" s="285"/>
      <c r="AC257" s="285"/>
      <c r="AD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c r="AA258" s="285"/>
      <c r="AB258" s="285"/>
      <c r="AC258" s="285"/>
      <c r="AD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c r="AA259" s="285"/>
      <c r="AB259" s="285"/>
      <c r="AC259" s="285"/>
      <c r="AD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c r="AA260" s="285"/>
      <c r="AB260" s="285"/>
      <c r="AC260" s="285"/>
      <c r="AD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c r="AA262" s="285"/>
      <c r="AB262" s="285"/>
      <c r="AC262" s="285"/>
      <c r="AD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c r="AA264" s="285"/>
      <c r="AB264" s="285"/>
      <c r="AC264" s="285"/>
      <c r="AD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c r="AA270" s="285"/>
      <c r="AB270" s="285"/>
      <c r="AC270" s="285"/>
      <c r="AD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c r="AA271" s="285"/>
      <c r="AB271" s="285"/>
      <c r="AC271" s="285"/>
      <c r="AD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c r="AA272" s="285"/>
      <c r="AB272" s="285"/>
      <c r="AC272" s="285"/>
      <c r="AD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c r="Z273" s="285"/>
      <c r="AA273" s="285"/>
      <c r="AB273" s="285"/>
      <c r="AC273" s="285"/>
      <c r="AD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c r="Z274" s="285"/>
      <c r="AA274" s="285"/>
      <c r="AB274" s="285"/>
      <c r="AC274" s="285"/>
      <c r="AD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c r="AA275" s="285"/>
      <c r="AB275" s="285"/>
      <c r="AC275" s="285"/>
      <c r="AD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c r="AA276" s="285"/>
      <c r="AB276" s="285"/>
      <c r="AC276" s="285"/>
      <c r="AD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c r="AA277" s="285"/>
      <c r="AB277" s="285"/>
      <c r="AC277" s="285"/>
      <c r="AD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c r="Z278" s="285"/>
      <c r="AA278" s="285"/>
      <c r="AB278" s="285"/>
      <c r="AC278" s="285"/>
      <c r="AD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c r="Z279" s="285"/>
      <c r="AA279" s="285"/>
      <c r="AB279" s="285"/>
      <c r="AC279" s="285"/>
      <c r="AD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c r="Z280" s="285"/>
      <c r="AA280" s="285"/>
      <c r="AB280" s="285"/>
      <c r="AC280" s="285"/>
      <c r="AD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c r="AA281" s="285"/>
      <c r="AB281" s="285"/>
      <c r="AC281" s="285"/>
      <c r="AD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c r="Z282" s="285"/>
      <c r="AA282" s="285"/>
      <c r="AB282" s="285"/>
      <c r="AC282" s="285"/>
      <c r="AD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c r="Z283" s="285"/>
      <c r="AA283" s="285"/>
      <c r="AB283" s="285"/>
      <c r="AC283" s="285"/>
      <c r="AD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c r="Z284" s="285"/>
      <c r="AA284" s="285"/>
      <c r="AB284" s="285"/>
      <c r="AC284" s="285"/>
      <c r="AD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c r="Z285" s="285"/>
      <c r="AA285" s="285"/>
      <c r="AB285" s="285"/>
      <c r="AC285" s="285"/>
      <c r="AD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c r="Z286" s="285"/>
      <c r="AA286" s="285"/>
      <c r="AB286" s="285"/>
      <c r="AC286" s="285"/>
      <c r="AD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c r="AA287" s="285"/>
      <c r="AB287" s="285"/>
      <c r="AC287" s="285"/>
      <c r="AD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c r="Z288" s="285"/>
      <c r="AA288" s="285"/>
      <c r="AB288" s="285"/>
      <c r="AC288" s="285"/>
      <c r="AD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c r="Z289" s="285"/>
      <c r="AA289" s="285"/>
      <c r="AB289" s="285"/>
      <c r="AC289" s="285"/>
      <c r="AD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c r="Z290" s="285"/>
      <c r="AA290" s="285"/>
      <c r="AB290" s="285"/>
      <c r="AC290" s="285"/>
      <c r="AD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c r="Z291" s="285"/>
      <c r="AA291" s="285"/>
      <c r="AB291" s="285"/>
      <c r="AC291" s="285"/>
      <c r="AD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c r="Z292" s="285"/>
      <c r="AA292" s="285"/>
      <c r="AB292" s="285"/>
      <c r="AC292" s="285"/>
      <c r="AD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c r="AA293" s="285"/>
      <c r="AB293" s="285"/>
      <c r="AC293" s="285"/>
      <c r="AD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c r="Z294" s="285"/>
      <c r="AA294" s="285"/>
      <c r="AB294" s="285"/>
      <c r="AC294" s="285"/>
      <c r="AD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c r="Z295" s="285"/>
      <c r="AA295" s="285"/>
      <c r="AB295" s="285"/>
      <c r="AC295" s="285"/>
      <c r="AD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c r="Z296" s="285"/>
      <c r="AA296" s="285"/>
      <c r="AB296" s="285"/>
      <c r="AC296" s="285"/>
      <c r="AD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c r="Z297" s="285"/>
      <c r="AA297" s="285"/>
      <c r="AB297" s="285"/>
      <c r="AC297" s="285"/>
      <c r="AD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c r="Z298" s="285"/>
      <c r="AA298" s="285"/>
      <c r="AB298" s="285"/>
      <c r="AC298" s="285"/>
      <c r="AD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c r="AA299" s="285"/>
      <c r="AB299" s="285"/>
      <c r="AC299" s="285"/>
      <c r="AD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c r="AA300" s="285"/>
      <c r="AB300" s="285"/>
      <c r="AC300" s="285"/>
      <c r="AD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c r="Z301" s="285"/>
      <c r="AA301" s="285"/>
      <c r="AB301" s="285"/>
      <c r="AC301" s="285"/>
      <c r="AD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c r="Z302" s="285"/>
      <c r="AA302" s="285"/>
      <c r="AB302" s="285"/>
      <c r="AC302" s="285"/>
      <c r="AD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c r="Z303" s="285"/>
      <c r="AA303" s="285"/>
      <c r="AB303" s="285"/>
      <c r="AC303" s="285"/>
      <c r="AD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c r="Z304" s="285"/>
      <c r="AA304" s="285"/>
      <c r="AB304" s="285"/>
      <c r="AC304" s="285"/>
      <c r="AD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c r="AA305" s="285"/>
      <c r="AB305" s="285"/>
      <c r="AC305" s="285"/>
      <c r="AD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c r="Z306" s="285"/>
      <c r="AA306" s="285"/>
      <c r="AB306" s="285"/>
      <c r="AC306" s="285"/>
      <c r="AD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c r="Z307" s="285"/>
      <c r="AA307" s="285"/>
      <c r="AB307" s="285"/>
      <c r="AC307" s="285"/>
      <c r="AD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c r="AA308" s="285"/>
      <c r="AB308" s="285"/>
      <c r="AC308" s="285"/>
      <c r="AD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c r="AA309" s="285"/>
      <c r="AB309" s="285"/>
      <c r="AC309" s="285"/>
      <c r="AD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c r="AA310" s="285"/>
      <c r="AB310" s="285"/>
      <c r="AC310" s="285"/>
      <c r="AD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c r="AA311" s="285"/>
      <c r="AB311" s="285"/>
      <c r="AC311" s="285"/>
      <c r="AD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c r="AA312" s="285"/>
      <c r="AB312" s="285"/>
      <c r="AC312" s="285"/>
      <c r="AD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c r="AA313" s="285"/>
      <c r="AB313" s="285"/>
      <c r="AC313" s="285"/>
      <c r="AD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c r="AA314" s="285"/>
      <c r="AB314" s="285"/>
      <c r="AC314" s="285"/>
      <c r="AD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c r="AA315" s="285"/>
      <c r="AB315" s="285"/>
      <c r="AC315" s="285"/>
      <c r="AD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c r="AA316" s="285"/>
      <c r="AB316" s="285"/>
      <c r="AC316" s="285"/>
      <c r="AD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c r="AC317" s="285"/>
      <c r="AD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c r="AA318" s="285"/>
      <c r="AB318" s="285"/>
      <c r="AC318" s="285"/>
      <c r="AD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c r="AA319" s="285"/>
      <c r="AB319" s="285"/>
      <c r="AC319" s="285"/>
      <c r="AD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c r="AA320" s="285"/>
      <c r="AB320" s="285"/>
      <c r="AC320" s="285"/>
      <c r="AD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c r="AA321" s="285"/>
      <c r="AB321" s="285"/>
      <c r="AC321" s="285"/>
      <c r="AD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c r="AA322" s="285"/>
      <c r="AB322" s="285"/>
      <c r="AC322" s="285"/>
      <c r="AD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c r="AA323" s="285"/>
      <c r="AB323" s="285"/>
      <c r="AC323" s="285"/>
      <c r="AD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c r="AA324" s="285"/>
      <c r="AB324" s="285"/>
      <c r="AC324" s="285"/>
      <c r="AD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c r="AA325" s="285"/>
      <c r="AB325" s="285"/>
      <c r="AC325" s="285"/>
      <c r="AD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c r="AA326" s="285"/>
      <c r="AB326" s="285"/>
      <c r="AC326" s="285"/>
      <c r="AD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c r="AA327" s="285"/>
      <c r="AB327" s="285"/>
      <c r="AC327" s="285"/>
      <c r="AD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c r="AA328" s="285"/>
      <c r="AB328" s="285"/>
      <c r="AC328" s="285"/>
      <c r="AD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c r="AA329" s="285"/>
      <c r="AB329" s="285"/>
      <c r="AC329" s="285"/>
      <c r="AD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c r="AA330" s="285"/>
      <c r="AB330" s="285"/>
      <c r="AC330" s="285"/>
      <c r="AD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c r="AA331" s="285"/>
      <c r="AB331" s="285"/>
      <c r="AC331" s="285"/>
      <c r="AD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c r="AA332" s="285"/>
      <c r="AB332" s="285"/>
      <c r="AC332" s="285"/>
      <c r="AD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c r="AA333" s="285"/>
      <c r="AB333" s="285"/>
      <c r="AC333" s="285"/>
      <c r="AD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c r="AA334" s="285"/>
      <c r="AB334" s="285"/>
      <c r="AC334" s="285"/>
      <c r="AD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c r="AA335" s="285"/>
      <c r="AB335" s="285"/>
      <c r="AC335" s="285"/>
      <c r="AD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c r="AA336" s="285"/>
      <c r="AB336" s="285"/>
      <c r="AC336" s="285"/>
      <c r="AD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c r="AA337" s="285"/>
      <c r="AB337" s="285"/>
      <c r="AC337" s="285"/>
      <c r="AD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c r="AA338" s="285"/>
      <c r="AB338" s="285"/>
      <c r="AC338" s="285"/>
      <c r="AD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c r="AA339" s="285"/>
      <c r="AB339" s="285"/>
      <c r="AC339" s="285"/>
      <c r="AD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c r="AA340" s="285"/>
      <c r="AB340" s="285"/>
      <c r="AC340" s="285"/>
      <c r="AD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c r="AA341" s="285"/>
      <c r="AB341" s="285"/>
      <c r="AC341" s="285"/>
      <c r="AD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c r="Z342" s="285"/>
      <c r="AA342" s="285"/>
      <c r="AB342" s="285"/>
      <c r="AC342" s="285"/>
      <c r="AD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c r="Z343" s="285"/>
      <c r="AA343" s="285"/>
      <c r="AB343" s="285"/>
      <c r="AC343" s="285"/>
      <c r="AD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c r="Z344" s="285"/>
      <c r="AA344" s="285"/>
      <c r="AB344" s="285"/>
      <c r="AC344" s="285"/>
      <c r="AD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c r="AA345" s="285"/>
      <c r="AB345" s="285"/>
      <c r="AC345" s="285"/>
      <c r="AD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c r="Z346" s="285"/>
      <c r="AA346" s="285"/>
      <c r="AB346" s="285"/>
      <c r="AC346" s="285"/>
      <c r="AD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c r="AA347" s="285"/>
      <c r="AB347" s="285"/>
      <c r="AC347" s="285"/>
      <c r="AD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c r="Z348" s="285"/>
      <c r="AA348" s="285"/>
      <c r="AB348" s="285"/>
      <c r="AC348" s="285"/>
      <c r="AD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c r="Z350" s="285"/>
      <c r="AA350" s="285"/>
      <c r="AB350" s="285"/>
      <c r="AC350" s="285"/>
      <c r="AD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c r="Z351" s="285"/>
      <c r="AA351" s="285"/>
      <c r="AB351" s="285"/>
      <c r="AC351" s="285"/>
      <c r="AD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c r="AA352" s="285"/>
      <c r="AB352" s="285"/>
      <c r="AC352" s="285"/>
      <c r="AD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c r="Z353" s="285"/>
      <c r="AA353" s="285"/>
      <c r="AB353" s="285"/>
      <c r="AC353" s="285"/>
      <c r="AD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c r="Z354" s="285"/>
      <c r="AA354" s="285"/>
      <c r="AB354" s="285"/>
      <c r="AC354" s="285"/>
      <c r="AD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c r="Z355" s="285"/>
      <c r="AA355" s="285"/>
      <c r="AB355" s="285"/>
      <c r="AC355" s="285"/>
      <c r="AD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c r="AA356" s="285"/>
      <c r="AB356" s="285"/>
      <c r="AC356" s="285"/>
      <c r="AD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c r="AA357" s="285"/>
      <c r="AB357" s="285"/>
      <c r="AC357" s="285"/>
      <c r="AD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c r="AA358" s="285"/>
      <c r="AB358" s="285"/>
      <c r="AC358" s="285"/>
      <c r="AD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c r="AA359" s="285"/>
      <c r="AB359" s="285"/>
      <c r="AC359" s="285"/>
      <c r="AD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c r="AA360" s="285"/>
      <c r="AB360" s="285"/>
      <c r="AC360" s="285"/>
      <c r="AD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c r="AA361" s="285"/>
      <c r="AB361" s="285"/>
      <c r="AC361" s="285"/>
      <c r="AD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c r="AA362" s="285"/>
      <c r="AB362" s="285"/>
      <c r="AC362" s="285"/>
      <c r="AD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c r="AA363" s="285"/>
      <c r="AB363" s="285"/>
      <c r="AC363" s="285"/>
      <c r="AD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c r="AA364" s="285"/>
      <c r="AB364" s="285"/>
      <c r="AC364" s="285"/>
      <c r="AD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c r="AA365" s="285"/>
      <c r="AB365" s="285"/>
      <c r="AC365" s="285"/>
      <c r="AD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c r="AA366" s="285"/>
      <c r="AB366" s="285"/>
      <c r="AC366" s="285"/>
      <c r="AD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c r="AA367" s="285"/>
      <c r="AB367" s="285"/>
      <c r="AC367" s="285"/>
      <c r="AD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c r="AA368" s="285"/>
      <c r="AB368" s="285"/>
      <c r="AC368" s="285"/>
      <c r="AD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c r="AA369" s="285"/>
      <c r="AB369" s="285"/>
      <c r="AC369" s="285"/>
      <c r="AD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c r="AA370" s="285"/>
      <c r="AB370" s="285"/>
      <c r="AC370" s="285"/>
      <c r="AD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c r="Z371" s="285"/>
      <c r="AA371" s="285"/>
      <c r="AB371" s="285"/>
      <c r="AC371" s="285"/>
      <c r="AD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c r="AA372" s="285"/>
      <c r="AB372" s="285"/>
      <c r="AC372" s="285"/>
      <c r="AD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c r="Z373" s="285"/>
      <c r="AA373" s="285"/>
      <c r="AB373" s="285"/>
      <c r="AC373" s="285"/>
      <c r="AD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c r="Z374" s="285"/>
      <c r="AA374" s="285"/>
      <c r="AB374" s="285"/>
      <c r="AC374" s="285"/>
      <c r="AD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c r="Z375" s="285"/>
      <c r="AA375" s="285"/>
      <c r="AB375" s="285"/>
      <c r="AC375" s="285"/>
      <c r="AD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c r="Z376" s="285"/>
      <c r="AA376" s="285"/>
      <c r="AB376" s="285"/>
      <c r="AC376" s="285"/>
      <c r="AD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c r="Z377" s="285"/>
      <c r="AA377" s="285"/>
      <c r="AB377" s="285"/>
      <c r="AC377" s="285"/>
      <c r="AD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c r="AA378" s="285"/>
      <c r="AB378" s="285"/>
      <c r="AC378" s="285"/>
      <c r="AD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c r="AA379" s="285"/>
      <c r="AB379" s="285"/>
      <c r="AC379" s="285"/>
      <c r="AD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c r="Z380" s="285"/>
      <c r="AA380" s="285"/>
      <c r="AB380" s="285"/>
      <c r="AC380" s="285"/>
      <c r="AD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c r="AA381" s="285"/>
      <c r="AB381" s="285"/>
      <c r="AC381" s="285"/>
      <c r="AD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c r="Z382" s="285"/>
      <c r="AA382" s="285"/>
      <c r="AB382" s="285"/>
      <c r="AC382" s="285"/>
      <c r="AD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c r="Z383" s="285"/>
      <c r="AA383" s="285"/>
      <c r="AB383" s="285"/>
      <c r="AC383" s="285"/>
      <c r="AD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c r="Z384" s="285"/>
      <c r="AA384" s="285"/>
      <c r="AB384" s="285"/>
      <c r="AC384" s="285"/>
      <c r="AD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c r="Z385" s="285"/>
      <c r="AA385" s="285"/>
      <c r="AB385" s="285"/>
      <c r="AC385" s="285"/>
      <c r="AD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c r="Z386" s="285"/>
      <c r="AA386" s="285"/>
      <c r="AB386" s="285"/>
      <c r="AC386" s="285"/>
      <c r="AD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c r="Z387" s="285"/>
      <c r="AA387" s="285"/>
      <c r="AB387" s="285"/>
      <c r="AC387" s="285"/>
      <c r="AD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c r="AA388" s="285"/>
      <c r="AB388" s="285"/>
      <c r="AC388" s="285"/>
      <c r="AD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c r="Z389" s="285"/>
      <c r="AA389" s="285"/>
      <c r="AB389" s="285"/>
      <c r="AC389" s="285"/>
      <c r="AD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c r="AA390" s="285"/>
      <c r="AB390" s="285"/>
      <c r="AC390" s="285"/>
      <c r="AD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c r="AA391" s="285"/>
      <c r="AB391" s="285"/>
      <c r="AC391" s="285"/>
      <c r="AD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c r="AA392" s="285"/>
      <c r="AB392" s="285"/>
      <c r="AC392" s="285"/>
      <c r="AD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c r="Z393" s="285"/>
      <c r="AA393" s="285"/>
      <c r="AB393" s="285"/>
      <c r="AC393" s="285"/>
      <c r="AD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c r="Z394" s="285"/>
      <c r="AA394" s="285"/>
      <c r="AB394" s="285"/>
      <c r="AC394" s="285"/>
      <c r="AD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c r="AA395" s="285"/>
      <c r="AB395" s="285"/>
      <c r="AC395" s="285"/>
      <c r="AD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c r="Z396" s="285"/>
      <c r="AA396" s="285"/>
      <c r="AB396" s="285"/>
      <c r="AC396" s="285"/>
      <c r="AD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c r="AA397" s="285"/>
      <c r="AB397" s="285"/>
      <c r="AC397" s="285"/>
      <c r="AD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c r="Z398" s="285"/>
      <c r="AA398" s="285"/>
      <c r="AB398" s="285"/>
      <c r="AC398" s="285"/>
      <c r="AD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c r="Z399" s="285"/>
      <c r="AA399" s="285"/>
      <c r="AB399" s="285"/>
      <c r="AC399" s="285"/>
      <c r="AD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c r="AA400" s="285"/>
      <c r="AB400" s="285"/>
      <c r="AC400" s="285"/>
      <c r="AD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c r="AA401" s="285"/>
      <c r="AB401" s="285"/>
      <c r="AC401" s="285"/>
      <c r="AD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c r="Z402" s="285"/>
      <c r="AA402" s="285"/>
      <c r="AB402" s="285"/>
      <c r="AC402" s="285"/>
      <c r="AD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c r="Z403" s="285"/>
      <c r="AA403" s="285"/>
      <c r="AB403" s="285"/>
      <c r="AC403" s="285"/>
      <c r="AD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c r="Z404" s="285"/>
      <c r="AA404" s="285"/>
      <c r="AB404" s="285"/>
      <c r="AC404" s="285"/>
      <c r="AD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c r="Z405" s="285"/>
      <c r="AA405" s="285"/>
      <c r="AB405" s="285"/>
      <c r="AC405" s="285"/>
      <c r="AD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c r="Z406" s="285"/>
      <c r="AA406" s="285"/>
      <c r="AB406" s="285"/>
      <c r="AC406" s="285"/>
      <c r="AD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c r="Z407" s="285"/>
      <c r="AA407" s="285"/>
      <c r="AB407" s="285"/>
      <c r="AC407" s="285"/>
      <c r="AD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c r="Z408" s="285"/>
      <c r="AA408" s="285"/>
      <c r="AB408" s="285"/>
      <c r="AC408" s="285"/>
      <c r="AD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c r="AA409" s="285"/>
      <c r="AB409" s="285"/>
      <c r="AC409" s="285"/>
      <c r="AD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c r="AA410" s="285"/>
      <c r="AB410" s="285"/>
      <c r="AC410" s="285"/>
      <c r="AD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c r="Z411" s="285"/>
      <c r="AA411" s="285"/>
      <c r="AB411" s="285"/>
      <c r="AC411" s="285"/>
      <c r="AD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c r="Z412" s="285"/>
      <c r="AA412" s="285"/>
      <c r="AB412" s="285"/>
      <c r="AC412" s="285"/>
      <c r="AD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c r="AA413" s="285"/>
      <c r="AB413" s="285"/>
      <c r="AC413" s="285"/>
      <c r="AD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c r="Z414" s="285"/>
      <c r="AA414" s="285"/>
      <c r="AB414" s="285"/>
      <c r="AC414" s="285"/>
      <c r="AD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c r="Z415" s="285"/>
      <c r="AA415" s="285"/>
      <c r="AB415" s="285"/>
      <c r="AC415" s="285"/>
      <c r="AD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c r="AA416" s="285"/>
      <c r="AB416" s="285"/>
      <c r="AC416" s="285"/>
      <c r="AD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c r="AA417" s="285"/>
      <c r="AB417" s="285"/>
      <c r="AC417" s="285"/>
      <c r="AD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c r="Z418" s="285"/>
      <c r="AA418" s="285"/>
      <c r="AB418" s="285"/>
      <c r="AC418" s="285"/>
      <c r="AD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c r="Z419" s="285"/>
      <c r="AA419" s="285"/>
      <c r="AB419" s="285"/>
      <c r="AC419" s="285"/>
      <c r="AD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c r="Z420" s="285"/>
      <c r="AA420" s="285"/>
      <c r="AB420" s="285"/>
      <c r="AC420" s="285"/>
      <c r="AD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c r="Z421" s="285"/>
      <c r="AA421" s="285"/>
      <c r="AB421" s="285"/>
      <c r="AC421" s="285"/>
      <c r="AD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c r="Z422" s="285"/>
      <c r="AA422" s="285"/>
      <c r="AB422" s="285"/>
      <c r="AC422" s="285"/>
      <c r="AD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c r="Z423" s="285"/>
      <c r="AA423" s="285"/>
      <c r="AB423" s="285"/>
      <c r="AC423" s="285"/>
      <c r="AD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c r="Z424" s="285"/>
      <c r="AA424" s="285"/>
      <c r="AB424" s="285"/>
      <c r="AC424" s="285"/>
      <c r="AD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c r="AA425" s="285"/>
      <c r="AB425" s="285"/>
      <c r="AC425" s="285"/>
      <c r="AD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c r="AA426" s="285"/>
      <c r="AB426" s="285"/>
      <c r="AC426" s="285"/>
      <c r="AD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c r="Z427" s="285"/>
      <c r="AA427" s="285"/>
      <c r="AB427" s="285"/>
      <c r="AC427" s="285"/>
      <c r="AD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c r="Z428" s="285"/>
      <c r="AA428" s="285"/>
      <c r="AB428" s="285"/>
      <c r="AC428" s="285"/>
      <c r="AD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c r="AA429" s="285"/>
      <c r="AB429" s="285"/>
      <c r="AC429" s="285"/>
      <c r="AD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c r="Z430" s="285"/>
      <c r="AA430" s="285"/>
      <c r="AB430" s="285"/>
      <c r="AC430" s="285"/>
      <c r="AD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c r="Z431" s="285"/>
      <c r="AA431" s="285"/>
      <c r="AB431" s="285"/>
      <c r="AC431" s="285"/>
      <c r="AD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c r="Z432" s="285"/>
      <c r="AA432" s="285"/>
      <c r="AB432" s="285"/>
      <c r="AC432" s="285"/>
      <c r="AD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c r="AA433" s="285"/>
      <c r="AB433" s="285"/>
      <c r="AC433" s="285"/>
      <c r="AD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c r="Z434" s="285"/>
      <c r="AA434" s="285"/>
      <c r="AB434" s="285"/>
      <c r="AC434" s="285"/>
      <c r="AD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c r="Z435" s="285"/>
      <c r="AA435" s="285"/>
      <c r="AB435" s="285"/>
      <c r="AC435" s="285"/>
      <c r="AD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c r="Z436" s="285"/>
      <c r="AA436" s="285"/>
      <c r="AB436" s="285"/>
      <c r="AC436" s="285"/>
      <c r="AD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c r="Z437" s="285"/>
      <c r="AA437" s="285"/>
      <c r="AB437" s="285"/>
      <c r="AC437" s="285"/>
      <c r="AD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c r="Z438" s="285"/>
      <c r="AA438" s="285"/>
      <c r="AB438" s="285"/>
      <c r="AC438" s="285"/>
      <c r="AD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c r="Z439" s="285"/>
      <c r="AA439" s="285"/>
      <c r="AB439" s="285"/>
      <c r="AC439" s="285"/>
      <c r="AD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c r="Z440" s="285"/>
      <c r="AA440" s="285"/>
      <c r="AB440" s="285"/>
      <c r="AC440" s="285"/>
      <c r="AD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c r="Z441" s="285"/>
      <c r="AA441" s="285"/>
      <c r="AB441" s="285"/>
      <c r="AC441" s="285"/>
      <c r="AD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c r="Z442" s="285"/>
      <c r="AA442" s="285"/>
      <c r="AB442" s="285"/>
      <c r="AC442" s="285"/>
      <c r="AD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c r="Z443" s="285"/>
      <c r="AA443" s="285"/>
      <c r="AB443" s="285"/>
      <c r="AC443" s="285"/>
      <c r="AD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c r="Z444" s="285"/>
      <c r="AA444" s="285"/>
      <c r="AB444" s="285"/>
      <c r="AC444" s="285"/>
      <c r="AD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c r="AA445" s="285"/>
      <c r="AB445" s="285"/>
      <c r="AC445" s="285"/>
      <c r="AD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c r="Z446" s="285"/>
      <c r="AA446" s="285"/>
      <c r="AB446" s="285"/>
      <c r="AC446" s="285"/>
      <c r="AD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c r="Z447" s="285"/>
      <c r="AA447" s="285"/>
      <c r="AB447" s="285"/>
      <c r="AC447" s="285"/>
      <c r="AD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c r="Z448" s="285"/>
      <c r="AA448" s="285"/>
      <c r="AB448" s="285"/>
      <c r="AC448" s="285"/>
      <c r="AD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c r="Z449" s="285"/>
      <c r="AA449" s="285"/>
      <c r="AB449" s="285"/>
      <c r="AC449" s="285"/>
      <c r="AD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c r="Z450" s="285"/>
      <c r="AA450" s="285"/>
      <c r="AB450" s="285"/>
      <c r="AC450" s="285"/>
      <c r="AD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c r="Z451" s="285"/>
      <c r="AA451" s="285"/>
      <c r="AB451" s="285"/>
      <c r="AC451" s="285"/>
      <c r="AD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c r="Z452" s="285"/>
      <c r="AA452" s="285"/>
      <c r="AB452" s="285"/>
      <c r="AC452" s="285"/>
      <c r="AD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c r="Z453" s="285"/>
      <c r="AA453" s="285"/>
      <c r="AB453" s="285"/>
      <c r="AC453" s="285"/>
      <c r="AD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c r="Z454" s="285"/>
      <c r="AA454" s="285"/>
      <c r="AB454" s="285"/>
      <c r="AC454" s="285"/>
      <c r="AD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c r="Z455" s="285"/>
      <c r="AA455" s="285"/>
      <c r="AB455" s="285"/>
      <c r="AC455" s="285"/>
      <c r="AD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c r="Z456" s="285"/>
      <c r="AA456" s="285"/>
      <c r="AB456" s="285"/>
      <c r="AC456" s="285"/>
      <c r="AD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c r="Z457" s="285"/>
      <c r="AA457" s="285"/>
      <c r="AB457" s="285"/>
      <c r="AC457" s="285"/>
      <c r="AD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c r="Z458" s="285"/>
      <c r="AA458" s="285"/>
      <c r="AB458" s="285"/>
      <c r="AC458" s="285"/>
      <c r="AD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c r="Z459" s="285"/>
      <c r="AA459" s="285"/>
      <c r="AB459" s="285"/>
      <c r="AC459" s="285"/>
      <c r="AD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c r="Z460" s="285"/>
      <c r="AA460" s="285"/>
      <c r="AB460" s="285"/>
      <c r="AC460" s="285"/>
      <c r="AD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c r="Z461" s="285"/>
      <c r="AA461" s="285"/>
      <c r="AB461" s="285"/>
      <c r="AC461" s="285"/>
      <c r="AD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c r="Z462" s="285"/>
      <c r="AA462" s="285"/>
      <c r="AB462" s="285"/>
      <c r="AC462" s="285"/>
      <c r="AD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c r="Z463" s="285"/>
      <c r="AA463" s="285"/>
      <c r="AB463" s="285"/>
      <c r="AC463" s="285"/>
      <c r="AD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c r="Z464" s="285"/>
      <c r="AA464" s="285"/>
      <c r="AB464" s="285"/>
      <c r="AC464" s="285"/>
      <c r="AD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c r="Z465" s="285"/>
      <c r="AA465" s="285"/>
      <c r="AB465" s="285"/>
      <c r="AC465" s="285"/>
      <c r="AD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c r="Z466" s="285"/>
      <c r="AA466" s="285"/>
      <c r="AB466" s="285"/>
      <c r="AC466" s="285"/>
      <c r="AD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c r="Z467" s="285"/>
      <c r="AA467" s="285"/>
      <c r="AB467" s="285"/>
      <c r="AC467" s="285"/>
      <c r="AD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c r="Z468" s="285"/>
      <c r="AA468" s="285"/>
      <c r="AB468" s="285"/>
      <c r="AC468" s="285"/>
      <c r="AD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c r="Z469" s="285"/>
      <c r="AA469" s="285"/>
      <c r="AB469" s="285"/>
      <c r="AC469" s="285"/>
      <c r="AD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c r="Z470" s="285"/>
      <c r="AA470" s="285"/>
      <c r="AB470" s="285"/>
      <c r="AC470" s="285"/>
      <c r="AD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c r="Z471" s="285"/>
      <c r="AA471" s="285"/>
      <c r="AB471" s="285"/>
      <c r="AC471" s="285"/>
      <c r="AD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c r="AA472" s="285"/>
      <c r="AB472" s="285"/>
      <c r="AC472" s="285"/>
      <c r="AD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c r="Z473" s="285"/>
      <c r="AA473" s="285"/>
      <c r="AB473" s="285"/>
      <c r="AC473" s="285"/>
      <c r="AD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c r="Z474" s="285"/>
      <c r="AA474" s="285"/>
      <c r="AB474" s="285"/>
      <c r="AC474" s="285"/>
      <c r="AD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c r="Z475" s="285"/>
      <c r="AA475" s="285"/>
      <c r="AB475" s="285"/>
      <c r="AC475" s="285"/>
      <c r="AD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c r="Z476" s="285"/>
      <c r="AA476" s="285"/>
      <c r="AB476" s="285"/>
      <c r="AC476" s="285"/>
      <c r="AD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c r="Z477" s="285"/>
      <c r="AA477" s="285"/>
      <c r="AB477" s="285"/>
      <c r="AC477" s="285"/>
      <c r="AD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c r="Z478" s="285"/>
      <c r="AA478" s="285"/>
      <c r="AB478" s="285"/>
      <c r="AC478" s="285"/>
      <c r="AD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c r="Z479" s="285"/>
      <c r="AA479" s="285"/>
      <c r="AB479" s="285"/>
      <c r="AC479" s="285"/>
      <c r="AD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c r="Z480" s="285"/>
      <c r="AA480" s="285"/>
      <c r="AB480" s="285"/>
      <c r="AC480" s="285"/>
      <c r="AD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c r="Z481" s="285"/>
      <c r="AA481" s="285"/>
      <c r="AB481" s="285"/>
      <c r="AC481" s="285"/>
      <c r="AD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c r="Z482" s="285"/>
      <c r="AA482" s="285"/>
      <c r="AB482" s="285"/>
      <c r="AC482" s="285"/>
      <c r="AD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c r="Z483" s="285"/>
      <c r="AA483" s="285"/>
      <c r="AB483" s="285"/>
      <c r="AC483" s="285"/>
      <c r="AD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c r="Z484" s="285"/>
      <c r="AA484" s="285"/>
      <c r="AB484" s="285"/>
      <c r="AC484" s="285"/>
      <c r="AD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c r="Z485" s="285"/>
      <c r="AA485" s="285"/>
      <c r="AB485" s="285"/>
      <c r="AC485" s="285"/>
      <c r="AD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c r="Z486" s="285"/>
      <c r="AA486" s="285"/>
      <c r="AB486" s="285"/>
      <c r="AC486" s="285"/>
      <c r="AD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c r="Z487" s="285"/>
      <c r="AA487" s="285"/>
      <c r="AB487" s="285"/>
      <c r="AC487" s="285"/>
      <c r="AD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c r="Z488" s="285"/>
      <c r="AA488" s="285"/>
      <c r="AB488" s="285"/>
      <c r="AC488" s="285"/>
      <c r="AD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c r="Z489" s="285"/>
      <c r="AA489" s="285"/>
      <c r="AB489" s="285"/>
      <c r="AC489" s="285"/>
      <c r="AD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c r="Z490" s="285"/>
      <c r="AA490" s="285"/>
      <c r="AB490" s="285"/>
      <c r="AC490" s="285"/>
      <c r="AD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c r="Z491" s="285"/>
      <c r="AA491" s="285"/>
      <c r="AB491" s="285"/>
      <c r="AC491" s="285"/>
      <c r="AD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c r="Z492" s="285"/>
      <c r="AA492" s="285"/>
      <c r="AB492" s="285"/>
      <c r="AC492" s="285"/>
      <c r="AD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c r="Z493" s="285"/>
      <c r="AA493" s="285"/>
      <c r="AB493" s="285"/>
      <c r="AC493" s="285"/>
      <c r="AD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c r="Z494" s="285"/>
      <c r="AA494" s="285"/>
      <c r="AB494" s="285"/>
      <c r="AC494" s="285"/>
      <c r="AD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c r="Z495" s="285"/>
      <c r="AA495" s="285"/>
      <c r="AB495" s="285"/>
      <c r="AC495" s="285"/>
      <c r="AD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c r="Z496" s="285"/>
      <c r="AA496" s="285"/>
      <c r="AB496" s="285"/>
      <c r="AC496" s="285"/>
      <c r="AD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c r="Z497" s="285"/>
      <c r="AA497" s="285"/>
      <c r="AB497" s="285"/>
      <c r="AC497" s="285"/>
      <c r="AD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c r="Z498" s="285"/>
      <c r="AA498" s="285"/>
      <c r="AB498" s="285"/>
      <c r="AC498" s="285"/>
      <c r="AD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c r="Z499" s="285"/>
      <c r="AA499" s="285"/>
      <c r="AB499" s="285"/>
      <c r="AC499" s="285"/>
      <c r="AD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c r="Z500" s="285"/>
      <c r="AA500" s="285"/>
      <c r="AB500" s="285"/>
      <c r="AC500" s="285"/>
      <c r="AD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c r="Z501" s="285"/>
      <c r="AA501" s="285"/>
      <c r="AB501" s="285"/>
      <c r="AC501" s="285"/>
      <c r="AD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c r="Z502" s="285"/>
      <c r="AA502" s="285"/>
      <c r="AB502" s="285"/>
      <c r="AC502" s="285"/>
      <c r="AD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c r="AA503" s="285"/>
      <c r="AB503" s="285"/>
      <c r="AC503" s="285"/>
      <c r="AD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c r="AA504" s="285"/>
      <c r="AB504" s="285"/>
      <c r="AC504" s="285"/>
      <c r="AD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c r="Z505" s="285"/>
      <c r="AA505" s="285"/>
      <c r="AB505" s="285"/>
      <c r="AC505" s="285"/>
      <c r="AD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c r="Z506" s="285"/>
      <c r="AA506" s="285"/>
      <c r="AB506" s="285"/>
      <c r="AC506" s="285"/>
      <c r="AD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c r="Z507" s="285"/>
      <c r="AA507" s="285"/>
      <c r="AB507" s="285"/>
      <c r="AC507" s="285"/>
      <c r="AD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c r="Z508" s="285"/>
      <c r="AA508" s="285"/>
      <c r="AB508" s="285"/>
      <c r="AC508" s="285"/>
      <c r="AD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c r="Z509" s="285"/>
      <c r="AA509" s="285"/>
      <c r="AB509" s="285"/>
      <c r="AC509" s="285"/>
      <c r="AD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c r="Z510" s="285"/>
      <c r="AA510" s="285"/>
      <c r="AB510" s="285"/>
      <c r="AC510" s="285"/>
      <c r="AD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c r="Z511" s="285"/>
      <c r="AA511" s="285"/>
      <c r="AB511" s="285"/>
      <c r="AC511" s="285"/>
      <c r="AD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c r="Z512" s="285"/>
      <c r="AA512" s="285"/>
      <c r="AB512" s="285"/>
      <c r="AC512" s="285"/>
      <c r="AD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c r="Z513" s="285"/>
      <c r="AA513" s="285"/>
      <c r="AB513" s="285"/>
      <c r="AC513" s="285"/>
      <c r="AD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c r="Z514" s="285"/>
      <c r="AA514" s="285"/>
      <c r="AB514" s="285"/>
      <c r="AC514" s="285"/>
      <c r="AD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c r="Z515" s="285"/>
      <c r="AA515" s="285"/>
      <c r="AB515" s="285"/>
      <c r="AC515" s="285"/>
      <c r="AD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c r="Z516" s="285"/>
      <c r="AA516" s="285"/>
      <c r="AB516" s="285"/>
      <c r="AC516" s="285"/>
      <c r="AD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c r="Z517" s="285"/>
      <c r="AA517" s="285"/>
      <c r="AB517" s="285"/>
      <c r="AC517" s="285"/>
      <c r="AD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c r="Z518" s="285"/>
      <c r="AA518" s="285"/>
      <c r="AB518" s="285"/>
      <c r="AC518" s="285"/>
      <c r="AD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c r="Z519" s="285"/>
      <c r="AA519" s="285"/>
      <c r="AB519" s="285"/>
      <c r="AC519" s="285"/>
      <c r="AD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c r="Z520" s="285"/>
      <c r="AA520" s="285"/>
      <c r="AB520" s="285"/>
      <c r="AC520" s="285"/>
      <c r="AD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c r="Z521" s="285"/>
      <c r="AA521" s="285"/>
      <c r="AB521" s="285"/>
      <c r="AC521" s="285"/>
      <c r="AD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c r="Z522" s="285"/>
      <c r="AA522" s="285"/>
      <c r="AB522" s="285"/>
      <c r="AC522" s="285"/>
      <c r="AD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c r="Z523" s="285"/>
      <c r="AA523" s="285"/>
      <c r="AB523" s="285"/>
      <c r="AC523" s="285"/>
      <c r="AD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c r="Z524" s="285"/>
      <c r="AA524" s="285"/>
      <c r="AB524" s="285"/>
      <c r="AC524" s="285"/>
      <c r="AD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c r="Z525" s="285"/>
      <c r="AA525" s="285"/>
      <c r="AB525" s="285"/>
      <c r="AC525" s="285"/>
      <c r="AD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c r="Z526" s="285"/>
      <c r="AA526" s="285"/>
      <c r="AB526" s="285"/>
      <c r="AC526" s="285"/>
      <c r="AD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c r="Z527" s="285"/>
      <c r="AA527" s="285"/>
      <c r="AB527" s="285"/>
      <c r="AC527" s="285"/>
      <c r="AD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c r="Z528" s="285"/>
      <c r="AA528" s="285"/>
      <c r="AB528" s="285"/>
      <c r="AC528" s="285"/>
      <c r="AD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c r="Z529" s="285"/>
      <c r="AA529" s="285"/>
      <c r="AB529" s="285"/>
      <c r="AC529" s="285"/>
      <c r="AD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c r="Z530" s="285"/>
      <c r="AA530" s="285"/>
      <c r="AB530" s="285"/>
      <c r="AC530" s="285"/>
      <c r="AD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c r="Z531" s="285"/>
      <c r="AA531" s="285"/>
      <c r="AB531" s="285"/>
      <c r="AC531" s="285"/>
      <c r="AD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c r="Z532" s="285"/>
      <c r="AA532" s="285"/>
      <c r="AB532" s="285"/>
      <c r="AC532" s="285"/>
      <c r="AD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c r="Z533" s="285"/>
      <c r="AA533" s="285"/>
      <c r="AB533" s="285"/>
      <c r="AC533" s="285"/>
      <c r="AD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c r="Z534" s="285"/>
      <c r="AA534" s="285"/>
      <c r="AB534" s="285"/>
      <c r="AC534" s="285"/>
      <c r="AD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c r="Z535" s="285"/>
      <c r="AA535" s="285"/>
      <c r="AB535" s="285"/>
      <c r="AC535" s="285"/>
      <c r="AD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c r="Z536" s="285"/>
      <c r="AA536" s="285"/>
      <c r="AB536" s="285"/>
      <c r="AC536" s="285"/>
      <c r="AD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c r="Z537" s="285"/>
      <c r="AA537" s="285"/>
      <c r="AB537" s="285"/>
      <c r="AC537" s="285"/>
      <c r="AD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c r="Z538" s="285"/>
      <c r="AA538" s="285"/>
      <c r="AB538" s="285"/>
      <c r="AC538" s="285"/>
      <c r="AD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c r="Z539" s="285"/>
      <c r="AA539" s="285"/>
      <c r="AB539" s="285"/>
      <c r="AC539" s="285"/>
      <c r="AD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c r="Z540" s="285"/>
      <c r="AA540" s="285"/>
      <c r="AB540" s="285"/>
      <c r="AC540" s="285"/>
      <c r="AD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c r="Z541" s="285"/>
      <c r="AA541" s="285"/>
      <c r="AB541" s="285"/>
      <c r="AC541" s="285"/>
      <c r="AD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c r="Z542" s="285"/>
      <c r="AA542" s="285"/>
      <c r="AB542" s="285"/>
      <c r="AC542" s="285"/>
      <c r="AD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c r="Z543" s="285"/>
      <c r="AA543" s="285"/>
      <c r="AB543" s="285"/>
      <c r="AC543" s="285"/>
      <c r="AD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c r="Z544" s="285"/>
      <c r="AA544" s="285"/>
      <c r="AB544" s="285"/>
      <c r="AC544" s="285"/>
      <c r="AD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c r="Z545" s="285"/>
      <c r="AA545" s="285"/>
      <c r="AB545" s="285"/>
      <c r="AC545" s="285"/>
      <c r="AD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c r="Z546" s="285"/>
      <c r="AA546" s="285"/>
      <c r="AB546" s="285"/>
      <c r="AC546" s="285"/>
      <c r="AD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c r="Z547" s="285"/>
      <c r="AA547" s="285"/>
      <c r="AB547" s="285"/>
      <c r="AC547" s="285"/>
      <c r="AD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c r="Z548" s="285"/>
      <c r="AA548" s="285"/>
      <c r="AB548" s="285"/>
      <c r="AC548" s="285"/>
      <c r="AD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c r="Z549" s="285"/>
      <c r="AA549" s="285"/>
      <c r="AB549" s="285"/>
      <c r="AC549" s="285"/>
      <c r="AD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c r="Z550" s="285"/>
      <c r="AA550" s="285"/>
      <c r="AB550" s="285"/>
      <c r="AC550" s="285"/>
      <c r="AD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c r="Z551" s="285"/>
      <c r="AA551" s="285"/>
      <c r="AB551" s="285"/>
      <c r="AC551" s="285"/>
      <c r="AD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c r="Z552" s="285"/>
      <c r="AA552" s="285"/>
      <c r="AB552" s="285"/>
      <c r="AC552" s="285"/>
      <c r="AD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c r="Z553" s="285"/>
      <c r="AA553" s="285"/>
      <c r="AB553" s="285"/>
      <c r="AC553" s="285"/>
      <c r="AD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c r="Z554" s="285"/>
      <c r="AA554" s="285"/>
      <c r="AB554" s="285"/>
      <c r="AC554" s="285"/>
      <c r="AD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c r="Z555" s="285"/>
      <c r="AA555" s="285"/>
      <c r="AB555" s="285"/>
      <c r="AC555" s="285"/>
      <c r="AD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c r="Z556" s="285"/>
      <c r="AA556" s="285"/>
      <c r="AB556" s="285"/>
      <c r="AC556" s="285"/>
      <c r="AD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c r="Z557" s="285"/>
      <c r="AA557" s="285"/>
      <c r="AB557" s="285"/>
      <c r="AC557" s="285"/>
      <c r="AD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c r="Z558" s="285"/>
      <c r="AA558" s="285"/>
      <c r="AB558" s="285"/>
      <c r="AC558" s="285"/>
      <c r="AD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c r="Z559" s="285"/>
      <c r="AA559" s="285"/>
      <c r="AB559" s="285"/>
      <c r="AC559" s="285"/>
      <c r="AD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c r="Z560" s="285"/>
      <c r="AA560" s="285"/>
      <c r="AB560" s="285"/>
      <c r="AC560" s="285"/>
      <c r="AD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c r="Z561" s="285"/>
      <c r="AA561" s="285"/>
      <c r="AB561" s="285"/>
      <c r="AC561" s="285"/>
      <c r="AD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c r="Z562" s="285"/>
      <c r="AA562" s="285"/>
      <c r="AB562" s="285"/>
      <c r="AC562" s="285"/>
      <c r="AD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c r="Z563" s="285"/>
      <c r="AA563" s="285"/>
      <c r="AB563" s="285"/>
      <c r="AC563" s="285"/>
      <c r="AD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c r="Z564" s="285"/>
      <c r="AA564" s="285"/>
      <c r="AB564" s="285"/>
      <c r="AC564" s="285"/>
      <c r="AD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c r="Z565" s="285"/>
      <c r="AA565" s="285"/>
      <c r="AB565" s="285"/>
      <c r="AC565" s="285"/>
      <c r="AD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c r="Z566" s="285"/>
      <c r="AA566" s="285"/>
      <c r="AB566" s="285"/>
      <c r="AC566" s="285"/>
      <c r="AD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c r="Z567" s="285"/>
      <c r="AA567" s="285"/>
      <c r="AB567" s="285"/>
      <c r="AC567" s="285"/>
      <c r="AD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c r="Z568" s="285"/>
      <c r="AA568" s="285"/>
      <c r="AB568" s="285"/>
      <c r="AC568" s="285"/>
      <c r="AD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c r="Z569" s="285"/>
      <c r="AA569" s="285"/>
      <c r="AB569" s="285"/>
      <c r="AC569" s="285"/>
      <c r="AD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c r="Z570" s="285"/>
      <c r="AA570" s="285"/>
      <c r="AB570" s="285"/>
      <c r="AC570" s="285"/>
      <c r="AD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c r="Z571" s="285"/>
      <c r="AA571" s="285"/>
      <c r="AB571" s="285"/>
      <c r="AC571" s="285"/>
      <c r="AD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c r="Z572" s="285"/>
      <c r="AA572" s="285"/>
      <c r="AB572" s="285"/>
      <c r="AC572" s="285"/>
      <c r="AD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c r="Z573" s="285"/>
      <c r="AA573" s="285"/>
      <c r="AB573" s="285"/>
      <c r="AC573" s="285"/>
      <c r="AD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c r="Z574" s="285"/>
      <c r="AA574" s="285"/>
      <c r="AB574" s="285"/>
      <c r="AC574" s="285"/>
      <c r="AD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c r="Z575" s="285"/>
      <c r="AA575" s="285"/>
      <c r="AB575" s="285"/>
      <c r="AC575" s="285"/>
      <c r="AD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c r="AA576" s="285"/>
      <c r="AB576" s="285"/>
      <c r="AC576" s="285"/>
      <c r="AD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c r="Z577" s="285"/>
      <c r="AA577" s="285"/>
      <c r="AB577" s="285"/>
      <c r="AC577" s="285"/>
      <c r="AD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c r="Z578" s="285"/>
      <c r="AA578" s="285"/>
      <c r="AB578" s="285"/>
      <c r="AC578" s="285"/>
      <c r="AD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c r="Z579" s="285"/>
      <c r="AA579" s="285"/>
      <c r="AB579" s="285"/>
      <c r="AC579" s="285"/>
      <c r="AD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c r="Z580" s="285"/>
      <c r="AA580" s="285"/>
      <c r="AB580" s="285"/>
      <c r="AC580" s="285"/>
      <c r="AD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c r="Z581" s="285"/>
      <c r="AA581" s="285"/>
      <c r="AB581" s="285"/>
      <c r="AC581" s="285"/>
      <c r="AD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c r="AA582" s="285"/>
      <c r="AB582" s="285"/>
      <c r="AC582" s="285"/>
      <c r="AD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c r="AA583" s="285"/>
      <c r="AB583" s="285"/>
      <c r="AC583" s="285"/>
      <c r="AD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c r="Z584" s="285"/>
      <c r="AA584" s="285"/>
      <c r="AB584" s="285"/>
      <c r="AC584" s="285"/>
      <c r="AD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c r="Z585" s="285"/>
      <c r="AA585" s="285"/>
      <c r="AB585" s="285"/>
      <c r="AC585" s="285"/>
      <c r="AD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c r="Z586" s="285"/>
      <c r="AA586" s="285"/>
      <c r="AB586" s="285"/>
      <c r="AC586" s="285"/>
      <c r="AD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c r="Z587" s="285"/>
      <c r="AA587" s="285"/>
      <c r="AB587" s="285"/>
      <c r="AC587" s="285"/>
      <c r="AD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c r="Z588" s="285"/>
      <c r="AA588" s="285"/>
      <c r="AB588" s="285"/>
      <c r="AC588" s="285"/>
      <c r="AD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c r="Z589" s="285"/>
      <c r="AA589" s="285"/>
      <c r="AB589" s="285"/>
      <c r="AC589" s="285"/>
      <c r="AD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c r="Z590" s="285"/>
      <c r="AA590" s="285"/>
      <c r="AB590" s="285"/>
      <c r="AC590" s="285"/>
      <c r="AD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c r="Z591" s="285"/>
      <c r="AA591" s="285"/>
      <c r="AB591" s="285"/>
      <c r="AC591" s="285"/>
      <c r="AD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c r="Z592" s="285"/>
      <c r="AA592" s="285"/>
      <c r="AB592" s="285"/>
      <c r="AC592" s="285"/>
      <c r="AD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c r="AA593" s="285"/>
      <c r="AB593" s="285"/>
      <c r="AC593" s="285"/>
      <c r="AD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c r="Z594" s="285"/>
      <c r="AA594" s="285"/>
      <c r="AB594" s="285"/>
      <c r="AC594" s="285"/>
      <c r="AD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c r="Z595" s="285"/>
      <c r="AA595" s="285"/>
      <c r="AB595" s="285"/>
      <c r="AC595" s="285"/>
      <c r="AD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c r="Z596" s="285"/>
      <c r="AA596" s="285"/>
      <c r="AB596" s="285"/>
      <c r="AC596" s="285"/>
      <c r="AD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c r="Z597" s="285"/>
      <c r="AA597" s="285"/>
      <c r="AB597" s="285"/>
      <c r="AC597" s="285"/>
      <c r="AD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c r="Z598" s="285"/>
      <c r="AA598" s="285"/>
      <c r="AB598" s="285"/>
      <c r="AC598" s="285"/>
      <c r="AD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c r="Z599" s="285"/>
      <c r="AA599" s="285"/>
      <c r="AB599" s="285"/>
      <c r="AC599" s="285"/>
      <c r="AD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c r="Z600" s="285"/>
      <c r="AA600" s="285"/>
      <c r="AB600" s="285"/>
      <c r="AC600" s="285"/>
      <c r="AD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c r="Z601" s="285"/>
      <c r="AA601" s="285"/>
      <c r="AB601" s="285"/>
      <c r="AC601" s="285"/>
      <c r="AD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c r="Z602" s="285"/>
      <c r="AA602" s="285"/>
      <c r="AB602" s="285"/>
      <c r="AC602" s="285"/>
      <c r="AD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c r="AA603" s="285"/>
      <c r="AB603" s="285"/>
      <c r="AC603" s="285"/>
      <c r="AD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c r="AA604" s="285"/>
      <c r="AB604" s="285"/>
      <c r="AC604" s="285"/>
      <c r="AD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c r="AA605" s="285"/>
      <c r="AB605" s="285"/>
      <c r="AC605" s="285"/>
      <c r="AD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c r="AA606" s="285"/>
      <c r="AB606" s="285"/>
      <c r="AC606" s="285"/>
      <c r="AD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c r="Z607" s="285"/>
      <c r="AA607" s="285"/>
      <c r="AB607" s="285"/>
      <c r="AC607" s="285"/>
      <c r="AD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c r="Z608" s="285"/>
      <c r="AA608" s="285"/>
      <c r="AB608" s="285"/>
      <c r="AC608" s="285"/>
      <c r="AD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c r="Z609" s="285"/>
      <c r="AA609" s="285"/>
      <c r="AB609" s="285"/>
      <c r="AC609" s="285"/>
      <c r="AD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c r="Z610" s="285"/>
      <c r="AA610" s="285"/>
      <c r="AB610" s="285"/>
      <c r="AC610" s="285"/>
      <c r="AD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c r="Z611" s="285"/>
      <c r="AA611" s="285"/>
      <c r="AB611" s="285"/>
      <c r="AC611" s="285"/>
      <c r="AD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c r="Z612" s="285"/>
      <c r="AA612" s="285"/>
      <c r="AB612" s="285"/>
      <c r="AC612" s="285"/>
      <c r="AD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c r="Z613" s="285"/>
      <c r="AA613" s="285"/>
      <c r="AB613" s="285"/>
      <c r="AC613" s="285"/>
      <c r="AD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c r="AA614" s="285"/>
      <c r="AB614" s="285"/>
      <c r="AC614" s="285"/>
      <c r="AD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c r="AA615" s="285"/>
      <c r="AB615" s="285"/>
      <c r="AC615" s="285"/>
      <c r="AD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c r="Z616" s="285"/>
      <c r="AA616" s="285"/>
      <c r="AB616" s="285"/>
      <c r="AC616" s="285"/>
      <c r="AD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c r="Z617" s="285"/>
      <c r="AA617" s="285"/>
      <c r="AB617" s="285"/>
      <c r="AC617" s="285"/>
      <c r="AD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c r="Z618" s="285"/>
      <c r="AA618" s="285"/>
      <c r="AB618" s="285"/>
      <c r="AC618" s="285"/>
      <c r="AD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c r="Z619" s="285"/>
      <c r="AA619" s="285"/>
      <c r="AB619" s="285"/>
      <c r="AC619" s="285"/>
      <c r="AD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c r="Z620" s="285"/>
      <c r="AA620" s="285"/>
      <c r="AB620" s="285"/>
      <c r="AC620" s="285"/>
      <c r="AD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c r="Z621" s="285"/>
      <c r="AA621" s="285"/>
      <c r="AB621" s="285"/>
      <c r="AC621" s="285"/>
      <c r="AD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c r="AA622" s="285"/>
      <c r="AB622" s="285"/>
      <c r="AC622" s="285"/>
      <c r="AD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c r="AA623" s="285"/>
      <c r="AB623" s="285"/>
      <c r="AC623" s="285"/>
      <c r="AD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c r="AA624" s="285"/>
      <c r="AB624" s="285"/>
      <c r="AC624" s="285"/>
      <c r="AD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c r="AA625" s="285"/>
      <c r="AB625" s="285"/>
      <c r="AC625" s="285"/>
      <c r="AD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c r="Z626" s="285"/>
      <c r="AA626" s="285"/>
      <c r="AB626" s="285"/>
      <c r="AC626" s="285"/>
      <c r="AD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c r="Z627" s="285"/>
      <c r="AA627" s="285"/>
      <c r="AB627" s="285"/>
      <c r="AC627" s="285"/>
      <c r="AD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c r="Z628" s="285"/>
      <c r="AA628" s="285"/>
      <c r="AB628" s="285"/>
      <c r="AC628" s="285"/>
      <c r="AD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c r="Z629" s="285"/>
      <c r="AA629" s="285"/>
      <c r="AB629" s="285"/>
      <c r="AC629" s="285"/>
      <c r="AD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c r="Z630" s="285"/>
      <c r="AA630" s="285"/>
      <c r="AB630" s="285"/>
      <c r="AC630" s="285"/>
      <c r="AD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c r="Z631" s="285"/>
      <c r="AA631" s="285"/>
      <c r="AB631" s="285"/>
      <c r="AC631" s="285"/>
      <c r="AD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c r="Z632" s="285"/>
      <c r="AA632" s="285"/>
      <c r="AB632" s="285"/>
      <c r="AC632" s="285"/>
      <c r="AD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c r="Z633" s="285"/>
      <c r="AA633" s="285"/>
      <c r="AB633" s="285"/>
      <c r="AC633" s="285"/>
      <c r="AD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c r="Z634" s="285"/>
      <c r="AA634" s="285"/>
      <c r="AB634" s="285"/>
      <c r="AC634" s="285"/>
      <c r="AD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c r="AA635" s="285"/>
      <c r="AB635" s="285"/>
      <c r="AC635" s="285"/>
      <c r="AD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c r="AA636" s="285"/>
      <c r="AB636" s="285"/>
      <c r="AC636" s="285"/>
      <c r="AD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c r="AA637" s="285"/>
      <c r="AB637" s="285"/>
      <c r="AC637" s="285"/>
      <c r="AD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c r="AA638" s="285"/>
      <c r="AB638" s="285"/>
      <c r="AC638" s="285"/>
      <c r="AD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c r="Z639" s="285"/>
      <c r="AA639" s="285"/>
      <c r="AB639" s="285"/>
      <c r="AC639" s="285"/>
      <c r="AD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c r="Z640" s="285"/>
      <c r="AA640" s="285"/>
      <c r="AB640" s="285"/>
      <c r="AC640" s="285"/>
      <c r="AD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c r="Z641" s="285"/>
      <c r="AA641" s="285"/>
      <c r="AB641" s="285"/>
      <c r="AC641" s="285"/>
      <c r="AD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c r="Z642" s="285"/>
      <c r="AA642" s="285"/>
      <c r="AB642" s="285"/>
      <c r="AC642" s="285"/>
      <c r="AD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c r="Z643" s="285"/>
      <c r="AA643" s="285"/>
      <c r="AB643" s="285"/>
      <c r="AC643" s="285"/>
      <c r="AD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c r="Z644" s="285"/>
      <c r="AA644" s="285"/>
      <c r="AB644" s="285"/>
      <c r="AC644" s="285"/>
      <c r="AD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c r="Z645" s="285"/>
      <c r="AA645" s="285"/>
      <c r="AB645" s="285"/>
      <c r="AC645" s="285"/>
      <c r="AD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c r="Z646" s="285"/>
      <c r="AA646" s="285"/>
      <c r="AB646" s="285"/>
      <c r="AC646" s="285"/>
      <c r="AD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c r="Z647" s="285"/>
      <c r="AA647" s="285"/>
      <c r="AB647" s="285"/>
      <c r="AC647" s="285"/>
      <c r="AD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c r="Z648" s="285"/>
      <c r="AA648" s="285"/>
      <c r="AB648" s="285"/>
      <c r="AC648" s="285"/>
      <c r="AD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c r="Z649" s="285"/>
      <c r="AA649" s="285"/>
      <c r="AB649" s="285"/>
      <c r="AC649" s="285"/>
      <c r="AD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c r="Z650" s="285"/>
      <c r="AA650" s="285"/>
      <c r="AB650" s="285"/>
      <c r="AC650" s="285"/>
      <c r="AD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c r="Z651" s="285"/>
      <c r="AA651" s="285"/>
      <c r="AB651" s="285"/>
      <c r="AC651" s="285"/>
      <c r="AD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c r="Z652" s="285"/>
      <c r="AA652" s="285"/>
      <c r="AB652" s="285"/>
      <c r="AC652" s="285"/>
      <c r="AD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c r="Z653" s="285"/>
      <c r="AA653" s="285"/>
      <c r="AB653" s="285"/>
      <c r="AC653" s="285"/>
      <c r="AD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c r="Z654" s="285"/>
      <c r="AA654" s="285"/>
      <c r="AB654" s="285"/>
      <c r="AC654" s="285"/>
      <c r="AD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c r="Z655" s="285"/>
      <c r="AA655" s="285"/>
      <c r="AB655" s="285"/>
      <c r="AC655" s="285"/>
      <c r="AD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c r="Z656" s="285"/>
      <c r="AA656" s="285"/>
      <c r="AB656" s="285"/>
      <c r="AC656" s="285"/>
      <c r="AD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c r="Z657" s="285"/>
      <c r="AA657" s="285"/>
      <c r="AB657" s="285"/>
      <c r="AC657" s="285"/>
      <c r="AD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c r="Z658" s="285"/>
      <c r="AA658" s="285"/>
      <c r="AB658" s="285"/>
      <c r="AC658" s="285"/>
      <c r="AD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c r="Z659" s="285"/>
      <c r="AA659" s="285"/>
      <c r="AB659" s="285"/>
      <c r="AC659" s="285"/>
      <c r="AD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c r="Z660" s="285"/>
      <c r="AA660" s="285"/>
      <c r="AB660" s="285"/>
      <c r="AC660" s="285"/>
      <c r="AD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c r="Z661" s="285"/>
      <c r="AA661" s="285"/>
      <c r="AB661" s="285"/>
      <c r="AC661" s="285"/>
      <c r="AD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c r="Z662" s="285"/>
      <c r="AA662" s="285"/>
      <c r="AB662" s="285"/>
      <c r="AC662" s="285"/>
      <c r="AD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c r="Z663" s="285"/>
      <c r="AA663" s="285"/>
      <c r="AB663" s="285"/>
      <c r="AC663" s="285"/>
      <c r="AD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c r="Z664" s="285"/>
      <c r="AA664" s="285"/>
      <c r="AB664" s="285"/>
      <c r="AC664" s="285"/>
      <c r="AD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c r="Z665" s="285"/>
      <c r="AA665" s="285"/>
      <c r="AB665" s="285"/>
      <c r="AC665" s="285"/>
      <c r="AD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c r="Z666" s="285"/>
      <c r="AA666" s="285"/>
      <c r="AB666" s="285"/>
      <c r="AC666" s="285"/>
      <c r="AD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c r="Z667" s="285"/>
      <c r="AA667" s="285"/>
      <c r="AB667" s="285"/>
      <c r="AC667" s="285"/>
      <c r="AD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c r="Z668" s="285"/>
      <c r="AA668" s="285"/>
      <c r="AB668" s="285"/>
      <c r="AC668" s="285"/>
      <c r="AD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c r="Z669" s="285"/>
      <c r="AA669" s="285"/>
      <c r="AB669" s="285"/>
      <c r="AC669" s="285"/>
      <c r="AD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c r="Z670" s="285"/>
      <c r="AA670" s="285"/>
      <c r="AB670" s="285"/>
      <c r="AC670" s="285"/>
      <c r="AD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c r="Z671" s="285"/>
      <c r="AA671" s="285"/>
      <c r="AB671" s="285"/>
      <c r="AC671" s="285"/>
      <c r="AD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c r="Z672" s="285"/>
      <c r="AA672" s="285"/>
      <c r="AB672" s="285"/>
      <c r="AC672" s="285"/>
      <c r="AD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c r="Z673" s="285"/>
      <c r="AA673" s="285"/>
      <c r="AB673" s="285"/>
      <c r="AC673" s="285"/>
      <c r="AD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c r="Z674" s="285"/>
      <c r="AA674" s="285"/>
      <c r="AB674" s="285"/>
      <c r="AC674" s="285"/>
      <c r="AD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c r="Z675" s="285"/>
      <c r="AA675" s="285"/>
      <c r="AB675" s="285"/>
      <c r="AC675" s="285"/>
      <c r="AD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c r="Z676" s="285"/>
      <c r="AA676" s="285"/>
      <c r="AB676" s="285"/>
      <c r="AC676" s="285"/>
      <c r="AD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c r="Z677" s="285"/>
      <c r="AA677" s="285"/>
      <c r="AB677" s="285"/>
      <c r="AC677" s="285"/>
      <c r="AD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c r="Z678" s="285"/>
      <c r="AA678" s="285"/>
      <c r="AB678" s="285"/>
      <c r="AC678" s="285"/>
      <c r="AD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c r="Z679" s="285"/>
      <c r="AA679" s="285"/>
      <c r="AB679" s="285"/>
      <c r="AC679" s="285"/>
      <c r="AD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c r="Z680" s="285"/>
      <c r="AA680" s="285"/>
      <c r="AB680" s="285"/>
      <c r="AC680" s="285"/>
      <c r="AD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c r="Z681" s="285"/>
      <c r="AA681" s="285"/>
      <c r="AB681" s="285"/>
      <c r="AC681" s="285"/>
      <c r="AD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c r="Z682" s="285"/>
      <c r="AA682" s="285"/>
      <c r="AB682" s="285"/>
      <c r="AC682" s="285"/>
      <c r="AD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c r="Z683" s="285"/>
      <c r="AA683" s="285"/>
      <c r="AB683" s="285"/>
      <c r="AC683" s="285"/>
      <c r="AD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c r="Z684" s="285"/>
      <c r="AA684" s="285"/>
      <c r="AB684" s="285"/>
      <c r="AC684" s="285"/>
      <c r="AD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c r="Z685" s="285"/>
      <c r="AA685" s="285"/>
      <c r="AB685" s="285"/>
      <c r="AC685" s="285"/>
      <c r="AD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c r="Z686" s="285"/>
      <c r="AA686" s="285"/>
      <c r="AB686" s="285"/>
      <c r="AC686" s="285"/>
      <c r="AD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c r="Z687" s="285"/>
      <c r="AA687" s="285"/>
      <c r="AB687" s="285"/>
      <c r="AC687" s="285"/>
      <c r="AD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c r="Z688" s="285"/>
      <c r="AA688" s="285"/>
      <c r="AB688" s="285"/>
      <c r="AC688" s="285"/>
      <c r="AD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c r="Z689" s="285"/>
      <c r="AA689" s="285"/>
      <c r="AB689" s="285"/>
      <c r="AC689" s="285"/>
      <c r="AD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c r="Z690" s="285"/>
      <c r="AA690" s="285"/>
      <c r="AB690" s="285"/>
      <c r="AC690" s="285"/>
      <c r="AD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c r="Z691" s="285"/>
      <c r="AA691" s="285"/>
      <c r="AB691" s="285"/>
      <c r="AC691" s="285"/>
      <c r="AD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c r="Z692" s="285"/>
      <c r="AA692" s="285"/>
      <c r="AB692" s="285"/>
      <c r="AC692" s="285"/>
      <c r="AD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c r="Z693" s="285"/>
      <c r="AA693" s="285"/>
      <c r="AB693" s="285"/>
      <c r="AC693" s="285"/>
      <c r="AD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c r="Z694" s="285"/>
      <c r="AA694" s="285"/>
      <c r="AB694" s="285"/>
      <c r="AC694" s="285"/>
      <c r="AD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c r="Z695" s="285"/>
      <c r="AA695" s="285"/>
      <c r="AB695" s="285"/>
      <c r="AC695" s="285"/>
      <c r="AD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c r="Z696" s="285"/>
      <c r="AA696" s="285"/>
      <c r="AB696" s="285"/>
      <c r="AC696" s="285"/>
      <c r="AD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c r="Z697" s="285"/>
      <c r="AA697" s="285"/>
      <c r="AB697" s="285"/>
      <c r="AC697" s="285"/>
      <c r="AD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c r="Z698" s="285"/>
      <c r="AA698" s="285"/>
      <c r="AB698" s="285"/>
      <c r="AC698" s="285"/>
      <c r="AD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c r="Z699" s="285"/>
      <c r="AA699" s="285"/>
      <c r="AB699" s="285"/>
      <c r="AC699" s="285"/>
      <c r="AD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c r="AA700" s="285"/>
      <c r="AB700" s="285"/>
      <c r="AC700" s="285"/>
      <c r="AD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c r="Z701" s="285"/>
      <c r="AA701" s="285"/>
      <c r="AB701" s="285"/>
      <c r="AC701" s="285"/>
      <c r="AD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c r="Z702" s="285"/>
      <c r="AA702" s="285"/>
      <c r="AB702" s="285"/>
      <c r="AC702" s="285"/>
      <c r="AD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c r="AA703" s="285"/>
      <c r="AB703" s="285"/>
      <c r="AC703" s="285"/>
      <c r="AD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c r="AA704" s="285"/>
      <c r="AB704" s="285"/>
      <c r="AC704" s="285"/>
      <c r="AD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c r="Z705" s="285"/>
      <c r="AA705" s="285"/>
      <c r="AB705" s="285"/>
      <c r="AC705" s="285"/>
      <c r="AD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c r="Z706" s="285"/>
      <c r="AA706" s="285"/>
      <c r="AB706" s="285"/>
      <c r="AC706" s="285"/>
      <c r="AD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c r="Z707" s="285"/>
      <c r="AA707" s="285"/>
      <c r="AB707" s="285"/>
      <c r="AC707" s="285"/>
      <c r="AD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c r="Z708" s="285"/>
      <c r="AA708" s="285"/>
      <c r="AB708" s="285"/>
      <c r="AC708" s="285"/>
      <c r="AD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c r="Z709" s="285"/>
      <c r="AA709" s="285"/>
      <c r="AB709" s="285"/>
      <c r="AC709" s="285"/>
      <c r="AD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c r="Z710" s="285"/>
      <c r="AA710" s="285"/>
      <c r="AB710" s="285"/>
      <c r="AC710" s="285"/>
      <c r="AD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c r="Z711" s="285"/>
      <c r="AA711" s="285"/>
      <c r="AB711" s="285"/>
      <c r="AC711" s="285"/>
      <c r="AD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c r="AA712" s="285"/>
      <c r="AB712" s="285"/>
      <c r="AC712" s="285"/>
      <c r="AD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c r="AA713" s="285"/>
      <c r="AB713" s="285"/>
      <c r="AC713" s="285"/>
      <c r="AD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c r="AA714" s="285"/>
      <c r="AB714" s="285"/>
      <c r="AC714" s="285"/>
      <c r="AD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c r="AA715" s="285"/>
      <c r="AB715" s="285"/>
      <c r="AC715" s="285"/>
      <c r="AD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c r="AA716" s="285"/>
      <c r="AB716" s="285"/>
      <c r="AC716" s="285"/>
      <c r="AD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c r="AA717" s="285"/>
      <c r="AB717" s="285"/>
      <c r="AC717" s="285"/>
      <c r="AD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c r="AA718" s="285"/>
      <c r="AB718" s="285"/>
      <c r="AC718" s="285"/>
      <c r="AD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c r="AA719" s="285"/>
      <c r="AB719" s="285"/>
      <c r="AC719" s="285"/>
      <c r="AD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c r="AA720" s="285"/>
      <c r="AB720" s="285"/>
      <c r="AC720" s="285"/>
      <c r="AD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c r="Z721" s="285"/>
      <c r="AA721" s="285"/>
      <c r="AB721" s="285"/>
      <c r="AC721" s="285"/>
      <c r="AD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c r="Z722" s="285"/>
      <c r="AA722" s="285"/>
      <c r="AB722" s="285"/>
      <c r="AC722" s="285"/>
      <c r="AD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c r="Z723" s="285"/>
      <c r="AA723" s="285"/>
      <c r="AB723" s="285"/>
      <c r="AC723" s="285"/>
      <c r="AD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c r="Z724" s="285"/>
      <c r="AA724" s="285"/>
      <c r="AB724" s="285"/>
      <c r="AC724" s="285"/>
      <c r="AD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c r="Z725" s="285"/>
      <c r="AA725" s="285"/>
      <c r="AB725" s="285"/>
      <c r="AC725" s="285"/>
      <c r="AD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c r="Z726" s="285"/>
      <c r="AA726" s="285"/>
      <c r="AB726" s="285"/>
      <c r="AC726" s="285"/>
      <c r="AD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c r="Z727" s="285"/>
      <c r="AA727" s="285"/>
      <c r="AB727" s="285"/>
      <c r="AC727" s="285"/>
      <c r="AD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c r="Z728" s="285"/>
      <c r="AA728" s="285"/>
      <c r="AB728" s="285"/>
      <c r="AC728" s="285"/>
      <c r="AD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c r="Z729" s="285"/>
      <c r="AA729" s="285"/>
      <c r="AB729" s="285"/>
      <c r="AC729" s="285"/>
      <c r="AD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c r="Z730" s="285"/>
      <c r="AA730" s="285"/>
      <c r="AB730" s="285"/>
      <c r="AC730" s="285"/>
      <c r="AD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c r="Z731" s="285"/>
      <c r="AA731" s="285"/>
      <c r="AB731" s="285"/>
      <c r="AC731" s="285"/>
      <c r="AD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c r="Z732" s="285"/>
      <c r="AA732" s="285"/>
      <c r="AB732" s="285"/>
      <c r="AC732" s="285"/>
      <c r="AD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c r="Z733" s="285"/>
      <c r="AA733" s="285"/>
      <c r="AB733" s="285"/>
      <c r="AC733" s="285"/>
      <c r="AD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c r="Z734" s="285"/>
      <c r="AA734" s="285"/>
      <c r="AB734" s="285"/>
      <c r="AC734" s="285"/>
      <c r="AD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c r="Z735" s="285"/>
      <c r="AA735" s="285"/>
      <c r="AB735" s="285"/>
      <c r="AC735" s="285"/>
      <c r="AD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c r="Z736" s="285"/>
      <c r="AA736" s="285"/>
      <c r="AB736" s="285"/>
      <c r="AC736" s="285"/>
      <c r="AD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c r="Z737" s="285"/>
      <c r="AA737" s="285"/>
      <c r="AB737" s="285"/>
      <c r="AC737" s="285"/>
      <c r="AD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c r="Z738" s="285"/>
      <c r="AA738" s="285"/>
      <c r="AB738" s="285"/>
      <c r="AC738" s="285"/>
      <c r="AD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c r="Z739" s="285"/>
      <c r="AA739" s="285"/>
      <c r="AB739" s="285"/>
      <c r="AC739" s="285"/>
      <c r="AD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c r="Z740" s="285"/>
      <c r="AA740" s="285"/>
      <c r="AB740" s="285"/>
      <c r="AC740" s="285"/>
      <c r="AD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c r="Z741" s="285"/>
      <c r="AA741" s="285"/>
      <c r="AB741" s="285"/>
      <c r="AC741" s="285"/>
      <c r="AD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c r="Z742" s="285"/>
      <c r="AA742" s="285"/>
      <c r="AB742" s="285"/>
      <c r="AC742" s="285"/>
      <c r="AD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c r="Z743" s="285"/>
      <c r="AA743" s="285"/>
      <c r="AB743" s="285"/>
      <c r="AC743" s="285"/>
      <c r="AD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c r="Z744" s="285"/>
      <c r="AA744" s="285"/>
      <c r="AB744" s="285"/>
      <c r="AC744" s="285"/>
      <c r="AD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c r="Z745" s="285"/>
      <c r="AA745" s="285"/>
      <c r="AB745" s="285"/>
      <c r="AC745" s="285"/>
      <c r="AD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c r="Z746" s="285"/>
      <c r="AA746" s="285"/>
      <c r="AB746" s="285"/>
      <c r="AC746" s="285"/>
      <c r="AD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c r="Z747" s="285"/>
      <c r="AA747" s="285"/>
      <c r="AB747" s="285"/>
      <c r="AC747" s="285"/>
      <c r="AD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c r="Z748" s="285"/>
      <c r="AA748" s="285"/>
      <c r="AB748" s="285"/>
      <c r="AC748" s="285"/>
      <c r="AD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c r="Z749" s="285"/>
      <c r="AA749" s="285"/>
      <c r="AB749" s="285"/>
      <c r="AC749" s="285"/>
      <c r="AD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c r="Z750" s="285"/>
      <c r="AA750" s="285"/>
      <c r="AB750" s="285"/>
      <c r="AC750" s="285"/>
      <c r="AD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c r="Z751" s="285"/>
      <c r="AA751" s="285"/>
      <c r="AB751" s="285"/>
      <c r="AC751" s="285"/>
      <c r="AD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c r="Z752" s="285"/>
      <c r="AA752" s="285"/>
      <c r="AB752" s="285"/>
      <c r="AC752" s="285"/>
      <c r="AD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c r="Z753" s="285"/>
      <c r="AA753" s="285"/>
      <c r="AB753" s="285"/>
      <c r="AC753" s="285"/>
      <c r="AD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c r="Z754" s="285"/>
      <c r="AA754" s="285"/>
      <c r="AB754" s="285"/>
      <c r="AC754" s="285"/>
      <c r="AD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c r="Z755" s="285"/>
      <c r="AA755" s="285"/>
      <c r="AB755" s="285"/>
      <c r="AC755" s="285"/>
      <c r="AD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c r="Z756" s="285"/>
      <c r="AA756" s="285"/>
      <c r="AB756" s="285"/>
      <c r="AC756" s="285"/>
      <c r="AD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c r="Z757" s="285"/>
      <c r="AA757" s="285"/>
      <c r="AB757" s="285"/>
      <c r="AC757" s="285"/>
      <c r="AD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c r="Z758" s="285"/>
      <c r="AA758" s="285"/>
      <c r="AB758" s="285"/>
      <c r="AC758" s="285"/>
      <c r="AD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c r="Z759" s="285"/>
      <c r="AA759" s="285"/>
      <c r="AB759" s="285"/>
      <c r="AC759" s="285"/>
      <c r="AD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c r="Z760" s="285"/>
      <c r="AA760" s="285"/>
      <c r="AB760" s="285"/>
      <c r="AC760" s="285"/>
      <c r="AD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c r="Z761" s="285"/>
      <c r="AA761" s="285"/>
      <c r="AB761" s="285"/>
      <c r="AC761" s="285"/>
      <c r="AD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c r="Z762" s="285"/>
      <c r="AA762" s="285"/>
      <c r="AB762" s="285"/>
      <c r="AC762" s="285"/>
      <c r="AD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c r="Z763" s="285"/>
      <c r="AA763" s="285"/>
      <c r="AB763" s="285"/>
      <c r="AC763" s="285"/>
      <c r="AD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c r="Z764" s="285"/>
      <c r="AA764" s="285"/>
      <c r="AB764" s="285"/>
      <c r="AC764" s="285"/>
      <c r="AD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c r="Z765" s="285"/>
      <c r="AA765" s="285"/>
      <c r="AB765" s="285"/>
      <c r="AC765" s="285"/>
      <c r="AD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c r="Z766" s="285"/>
      <c r="AA766" s="285"/>
      <c r="AB766" s="285"/>
      <c r="AC766" s="285"/>
      <c r="AD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c r="Z767" s="285"/>
      <c r="AA767" s="285"/>
      <c r="AB767" s="285"/>
      <c r="AC767" s="285"/>
      <c r="AD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c r="Z768" s="285"/>
      <c r="AA768" s="285"/>
      <c r="AB768" s="285"/>
      <c r="AC768" s="285"/>
      <c r="AD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c r="Z769" s="285"/>
      <c r="AA769" s="285"/>
      <c r="AB769" s="285"/>
      <c r="AC769" s="285"/>
      <c r="AD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c r="Z770" s="285"/>
      <c r="AA770" s="285"/>
      <c r="AB770" s="285"/>
      <c r="AC770" s="285"/>
      <c r="AD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c r="Z771" s="285"/>
      <c r="AA771" s="285"/>
      <c r="AB771" s="285"/>
      <c r="AC771" s="285"/>
      <c r="AD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c r="Z772" s="285"/>
      <c r="AA772" s="285"/>
      <c r="AB772" s="285"/>
      <c r="AC772" s="285"/>
      <c r="AD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c r="Z773" s="285"/>
      <c r="AA773" s="285"/>
      <c r="AB773" s="285"/>
      <c r="AC773" s="285"/>
      <c r="AD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c r="Z774" s="285"/>
      <c r="AA774" s="285"/>
      <c r="AB774" s="285"/>
      <c r="AC774" s="285"/>
      <c r="AD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c r="Z775" s="285"/>
      <c r="AA775" s="285"/>
      <c r="AB775" s="285"/>
      <c r="AC775" s="285"/>
      <c r="AD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c r="Z776" s="285"/>
      <c r="AA776" s="285"/>
      <c r="AB776" s="285"/>
      <c r="AC776" s="285"/>
      <c r="AD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c r="Z777" s="285"/>
      <c r="AA777" s="285"/>
      <c r="AB777" s="285"/>
      <c r="AC777" s="285"/>
      <c r="AD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c r="Z778" s="285"/>
      <c r="AA778" s="285"/>
      <c r="AB778" s="285"/>
      <c r="AC778" s="285"/>
      <c r="AD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c r="Z779" s="285"/>
      <c r="AA779" s="285"/>
      <c r="AB779" s="285"/>
      <c r="AC779" s="285"/>
      <c r="AD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c r="Z780" s="285"/>
      <c r="AA780" s="285"/>
      <c r="AB780" s="285"/>
      <c r="AC780" s="285"/>
      <c r="AD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c r="Z781" s="285"/>
      <c r="AA781" s="285"/>
      <c r="AB781" s="285"/>
      <c r="AC781" s="285"/>
      <c r="AD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c r="Z782" s="285"/>
      <c r="AA782" s="285"/>
      <c r="AB782" s="285"/>
      <c r="AC782" s="285"/>
      <c r="AD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c r="Z783" s="285"/>
      <c r="AA783" s="285"/>
      <c r="AB783" s="285"/>
      <c r="AC783" s="285"/>
      <c r="AD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c r="AA784" s="285"/>
      <c r="AB784" s="285"/>
      <c r="AC784" s="285"/>
      <c r="AD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c r="Z785" s="285"/>
      <c r="AA785" s="285"/>
      <c r="AB785" s="285"/>
      <c r="AC785" s="285"/>
      <c r="AD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c r="Z786" s="285"/>
      <c r="AA786" s="285"/>
      <c r="AB786" s="285"/>
      <c r="AC786" s="285"/>
      <c r="AD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c r="Z787" s="285"/>
      <c r="AA787" s="285"/>
      <c r="AB787" s="285"/>
      <c r="AC787" s="285"/>
      <c r="AD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c r="Z788" s="285"/>
      <c r="AA788" s="285"/>
      <c r="AB788" s="285"/>
      <c r="AC788" s="285"/>
      <c r="AD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c r="Z789" s="285"/>
      <c r="AA789" s="285"/>
      <c r="AB789" s="285"/>
      <c r="AC789" s="285"/>
      <c r="AD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c r="Z790" s="285"/>
      <c r="AA790" s="285"/>
      <c r="AB790" s="285"/>
      <c r="AC790" s="285"/>
      <c r="AD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c r="Z791" s="285"/>
      <c r="AA791" s="285"/>
      <c r="AB791" s="285"/>
      <c r="AC791" s="285"/>
      <c r="AD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c r="Z792" s="285"/>
      <c r="AA792" s="285"/>
      <c r="AB792" s="285"/>
      <c r="AC792" s="285"/>
      <c r="AD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c r="Z793" s="285"/>
      <c r="AA793" s="285"/>
      <c r="AB793" s="285"/>
      <c r="AC793" s="285"/>
      <c r="AD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c r="Z794" s="285"/>
      <c r="AA794" s="285"/>
      <c r="AB794" s="285"/>
      <c r="AC794" s="285"/>
      <c r="AD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c r="Z795" s="285"/>
      <c r="AA795" s="285"/>
      <c r="AB795" s="285"/>
      <c r="AC795" s="285"/>
      <c r="AD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c r="AA796" s="285"/>
      <c r="AB796" s="285"/>
      <c r="AC796" s="285"/>
      <c r="AD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c r="Z797" s="285"/>
      <c r="AA797" s="285"/>
      <c r="AB797" s="285"/>
      <c r="AC797" s="285"/>
      <c r="AD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c r="Z798" s="285"/>
      <c r="AA798" s="285"/>
      <c r="AB798" s="285"/>
      <c r="AC798" s="285"/>
      <c r="AD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c r="Z799" s="285"/>
      <c r="AA799" s="285"/>
      <c r="AB799" s="285"/>
      <c r="AC799" s="285"/>
      <c r="AD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c r="Z800" s="285"/>
      <c r="AA800" s="285"/>
      <c r="AB800" s="285"/>
      <c r="AC800" s="285"/>
      <c r="AD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c r="Z801" s="285"/>
      <c r="AA801" s="285"/>
      <c r="AB801" s="285"/>
      <c r="AC801" s="285"/>
      <c r="AD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c r="Z802" s="285"/>
      <c r="AA802" s="285"/>
      <c r="AB802" s="285"/>
      <c r="AC802" s="285"/>
      <c r="AD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c r="Z803" s="285"/>
      <c r="AA803" s="285"/>
      <c r="AB803" s="285"/>
      <c r="AC803" s="285"/>
      <c r="AD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c r="Z804" s="285"/>
      <c r="AA804" s="285"/>
      <c r="AB804" s="285"/>
      <c r="AC804" s="285"/>
      <c r="AD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c r="Z805" s="285"/>
      <c r="AA805" s="285"/>
      <c r="AB805" s="285"/>
      <c r="AC805" s="285"/>
      <c r="AD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c r="Z806" s="285"/>
      <c r="AA806" s="285"/>
      <c r="AB806" s="285"/>
      <c r="AC806" s="285"/>
      <c r="AD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c r="Z807" s="285"/>
      <c r="AA807" s="285"/>
      <c r="AB807" s="285"/>
      <c r="AC807" s="285"/>
      <c r="AD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c r="AA808" s="285"/>
      <c r="AB808" s="285"/>
      <c r="AC808" s="285"/>
      <c r="AD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c r="AA809" s="285"/>
      <c r="AB809" s="285"/>
      <c r="AC809" s="285"/>
      <c r="AD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c r="AA810" s="285"/>
      <c r="AB810" s="285"/>
      <c r="AC810" s="285"/>
      <c r="AD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c r="AA811" s="285"/>
      <c r="AB811" s="285"/>
      <c r="AC811" s="285"/>
      <c r="AD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c r="AA812" s="285"/>
      <c r="AB812" s="285"/>
      <c r="AC812" s="285"/>
      <c r="AD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c r="AA813" s="285"/>
      <c r="AB813" s="285"/>
      <c r="AC813" s="285"/>
      <c r="AD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c r="AA814" s="285"/>
      <c r="AB814" s="285"/>
      <c r="AC814" s="285"/>
      <c r="AD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c r="AA815" s="285"/>
      <c r="AB815" s="285"/>
      <c r="AC815" s="285"/>
      <c r="AD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c r="AA816" s="285"/>
      <c r="AB816" s="285"/>
      <c r="AC816" s="285"/>
      <c r="AD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c r="AA817" s="285"/>
      <c r="AB817" s="285"/>
      <c r="AC817" s="285"/>
      <c r="AD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c r="Z818" s="285"/>
      <c r="AA818" s="285"/>
      <c r="AB818" s="285"/>
      <c r="AC818" s="285"/>
      <c r="AD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c r="Z819" s="285"/>
      <c r="AA819" s="285"/>
      <c r="AB819" s="285"/>
      <c r="AC819" s="285"/>
      <c r="AD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c r="Z820" s="285"/>
      <c r="AA820" s="285"/>
      <c r="AB820" s="285"/>
      <c r="AC820" s="285"/>
      <c r="AD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c r="Z821" s="285"/>
      <c r="AA821" s="285"/>
      <c r="AB821" s="285"/>
      <c r="AC821" s="285"/>
      <c r="AD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c r="Z822" s="285"/>
      <c r="AA822" s="285"/>
      <c r="AB822" s="285"/>
      <c r="AC822" s="285"/>
      <c r="AD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c r="Z823" s="285"/>
      <c r="AA823" s="285"/>
      <c r="AB823" s="285"/>
      <c r="AC823" s="285"/>
      <c r="AD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c r="Z824" s="285"/>
      <c r="AA824" s="285"/>
      <c r="AB824" s="285"/>
      <c r="AC824" s="285"/>
      <c r="AD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c r="Z825" s="285"/>
      <c r="AA825" s="285"/>
      <c r="AB825" s="285"/>
      <c r="AC825" s="285"/>
      <c r="AD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c r="Z826" s="285"/>
      <c r="AA826" s="285"/>
      <c r="AB826" s="285"/>
      <c r="AC826" s="285"/>
      <c r="AD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c r="Z827" s="285"/>
      <c r="AA827" s="285"/>
      <c r="AB827" s="285"/>
      <c r="AC827" s="285"/>
      <c r="AD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c r="Z828" s="285"/>
      <c r="AA828" s="285"/>
      <c r="AB828" s="285"/>
      <c r="AC828" s="285"/>
      <c r="AD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c r="Z829" s="285"/>
      <c r="AA829" s="285"/>
      <c r="AB829" s="285"/>
      <c r="AC829" s="285"/>
      <c r="AD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c r="Z830" s="285"/>
      <c r="AA830" s="285"/>
      <c r="AB830" s="285"/>
      <c r="AC830" s="285"/>
      <c r="AD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c r="Z831" s="285"/>
      <c r="AA831" s="285"/>
      <c r="AB831" s="285"/>
      <c r="AC831" s="285"/>
      <c r="AD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c r="Z832" s="285"/>
      <c r="AA832" s="285"/>
      <c r="AB832" s="285"/>
      <c r="AC832" s="285"/>
      <c r="AD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c r="Z833" s="285"/>
      <c r="AA833" s="285"/>
      <c r="AB833" s="285"/>
      <c r="AC833" s="285"/>
      <c r="AD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c r="Z834" s="285"/>
      <c r="AA834" s="285"/>
      <c r="AB834" s="285"/>
      <c r="AC834" s="285"/>
      <c r="AD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c r="Z835" s="285"/>
      <c r="AA835" s="285"/>
      <c r="AB835" s="285"/>
      <c r="AC835" s="285"/>
      <c r="AD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c r="Z836" s="285"/>
      <c r="AA836" s="285"/>
      <c r="AB836" s="285"/>
      <c r="AC836" s="285"/>
      <c r="AD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c r="Z837" s="285"/>
      <c r="AA837" s="285"/>
      <c r="AB837" s="285"/>
      <c r="AC837" s="285"/>
      <c r="AD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c r="Z838" s="285"/>
      <c r="AA838" s="285"/>
      <c r="AB838" s="285"/>
      <c r="AC838" s="285"/>
      <c r="AD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c r="Z839" s="285"/>
      <c r="AA839" s="285"/>
      <c r="AB839" s="285"/>
      <c r="AC839" s="285"/>
      <c r="AD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c r="Z840" s="285"/>
      <c r="AA840" s="285"/>
      <c r="AB840" s="285"/>
      <c r="AC840" s="285"/>
      <c r="AD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c r="Z841" s="285"/>
      <c r="AA841" s="285"/>
      <c r="AB841" s="285"/>
      <c r="AC841" s="285"/>
      <c r="AD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c r="Z842" s="285"/>
      <c r="AA842" s="285"/>
      <c r="AB842" s="285"/>
      <c r="AC842" s="285"/>
      <c r="AD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c r="Z843" s="285"/>
      <c r="AA843" s="285"/>
      <c r="AB843" s="285"/>
      <c r="AC843" s="285"/>
      <c r="AD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c r="Z844" s="285"/>
      <c r="AA844" s="285"/>
      <c r="AB844" s="285"/>
      <c r="AC844" s="285"/>
      <c r="AD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c r="Z845" s="285"/>
      <c r="AA845" s="285"/>
      <c r="AB845" s="285"/>
      <c r="AC845" s="285"/>
      <c r="AD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c r="Z846" s="285"/>
      <c r="AA846" s="285"/>
      <c r="AB846" s="285"/>
      <c r="AC846" s="285"/>
      <c r="AD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c r="Z847" s="285"/>
      <c r="AA847" s="285"/>
      <c r="AB847" s="285"/>
      <c r="AC847" s="285"/>
      <c r="AD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c r="Z848" s="285"/>
      <c r="AA848" s="285"/>
      <c r="AB848" s="285"/>
      <c r="AC848" s="285"/>
      <c r="AD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c r="Z849" s="285"/>
      <c r="AA849" s="285"/>
      <c r="AB849" s="285"/>
      <c r="AC849" s="285"/>
      <c r="AD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c r="Z850" s="285"/>
      <c r="AA850" s="285"/>
      <c r="AB850" s="285"/>
      <c r="AC850" s="285"/>
      <c r="AD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c r="Z851" s="285"/>
      <c r="AA851" s="285"/>
      <c r="AB851" s="285"/>
      <c r="AC851" s="285"/>
      <c r="AD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c r="Z852" s="285"/>
      <c r="AA852" s="285"/>
      <c r="AB852" s="285"/>
      <c r="AC852" s="285"/>
      <c r="AD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c r="Z853" s="285"/>
      <c r="AA853" s="285"/>
      <c r="AB853" s="285"/>
      <c r="AC853" s="285"/>
      <c r="AD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c r="Z854" s="285"/>
      <c r="AA854" s="285"/>
      <c r="AB854" s="285"/>
      <c r="AC854" s="285"/>
      <c r="AD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c r="Z855" s="285"/>
      <c r="AA855" s="285"/>
      <c r="AB855" s="285"/>
      <c r="AC855" s="285"/>
      <c r="AD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c r="Z856" s="285"/>
      <c r="AA856" s="285"/>
      <c r="AB856" s="285"/>
      <c r="AC856" s="285"/>
      <c r="AD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c r="Z857" s="285"/>
      <c r="AA857" s="285"/>
      <c r="AB857" s="285"/>
      <c r="AC857" s="285"/>
      <c r="AD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c r="Z858" s="285"/>
      <c r="AA858" s="285"/>
      <c r="AB858" s="285"/>
      <c r="AC858" s="285"/>
      <c r="AD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c r="Z859" s="285"/>
      <c r="AA859" s="285"/>
      <c r="AB859" s="285"/>
      <c r="AC859" s="285"/>
      <c r="AD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c r="Z860" s="285"/>
      <c r="AA860" s="285"/>
      <c r="AB860" s="285"/>
      <c r="AC860" s="285"/>
      <c r="AD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c r="Z861" s="285"/>
      <c r="AA861" s="285"/>
      <c r="AB861" s="285"/>
      <c r="AC861" s="285"/>
      <c r="AD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c r="Z862" s="285"/>
      <c r="AA862" s="285"/>
      <c r="AB862" s="285"/>
      <c r="AC862" s="285"/>
      <c r="AD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c r="Z863" s="285"/>
      <c r="AA863" s="285"/>
      <c r="AB863" s="285"/>
      <c r="AC863" s="285"/>
      <c r="AD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c r="Z864" s="285"/>
      <c r="AA864" s="285"/>
      <c r="AB864" s="285"/>
      <c r="AC864" s="285"/>
      <c r="AD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c r="Z865" s="285"/>
      <c r="AA865" s="285"/>
      <c r="AB865" s="285"/>
      <c r="AC865" s="285"/>
      <c r="AD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c r="Z866" s="285"/>
      <c r="AA866" s="285"/>
      <c r="AB866" s="285"/>
      <c r="AC866" s="285"/>
      <c r="AD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c r="Z867" s="285"/>
      <c r="AA867" s="285"/>
      <c r="AB867" s="285"/>
      <c r="AC867" s="285"/>
      <c r="AD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c r="Z868" s="285"/>
      <c r="AA868" s="285"/>
      <c r="AB868" s="285"/>
      <c r="AC868" s="285"/>
      <c r="AD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c r="Z869" s="285"/>
      <c r="AA869" s="285"/>
      <c r="AB869" s="285"/>
      <c r="AC869" s="285"/>
      <c r="AD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c r="Z870" s="285"/>
      <c r="AA870" s="285"/>
      <c r="AB870" s="285"/>
      <c r="AC870" s="285"/>
      <c r="AD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c r="Z871" s="285"/>
      <c r="AA871" s="285"/>
      <c r="AB871" s="285"/>
      <c r="AC871" s="285"/>
      <c r="AD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c r="Z872" s="285"/>
      <c r="AA872" s="285"/>
      <c r="AB872" s="285"/>
      <c r="AC872" s="285"/>
      <c r="AD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c r="Z873" s="285"/>
      <c r="AA873" s="285"/>
      <c r="AB873" s="285"/>
      <c r="AC873" s="285"/>
      <c r="AD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c r="Z874" s="285"/>
      <c r="AA874" s="285"/>
      <c r="AB874" s="285"/>
      <c r="AC874" s="285"/>
      <c r="AD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c r="Z875" s="285"/>
      <c r="AA875" s="285"/>
      <c r="AB875" s="285"/>
      <c r="AC875" s="285"/>
      <c r="AD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c r="Z876" s="285"/>
      <c r="AA876" s="285"/>
      <c r="AB876" s="285"/>
      <c r="AC876" s="285"/>
      <c r="AD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c r="Z877" s="285"/>
      <c r="AA877" s="285"/>
      <c r="AB877" s="285"/>
      <c r="AC877" s="285"/>
      <c r="AD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c r="Z878" s="285"/>
      <c r="AA878" s="285"/>
      <c r="AB878" s="285"/>
      <c r="AC878" s="285"/>
      <c r="AD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c r="Z879" s="285"/>
      <c r="AA879" s="285"/>
      <c r="AB879" s="285"/>
      <c r="AC879" s="285"/>
      <c r="AD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c r="Z880" s="285"/>
      <c r="AA880" s="285"/>
      <c r="AB880" s="285"/>
      <c r="AC880" s="285"/>
      <c r="AD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c r="Z881" s="285"/>
      <c r="AA881" s="285"/>
      <c r="AB881" s="285"/>
      <c r="AC881" s="285"/>
      <c r="AD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c r="Z882" s="285"/>
      <c r="AA882" s="285"/>
      <c r="AB882" s="285"/>
      <c r="AC882" s="285"/>
      <c r="AD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c r="Z883" s="285"/>
      <c r="AA883" s="285"/>
      <c r="AB883" s="285"/>
      <c r="AC883" s="285"/>
      <c r="AD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c r="Z884" s="285"/>
      <c r="AA884" s="285"/>
      <c r="AB884" s="285"/>
      <c r="AC884" s="285"/>
      <c r="AD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c r="Z885" s="285"/>
      <c r="AA885" s="285"/>
      <c r="AB885" s="285"/>
      <c r="AC885" s="285"/>
      <c r="AD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c r="Z886" s="285"/>
      <c r="AA886" s="285"/>
      <c r="AB886" s="285"/>
      <c r="AC886" s="285"/>
      <c r="AD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c r="Z887" s="285"/>
      <c r="AA887" s="285"/>
      <c r="AB887" s="285"/>
      <c r="AC887" s="285"/>
      <c r="AD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c r="Z888" s="285"/>
      <c r="AA888" s="285"/>
      <c r="AB888" s="285"/>
      <c r="AC888" s="285"/>
      <c r="AD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c r="Z889" s="285"/>
      <c r="AA889" s="285"/>
      <c r="AB889" s="285"/>
      <c r="AC889" s="285"/>
      <c r="AD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c r="Z890" s="285"/>
      <c r="AA890" s="285"/>
      <c r="AB890" s="285"/>
      <c r="AC890" s="285"/>
      <c r="AD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c r="Z891" s="285"/>
      <c r="AA891" s="285"/>
      <c r="AB891" s="285"/>
      <c r="AC891" s="285"/>
      <c r="AD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c r="Z892" s="285"/>
      <c r="AA892" s="285"/>
      <c r="AB892" s="285"/>
      <c r="AC892" s="285"/>
      <c r="AD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c r="Z893" s="285"/>
      <c r="AA893" s="285"/>
      <c r="AB893" s="285"/>
      <c r="AC893" s="285"/>
      <c r="AD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c r="Z894" s="285"/>
      <c r="AA894" s="285"/>
      <c r="AB894" s="285"/>
      <c r="AC894" s="285"/>
      <c r="AD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c r="Z895" s="285"/>
      <c r="AA895" s="285"/>
      <c r="AB895" s="285"/>
      <c r="AC895" s="285"/>
      <c r="AD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c r="Z896" s="285"/>
      <c r="AA896" s="285"/>
      <c r="AB896" s="285"/>
      <c r="AC896" s="285"/>
      <c r="AD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c r="Z897" s="285"/>
      <c r="AA897" s="285"/>
      <c r="AB897" s="285"/>
      <c r="AC897" s="285"/>
      <c r="AD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c r="Z898" s="285"/>
      <c r="AA898" s="285"/>
      <c r="AB898" s="285"/>
      <c r="AC898" s="285"/>
      <c r="AD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c r="Z899" s="285"/>
      <c r="AA899" s="285"/>
      <c r="AB899" s="285"/>
      <c r="AC899" s="285"/>
      <c r="AD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c r="Z900" s="285"/>
      <c r="AA900" s="285"/>
      <c r="AB900" s="285"/>
      <c r="AC900" s="285"/>
      <c r="AD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c r="Z901" s="285"/>
      <c r="AA901" s="285"/>
      <c r="AB901" s="285"/>
      <c r="AC901" s="285"/>
      <c r="AD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c r="Z902" s="285"/>
      <c r="AA902" s="285"/>
      <c r="AB902" s="285"/>
      <c r="AC902" s="285"/>
      <c r="AD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c r="Z903" s="285"/>
      <c r="AA903" s="285"/>
      <c r="AB903" s="285"/>
      <c r="AC903" s="285"/>
      <c r="AD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c r="Z904" s="285"/>
      <c r="AA904" s="285"/>
      <c r="AB904" s="285"/>
      <c r="AC904" s="285"/>
      <c r="AD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c r="Z905" s="285"/>
      <c r="AA905" s="285"/>
      <c r="AB905" s="285"/>
      <c r="AC905" s="285"/>
      <c r="AD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c r="Z906" s="285"/>
      <c r="AA906" s="285"/>
      <c r="AB906" s="285"/>
      <c r="AC906" s="285"/>
      <c r="AD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c r="Z907" s="285"/>
      <c r="AA907" s="285"/>
      <c r="AB907" s="285"/>
      <c r="AC907" s="285"/>
      <c r="AD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c r="Z908" s="285"/>
      <c r="AA908" s="285"/>
      <c r="AB908" s="285"/>
      <c r="AC908" s="285"/>
      <c r="AD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c r="Z909" s="285"/>
      <c r="AA909" s="285"/>
      <c r="AB909" s="285"/>
      <c r="AC909" s="285"/>
      <c r="AD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c r="Z910" s="285"/>
      <c r="AA910" s="285"/>
      <c r="AB910" s="285"/>
      <c r="AC910" s="285"/>
      <c r="AD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c r="Z911" s="285"/>
      <c r="AA911" s="285"/>
      <c r="AB911" s="285"/>
      <c r="AC911" s="285"/>
      <c r="AD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c r="Z912" s="285"/>
      <c r="AA912" s="285"/>
      <c r="AB912" s="285"/>
      <c r="AC912" s="285"/>
      <c r="AD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c r="Z913" s="285"/>
      <c r="AA913" s="285"/>
      <c r="AB913" s="285"/>
      <c r="AC913" s="285"/>
      <c r="AD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c r="Z914" s="285"/>
      <c r="AA914" s="285"/>
      <c r="AB914" s="285"/>
      <c r="AC914" s="285"/>
      <c r="AD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c r="Z915" s="285"/>
      <c r="AA915" s="285"/>
      <c r="AB915" s="285"/>
      <c r="AC915" s="285"/>
      <c r="AD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c r="Z916" s="285"/>
      <c r="AA916" s="285"/>
      <c r="AB916" s="285"/>
      <c r="AC916" s="285"/>
      <c r="AD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c r="Z917" s="285"/>
      <c r="AA917" s="285"/>
      <c r="AB917" s="285"/>
      <c r="AC917" s="285"/>
      <c r="AD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c r="Z918" s="285"/>
      <c r="AA918" s="285"/>
      <c r="AB918" s="285"/>
      <c r="AC918" s="285"/>
      <c r="AD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c r="Z919" s="285"/>
      <c r="AA919" s="285"/>
      <c r="AB919" s="285"/>
      <c r="AC919" s="285"/>
      <c r="AD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c r="Z920" s="285"/>
      <c r="AA920" s="285"/>
      <c r="AB920" s="285"/>
      <c r="AC920" s="285"/>
      <c r="AD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c r="Z921" s="285"/>
      <c r="AA921" s="285"/>
      <c r="AB921" s="285"/>
      <c r="AC921" s="285"/>
      <c r="AD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c r="Z922" s="285"/>
      <c r="AA922" s="285"/>
      <c r="AB922" s="285"/>
      <c r="AC922" s="285"/>
      <c r="AD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c r="Z923" s="285"/>
      <c r="AA923" s="285"/>
      <c r="AB923" s="285"/>
      <c r="AC923" s="285"/>
      <c r="AD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c r="Z924" s="285"/>
      <c r="AA924" s="285"/>
      <c r="AB924" s="285"/>
      <c r="AC924" s="285"/>
      <c r="AD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c r="Z925" s="285"/>
      <c r="AA925" s="285"/>
      <c r="AB925" s="285"/>
      <c r="AC925" s="285"/>
      <c r="AD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c r="Z926" s="285"/>
      <c r="AA926" s="285"/>
      <c r="AB926" s="285"/>
      <c r="AC926" s="285"/>
      <c r="AD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c r="Z927" s="285"/>
      <c r="AA927" s="285"/>
      <c r="AB927" s="285"/>
      <c r="AC927" s="285"/>
      <c r="AD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c r="Z928" s="285"/>
      <c r="AA928" s="285"/>
      <c r="AB928" s="285"/>
      <c r="AC928" s="285"/>
      <c r="AD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c r="Z929" s="285"/>
      <c r="AA929" s="285"/>
      <c r="AB929" s="285"/>
      <c r="AC929" s="285"/>
      <c r="AD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c r="Z930" s="285"/>
      <c r="AA930" s="285"/>
      <c r="AB930" s="285"/>
      <c r="AC930" s="285"/>
      <c r="AD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c r="Z931" s="285"/>
      <c r="AA931" s="285"/>
      <c r="AB931" s="285"/>
      <c r="AC931" s="285"/>
      <c r="AD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c r="Z932" s="285"/>
      <c r="AA932" s="285"/>
      <c r="AB932" s="285"/>
      <c r="AC932" s="285"/>
      <c r="AD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c r="Z933" s="285"/>
      <c r="AA933" s="285"/>
      <c r="AB933" s="285"/>
      <c r="AC933" s="285"/>
      <c r="AD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c r="Z934" s="285"/>
      <c r="AA934" s="285"/>
      <c r="AB934" s="285"/>
      <c r="AC934" s="285"/>
      <c r="AD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c r="Z935" s="285"/>
      <c r="AA935" s="285"/>
      <c r="AB935" s="285"/>
      <c r="AC935" s="285"/>
      <c r="AD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c r="Z936" s="285"/>
      <c r="AA936" s="285"/>
      <c r="AB936" s="285"/>
      <c r="AC936" s="285"/>
      <c r="AD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c r="Z937" s="285"/>
      <c r="AA937" s="285"/>
      <c r="AB937" s="285"/>
      <c r="AC937" s="285"/>
      <c r="AD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c r="Z938" s="285"/>
      <c r="AA938" s="285"/>
      <c r="AB938" s="285"/>
      <c r="AC938" s="285"/>
      <c r="AD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c r="Z939" s="285"/>
      <c r="AA939" s="285"/>
      <c r="AB939" s="285"/>
      <c r="AC939" s="285"/>
      <c r="AD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c r="Z940" s="285"/>
      <c r="AA940" s="285"/>
      <c r="AB940" s="285"/>
      <c r="AC940" s="285"/>
      <c r="AD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c r="Z941" s="285"/>
      <c r="AA941" s="285"/>
      <c r="AB941" s="285"/>
      <c r="AC941" s="285"/>
      <c r="AD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c r="Z942" s="285"/>
      <c r="AA942" s="285"/>
      <c r="AB942" s="285"/>
      <c r="AC942" s="285"/>
      <c r="AD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c r="Z943" s="285"/>
      <c r="AA943" s="285"/>
      <c r="AB943" s="285"/>
      <c r="AC943" s="285"/>
      <c r="AD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c r="Z944" s="285"/>
      <c r="AA944" s="285"/>
      <c r="AB944" s="285"/>
      <c r="AC944" s="285"/>
      <c r="AD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c r="Z945" s="285"/>
      <c r="AA945" s="285"/>
      <c r="AB945" s="285"/>
      <c r="AC945" s="285"/>
      <c r="AD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c r="Z946" s="285"/>
      <c r="AA946" s="285"/>
      <c r="AB946" s="285"/>
      <c r="AC946" s="285"/>
      <c r="AD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c r="Z947" s="285"/>
      <c r="AA947" s="285"/>
      <c r="AB947" s="285"/>
      <c r="AC947" s="285"/>
      <c r="AD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c r="Z948" s="285"/>
      <c r="AA948" s="285"/>
      <c r="AB948" s="285"/>
      <c r="AC948" s="285"/>
      <c r="AD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c r="Z949" s="285"/>
      <c r="AA949" s="285"/>
      <c r="AB949" s="285"/>
      <c r="AC949" s="285"/>
      <c r="AD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c r="Z950" s="285"/>
      <c r="AA950" s="285"/>
      <c r="AB950" s="285"/>
      <c r="AC950" s="285"/>
      <c r="AD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c r="Z951" s="285"/>
      <c r="AA951" s="285"/>
      <c r="AB951" s="285"/>
      <c r="AC951" s="285"/>
      <c r="AD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c r="Z952" s="285"/>
      <c r="AA952" s="285"/>
      <c r="AB952" s="285"/>
      <c r="AC952" s="285"/>
      <c r="AD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c r="Z953" s="285"/>
      <c r="AA953" s="285"/>
      <c r="AB953" s="285"/>
      <c r="AC953" s="285"/>
      <c r="AD953" s="285"/>
    </row>
    <row r="954">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c r="Z954" s="285"/>
      <c r="AA954" s="285"/>
      <c r="AB954" s="285"/>
      <c r="AC954" s="285"/>
      <c r="AD954" s="285"/>
    </row>
    <row r="955">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c r="Z955" s="285"/>
      <c r="AA955" s="285"/>
      <c r="AB955" s="285"/>
      <c r="AC955" s="285"/>
      <c r="AD955" s="285"/>
    </row>
    <row r="956">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c r="Z956" s="285"/>
      <c r="AA956" s="285"/>
      <c r="AB956" s="285"/>
      <c r="AC956" s="285"/>
      <c r="AD956" s="285"/>
    </row>
    <row r="957">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c r="Z957" s="285"/>
      <c r="AA957" s="285"/>
      <c r="AB957" s="285"/>
      <c r="AC957" s="285"/>
      <c r="AD957" s="285"/>
    </row>
    <row r="958">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c r="Z958" s="285"/>
      <c r="AA958" s="285"/>
      <c r="AB958" s="285"/>
      <c r="AC958" s="285"/>
      <c r="AD958" s="285"/>
    </row>
    <row r="959">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c r="Z959" s="285"/>
      <c r="AA959" s="285"/>
      <c r="AB959" s="285"/>
      <c r="AC959" s="285"/>
      <c r="AD959" s="285"/>
    </row>
    <row r="960">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c r="Z960" s="285"/>
      <c r="AA960" s="285"/>
      <c r="AB960" s="285"/>
      <c r="AC960" s="285"/>
      <c r="AD960" s="285"/>
    </row>
    <row r="96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c r="Z961" s="285"/>
      <c r="AA961" s="285"/>
      <c r="AB961" s="285"/>
      <c r="AC961" s="285"/>
      <c r="AD961" s="285"/>
    </row>
    <row r="962">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c r="Z962" s="285"/>
      <c r="AA962" s="285"/>
      <c r="AB962" s="285"/>
      <c r="AC962" s="285"/>
      <c r="AD962" s="285"/>
    </row>
    <row r="963">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c r="Z963" s="285"/>
      <c r="AA963" s="285"/>
      <c r="AB963" s="285"/>
      <c r="AC963" s="285"/>
      <c r="AD963" s="285"/>
    </row>
    <row r="964">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c r="Z964" s="285"/>
      <c r="AA964" s="285"/>
      <c r="AB964" s="285"/>
      <c r="AC964" s="285"/>
      <c r="AD964" s="285"/>
    </row>
    <row r="965">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c r="Z965" s="285"/>
      <c r="AA965" s="285"/>
      <c r="AB965" s="285"/>
      <c r="AC965" s="285"/>
      <c r="AD965" s="285"/>
    </row>
    <row r="966">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c r="Z966" s="285"/>
      <c r="AA966" s="285"/>
      <c r="AB966" s="285"/>
      <c r="AC966" s="285"/>
      <c r="AD966" s="285"/>
    </row>
    <row r="967">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c r="Z967" s="285"/>
      <c r="AA967" s="285"/>
      <c r="AB967" s="285"/>
      <c r="AC967" s="285"/>
      <c r="AD967" s="285"/>
    </row>
    <row r="968">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c r="Z968" s="285"/>
      <c r="AA968" s="285"/>
      <c r="AB968" s="285"/>
      <c r="AC968" s="285"/>
      <c r="AD968" s="285"/>
    </row>
    <row r="969">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c r="Z969" s="285"/>
      <c r="AA969" s="285"/>
      <c r="AB969" s="285"/>
      <c r="AC969" s="285"/>
      <c r="AD969" s="285"/>
    </row>
    <row r="970">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c r="Z970" s="285"/>
      <c r="AA970" s="285"/>
      <c r="AB970" s="285"/>
      <c r="AC970" s="285"/>
      <c r="AD970" s="285"/>
    </row>
    <row r="97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c r="Z971" s="285"/>
      <c r="AA971" s="285"/>
      <c r="AB971" s="285"/>
      <c r="AC971" s="285"/>
      <c r="AD971" s="285"/>
    </row>
    <row r="972">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c r="Z972" s="285"/>
      <c r="AA972" s="285"/>
      <c r="AB972" s="285"/>
      <c r="AC972" s="285"/>
      <c r="AD972" s="285"/>
    </row>
    <row r="973">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c r="Z973" s="285"/>
      <c r="AA973" s="285"/>
      <c r="AB973" s="285"/>
      <c r="AC973" s="285"/>
      <c r="AD973" s="285"/>
    </row>
    <row r="974">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c r="Z974" s="285"/>
      <c r="AA974" s="285"/>
      <c r="AB974" s="285"/>
      <c r="AC974" s="285"/>
      <c r="AD974" s="285"/>
    </row>
    <row r="975">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c r="Z975" s="285"/>
      <c r="AA975" s="285"/>
      <c r="AB975" s="285"/>
      <c r="AC975" s="285"/>
      <c r="AD975" s="285"/>
    </row>
    <row r="976">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c r="Z976" s="285"/>
      <c r="AA976" s="285"/>
      <c r="AB976" s="285"/>
      <c r="AC976" s="285"/>
      <c r="AD976" s="285"/>
    </row>
    <row r="977">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c r="Z977" s="285"/>
      <c r="AA977" s="285"/>
      <c r="AB977" s="285"/>
      <c r="AC977" s="285"/>
      <c r="AD977" s="285"/>
    </row>
    <row r="978">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c r="Z978" s="285"/>
      <c r="AA978" s="285"/>
      <c r="AB978" s="285"/>
      <c r="AC978" s="285"/>
      <c r="AD978" s="285"/>
    </row>
    <row r="979">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c r="Z979" s="285"/>
      <c r="AA979" s="285"/>
      <c r="AB979" s="285"/>
      <c r="AC979" s="285"/>
      <c r="AD979" s="285"/>
    </row>
    <row r="980">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c r="Y980" s="285"/>
      <c r="Z980" s="285"/>
      <c r="AA980" s="285"/>
      <c r="AB980" s="285"/>
      <c r="AC980" s="285"/>
      <c r="AD980" s="285"/>
    </row>
    <row r="98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c r="Y981" s="285"/>
      <c r="Z981" s="285"/>
      <c r="AA981" s="285"/>
      <c r="AB981" s="285"/>
      <c r="AC981" s="285"/>
      <c r="AD981" s="285"/>
    </row>
    <row r="982">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c r="Y982" s="285"/>
      <c r="Z982" s="285"/>
      <c r="AA982" s="285"/>
      <c r="AB982" s="285"/>
      <c r="AC982" s="285"/>
      <c r="AD982" s="285"/>
    </row>
    <row r="983">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c r="Y983" s="285"/>
      <c r="Z983" s="285"/>
      <c r="AA983" s="285"/>
      <c r="AB983" s="285"/>
      <c r="AC983" s="285"/>
      <c r="AD983" s="285"/>
    </row>
    <row r="984">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c r="Y984" s="285"/>
      <c r="Z984" s="285"/>
      <c r="AA984" s="285"/>
      <c r="AB984" s="285"/>
      <c r="AC984" s="285"/>
      <c r="AD984" s="285"/>
    </row>
    <row r="985">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c r="Y985" s="285"/>
      <c r="Z985" s="285"/>
      <c r="AA985" s="285"/>
      <c r="AB985" s="285"/>
      <c r="AC985" s="285"/>
      <c r="AD985" s="285"/>
    </row>
    <row r="986">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c r="Y986" s="285"/>
      <c r="Z986" s="285"/>
      <c r="AA986" s="285"/>
      <c r="AB986" s="285"/>
      <c r="AC986" s="285"/>
      <c r="AD986" s="285"/>
    </row>
    <row r="987">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c r="Y987" s="285"/>
      <c r="Z987" s="285"/>
      <c r="AA987" s="285"/>
      <c r="AB987" s="285"/>
      <c r="AC987" s="285"/>
      <c r="AD987" s="285"/>
    </row>
    <row r="988">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c r="Y988" s="285"/>
      <c r="Z988" s="285"/>
      <c r="AA988" s="285"/>
      <c r="AB988" s="285"/>
      <c r="AC988" s="285"/>
      <c r="AD988" s="285"/>
    </row>
    <row r="989">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c r="Y989" s="285"/>
      <c r="Z989" s="285"/>
      <c r="AA989" s="285"/>
      <c r="AB989" s="285"/>
      <c r="AC989" s="285"/>
      <c r="AD989" s="285"/>
    </row>
    <row r="990">
      <c r="A990" s="285"/>
      <c r="B990" s="285"/>
      <c r="C990" s="285"/>
      <c r="D990" s="285"/>
      <c r="E990" s="285"/>
      <c r="F990" s="285"/>
      <c r="G990" s="285"/>
      <c r="H990" s="285"/>
      <c r="I990" s="285"/>
      <c r="J990" s="285"/>
      <c r="K990" s="285"/>
      <c r="L990" s="285"/>
      <c r="M990" s="285"/>
      <c r="N990" s="285"/>
      <c r="O990" s="285"/>
      <c r="P990" s="285"/>
      <c r="Q990" s="285"/>
      <c r="R990" s="285"/>
      <c r="S990" s="285"/>
      <c r="T990" s="285"/>
      <c r="U990" s="285"/>
      <c r="V990" s="285"/>
      <c r="W990" s="285"/>
      <c r="X990" s="285"/>
      <c r="Y990" s="285"/>
      <c r="Z990" s="285"/>
      <c r="AA990" s="285"/>
      <c r="AB990" s="285"/>
      <c r="AC990" s="285"/>
      <c r="AD990" s="285"/>
    </row>
    <row r="991">
      <c r="A991" s="285"/>
      <c r="B991" s="285"/>
      <c r="C991" s="285"/>
      <c r="D991" s="285"/>
      <c r="E991" s="285"/>
      <c r="F991" s="285"/>
      <c r="G991" s="285"/>
      <c r="H991" s="285"/>
      <c r="I991" s="285"/>
      <c r="J991" s="285"/>
      <c r="K991" s="285"/>
      <c r="L991" s="285"/>
      <c r="M991" s="285"/>
      <c r="N991" s="285"/>
      <c r="O991" s="285"/>
      <c r="P991" s="285"/>
      <c r="Q991" s="285"/>
      <c r="R991" s="285"/>
      <c r="S991" s="285"/>
      <c r="T991" s="285"/>
      <c r="U991" s="285"/>
      <c r="V991" s="285"/>
      <c r="W991" s="285"/>
      <c r="X991" s="285"/>
      <c r="Y991" s="285"/>
      <c r="Z991" s="285"/>
      <c r="AA991" s="285"/>
      <c r="AB991" s="285"/>
      <c r="AC991" s="285"/>
      <c r="AD991" s="285"/>
    </row>
    <row r="992">
      <c r="A992" s="285"/>
      <c r="B992" s="285"/>
      <c r="C992" s="285"/>
      <c r="D992" s="285"/>
      <c r="E992" s="285"/>
      <c r="F992" s="285"/>
      <c r="G992" s="285"/>
      <c r="H992" s="285"/>
      <c r="I992" s="285"/>
      <c r="J992" s="285"/>
      <c r="K992" s="285"/>
      <c r="L992" s="285"/>
      <c r="M992" s="285"/>
      <c r="N992" s="285"/>
      <c r="O992" s="285"/>
      <c r="P992" s="285"/>
      <c r="Q992" s="285"/>
      <c r="R992" s="285"/>
      <c r="S992" s="285"/>
      <c r="T992" s="285"/>
      <c r="U992" s="285"/>
      <c r="V992" s="285"/>
      <c r="W992" s="285"/>
      <c r="X992" s="285"/>
      <c r="Y992" s="285"/>
      <c r="Z992" s="285"/>
      <c r="AA992" s="285"/>
      <c r="AB992" s="285"/>
      <c r="AC992" s="285"/>
      <c r="AD992" s="285"/>
    </row>
    <row r="993">
      <c r="A993" s="285"/>
      <c r="B993" s="285"/>
      <c r="C993" s="285"/>
      <c r="D993" s="285"/>
      <c r="E993" s="285"/>
      <c r="F993" s="285"/>
      <c r="G993" s="285"/>
      <c r="H993" s="285"/>
      <c r="I993" s="285"/>
      <c r="J993" s="285"/>
      <c r="K993" s="285"/>
      <c r="L993" s="285"/>
      <c r="M993" s="285"/>
      <c r="N993" s="285"/>
      <c r="O993" s="285"/>
      <c r="P993" s="285"/>
      <c r="Q993" s="285"/>
      <c r="R993" s="285"/>
      <c r="S993" s="285"/>
      <c r="T993" s="285"/>
      <c r="U993" s="285"/>
      <c r="V993" s="285"/>
      <c r="W993" s="285"/>
      <c r="X993" s="285"/>
      <c r="Y993" s="285"/>
      <c r="Z993" s="285"/>
      <c r="AA993" s="285"/>
      <c r="AB993" s="285"/>
      <c r="AC993" s="285"/>
      <c r="AD993" s="285"/>
    </row>
    <row r="994">
      <c r="A994" s="285"/>
      <c r="B994" s="285"/>
      <c r="C994" s="285"/>
      <c r="D994" s="285"/>
      <c r="E994" s="285"/>
      <c r="F994" s="285"/>
      <c r="G994" s="285"/>
      <c r="H994" s="285"/>
      <c r="I994" s="285"/>
      <c r="J994" s="285"/>
      <c r="K994" s="285"/>
      <c r="L994" s="285"/>
      <c r="M994" s="285"/>
      <c r="N994" s="285"/>
      <c r="O994" s="285"/>
      <c r="P994" s="285"/>
      <c r="Q994" s="285"/>
      <c r="R994" s="285"/>
      <c r="S994" s="285"/>
      <c r="T994" s="285"/>
      <c r="U994" s="285"/>
      <c r="V994" s="285"/>
      <c r="W994" s="285"/>
      <c r="X994" s="285"/>
      <c r="Y994" s="285"/>
      <c r="Z994" s="285"/>
      <c r="AA994" s="285"/>
      <c r="AB994" s="285"/>
      <c r="AC994" s="285"/>
      <c r="AD994" s="285"/>
    </row>
    <row r="995">
      <c r="A995" s="285"/>
      <c r="B995" s="285"/>
      <c r="C995" s="285"/>
      <c r="D995" s="285"/>
      <c r="E995" s="285"/>
      <c r="F995" s="285"/>
      <c r="G995" s="285"/>
      <c r="H995" s="285"/>
      <c r="I995" s="285"/>
      <c r="J995" s="285"/>
      <c r="K995" s="285"/>
      <c r="L995" s="285"/>
      <c r="M995" s="285"/>
      <c r="N995" s="285"/>
      <c r="O995" s="285"/>
      <c r="P995" s="285"/>
      <c r="Q995" s="285"/>
      <c r="R995" s="285"/>
      <c r="S995" s="285"/>
      <c r="T995" s="285"/>
      <c r="U995" s="285"/>
      <c r="V995" s="285"/>
      <c r="W995" s="285"/>
      <c r="X995" s="285"/>
      <c r="Y995" s="285"/>
      <c r="Z995" s="285"/>
      <c r="AA995" s="285"/>
      <c r="AB995" s="285"/>
      <c r="AC995" s="285"/>
      <c r="AD995" s="285"/>
    </row>
    <row r="996">
      <c r="A996" s="285"/>
      <c r="B996" s="285"/>
      <c r="C996" s="285"/>
      <c r="D996" s="285"/>
      <c r="E996" s="285"/>
      <c r="F996" s="285"/>
      <c r="G996" s="285"/>
      <c r="H996" s="285"/>
      <c r="I996" s="285"/>
      <c r="J996" s="285"/>
      <c r="K996" s="285"/>
      <c r="L996" s="285"/>
      <c r="M996" s="285"/>
      <c r="N996" s="285"/>
      <c r="O996" s="285"/>
      <c r="P996" s="285"/>
      <c r="Q996" s="285"/>
      <c r="R996" s="285"/>
      <c r="S996" s="285"/>
      <c r="T996" s="285"/>
      <c r="U996" s="285"/>
      <c r="V996" s="285"/>
      <c r="W996" s="285"/>
      <c r="X996" s="285"/>
      <c r="Y996" s="285"/>
      <c r="Z996" s="285"/>
      <c r="AA996" s="285"/>
      <c r="AB996" s="285"/>
      <c r="AC996" s="285"/>
      <c r="AD996" s="285"/>
    </row>
    <row r="997">
      <c r="A997" s="285"/>
      <c r="B997" s="285"/>
      <c r="C997" s="285"/>
      <c r="D997" s="285"/>
      <c r="E997" s="285"/>
      <c r="F997" s="285"/>
      <c r="G997" s="285"/>
      <c r="H997" s="285"/>
      <c r="I997" s="285"/>
      <c r="J997" s="285"/>
      <c r="K997" s="285"/>
      <c r="L997" s="285"/>
      <c r="M997" s="285"/>
      <c r="N997" s="285"/>
      <c r="O997" s="285"/>
      <c r="P997" s="285"/>
      <c r="Q997" s="285"/>
      <c r="R997" s="285"/>
      <c r="S997" s="285"/>
      <c r="T997" s="285"/>
      <c r="U997" s="285"/>
      <c r="V997" s="285"/>
      <c r="W997" s="285"/>
      <c r="X997" s="285"/>
      <c r="Y997" s="285"/>
      <c r="Z997" s="285"/>
      <c r="AA997" s="285"/>
      <c r="AB997" s="285"/>
      <c r="AC997" s="285"/>
      <c r="AD997" s="285"/>
    </row>
    <row r="998">
      <c r="A998" s="285"/>
      <c r="B998" s="285"/>
      <c r="C998" s="285"/>
      <c r="D998" s="285"/>
      <c r="E998" s="285"/>
      <c r="F998" s="285"/>
      <c r="G998" s="285"/>
      <c r="H998" s="285"/>
      <c r="I998" s="285"/>
      <c r="J998" s="285"/>
      <c r="K998" s="285"/>
      <c r="L998" s="285"/>
      <c r="M998" s="285"/>
      <c r="N998" s="285"/>
      <c r="O998" s="285"/>
      <c r="P998" s="285"/>
      <c r="Q998" s="285"/>
      <c r="R998" s="285"/>
      <c r="S998" s="285"/>
      <c r="T998" s="285"/>
      <c r="U998" s="285"/>
      <c r="V998" s="285"/>
      <c r="W998" s="285"/>
      <c r="X998" s="285"/>
      <c r="Y998" s="285"/>
      <c r="Z998" s="285"/>
      <c r="AA998" s="285"/>
      <c r="AB998" s="285"/>
      <c r="AC998" s="285"/>
      <c r="AD998" s="285"/>
    </row>
    <row r="999">
      <c r="A999" s="285"/>
      <c r="B999" s="285"/>
      <c r="C999" s="285"/>
      <c r="D999" s="285"/>
      <c r="E999" s="285"/>
      <c r="F999" s="285"/>
      <c r="G999" s="285"/>
      <c r="H999" s="285"/>
      <c r="I999" s="285"/>
      <c r="J999" s="285"/>
      <c r="K999" s="285"/>
      <c r="L999" s="285"/>
      <c r="M999" s="285"/>
      <c r="N999" s="285"/>
      <c r="O999" s="285"/>
      <c r="P999" s="285"/>
      <c r="Q999" s="285"/>
      <c r="R999" s="285"/>
      <c r="S999" s="285"/>
      <c r="T999" s="285"/>
      <c r="U999" s="285"/>
      <c r="V999" s="285"/>
      <c r="W999" s="285"/>
      <c r="X999" s="285"/>
      <c r="Y999" s="285"/>
      <c r="Z999" s="285"/>
      <c r="AA999" s="285"/>
      <c r="AB999" s="285"/>
      <c r="AC999" s="285"/>
      <c r="AD999" s="285"/>
    </row>
    <row r="1000">
      <c r="A1000" s="285"/>
      <c r="B1000" s="285"/>
      <c r="C1000" s="285"/>
      <c r="D1000" s="285"/>
      <c r="E1000" s="285"/>
      <c r="F1000" s="285"/>
      <c r="G1000" s="285"/>
      <c r="H1000" s="285"/>
      <c r="I1000" s="285"/>
      <c r="J1000" s="285"/>
      <c r="K1000" s="285"/>
      <c r="L1000" s="285"/>
      <c r="M1000" s="285"/>
      <c r="N1000" s="285"/>
      <c r="O1000" s="285"/>
      <c r="P1000" s="285"/>
      <c r="Q1000" s="285"/>
      <c r="R1000" s="285"/>
      <c r="S1000" s="285"/>
      <c r="T1000" s="285"/>
      <c r="U1000" s="285"/>
      <c r="V1000" s="285"/>
      <c r="W1000" s="285"/>
      <c r="X1000" s="285"/>
      <c r="Y1000" s="285"/>
      <c r="Z1000" s="285"/>
      <c r="AA1000" s="285"/>
      <c r="AB1000" s="285"/>
      <c r="AC1000" s="285"/>
      <c r="AD1000" s="285"/>
    </row>
    <row r="1001">
      <c r="A1001" s="285"/>
      <c r="B1001" s="285"/>
      <c r="C1001" s="285"/>
      <c r="D1001" s="285"/>
      <c r="E1001" s="285"/>
      <c r="F1001" s="285"/>
      <c r="G1001" s="285"/>
      <c r="H1001" s="285"/>
      <c r="I1001" s="285"/>
      <c r="J1001" s="285"/>
      <c r="K1001" s="285"/>
      <c r="L1001" s="285"/>
      <c r="M1001" s="285"/>
      <c r="N1001" s="285"/>
      <c r="O1001" s="285"/>
      <c r="P1001" s="285"/>
      <c r="Q1001" s="285"/>
      <c r="R1001" s="285"/>
      <c r="S1001" s="285"/>
      <c r="T1001" s="285"/>
      <c r="U1001" s="285"/>
      <c r="V1001" s="285"/>
      <c r="W1001" s="285"/>
      <c r="X1001" s="285"/>
      <c r="Y1001" s="285"/>
      <c r="Z1001" s="285"/>
      <c r="AA1001" s="285"/>
      <c r="AB1001" s="285"/>
      <c r="AC1001" s="285"/>
      <c r="AD1001" s="285"/>
    </row>
    <row r="1002">
      <c r="A1002" s="285"/>
      <c r="B1002" s="285"/>
      <c r="C1002" s="285"/>
      <c r="D1002" s="285"/>
      <c r="E1002" s="285"/>
      <c r="F1002" s="285"/>
      <c r="G1002" s="285"/>
      <c r="H1002" s="285"/>
      <c r="I1002" s="285"/>
      <c r="J1002" s="285"/>
      <c r="K1002" s="285"/>
      <c r="L1002" s="285"/>
      <c r="M1002" s="285"/>
      <c r="N1002" s="285"/>
      <c r="O1002" s="285"/>
      <c r="P1002" s="285"/>
      <c r="Q1002" s="285"/>
      <c r="R1002" s="285"/>
      <c r="S1002" s="285"/>
      <c r="T1002" s="285"/>
      <c r="U1002" s="285"/>
      <c r="V1002" s="285"/>
      <c r="W1002" s="285"/>
      <c r="X1002" s="285"/>
      <c r="Y1002" s="285"/>
      <c r="Z1002" s="285"/>
      <c r="AA1002" s="285"/>
      <c r="AB1002" s="285"/>
      <c r="AC1002" s="285"/>
      <c r="AD1002" s="285"/>
    </row>
    <row r="1003">
      <c r="A1003" s="285"/>
      <c r="B1003" s="285"/>
      <c r="C1003" s="285"/>
      <c r="D1003" s="285"/>
      <c r="E1003" s="285"/>
      <c r="F1003" s="285"/>
      <c r="G1003" s="285"/>
      <c r="H1003" s="285"/>
      <c r="I1003" s="285"/>
      <c r="J1003" s="285"/>
      <c r="K1003" s="285"/>
      <c r="L1003" s="285"/>
      <c r="M1003" s="285"/>
      <c r="N1003" s="285"/>
      <c r="O1003" s="285"/>
      <c r="P1003" s="285"/>
      <c r="Q1003" s="285"/>
      <c r="R1003" s="285"/>
      <c r="S1003" s="285"/>
      <c r="T1003" s="285"/>
      <c r="U1003" s="285"/>
      <c r="V1003" s="285"/>
      <c r="W1003" s="285"/>
      <c r="X1003" s="285"/>
      <c r="Y1003" s="285"/>
      <c r="Z1003" s="285"/>
      <c r="AA1003" s="285"/>
      <c r="AB1003" s="285"/>
      <c r="AC1003" s="285"/>
      <c r="AD1003" s="285"/>
    </row>
    <row r="1004">
      <c r="A1004" s="285"/>
      <c r="B1004" s="285"/>
      <c r="C1004" s="285"/>
      <c r="D1004" s="285"/>
      <c r="E1004" s="285"/>
      <c r="F1004" s="285"/>
      <c r="G1004" s="285"/>
      <c r="H1004" s="285"/>
      <c r="I1004" s="285"/>
      <c r="J1004" s="285"/>
      <c r="K1004" s="285"/>
      <c r="L1004" s="285"/>
      <c r="M1004" s="285"/>
      <c r="N1004" s="285"/>
      <c r="O1004" s="285"/>
      <c r="P1004" s="285"/>
      <c r="Q1004" s="285"/>
      <c r="R1004" s="285"/>
      <c r="S1004" s="285"/>
      <c r="T1004" s="285"/>
      <c r="U1004" s="285"/>
      <c r="V1004" s="285"/>
      <c r="W1004" s="285"/>
      <c r="X1004" s="285"/>
      <c r="Y1004" s="285"/>
      <c r="Z1004" s="285"/>
      <c r="AA1004" s="285"/>
      <c r="AB1004" s="285"/>
      <c r="AC1004" s="285"/>
      <c r="AD1004" s="285"/>
    </row>
    <row r="1005">
      <c r="A1005" s="285"/>
      <c r="B1005" s="285"/>
      <c r="C1005" s="285"/>
      <c r="D1005" s="285"/>
      <c r="E1005" s="285"/>
      <c r="F1005" s="285"/>
      <c r="G1005" s="285"/>
      <c r="H1005" s="285"/>
      <c r="I1005" s="285"/>
      <c r="J1005" s="285"/>
      <c r="K1005" s="285"/>
      <c r="L1005" s="285"/>
      <c r="M1005" s="285"/>
      <c r="N1005" s="285"/>
      <c r="O1005" s="285"/>
      <c r="P1005" s="285"/>
      <c r="Q1005" s="285"/>
      <c r="R1005" s="285"/>
      <c r="S1005" s="285"/>
      <c r="T1005" s="285"/>
      <c r="U1005" s="285"/>
      <c r="V1005" s="285"/>
      <c r="W1005" s="285"/>
      <c r="X1005" s="285"/>
      <c r="Y1005" s="285"/>
      <c r="Z1005" s="285"/>
      <c r="AA1005" s="285"/>
      <c r="AB1005" s="285"/>
      <c r="AC1005" s="285"/>
      <c r="AD1005" s="285"/>
    </row>
    <row r="1006">
      <c r="A1006" s="285"/>
      <c r="B1006" s="285"/>
      <c r="C1006" s="285"/>
      <c r="D1006" s="285"/>
      <c r="E1006" s="285"/>
      <c r="F1006" s="285"/>
      <c r="G1006" s="285"/>
      <c r="H1006" s="285"/>
      <c r="I1006" s="285"/>
      <c r="J1006" s="285"/>
      <c r="K1006" s="285"/>
      <c r="L1006" s="285"/>
      <c r="M1006" s="285"/>
      <c r="N1006" s="285"/>
      <c r="O1006" s="285"/>
      <c r="P1006" s="285"/>
      <c r="Q1006" s="285"/>
      <c r="R1006" s="285"/>
      <c r="S1006" s="285"/>
      <c r="T1006" s="285"/>
      <c r="U1006" s="285"/>
      <c r="V1006" s="285"/>
      <c r="W1006" s="285"/>
      <c r="X1006" s="285"/>
      <c r="Y1006" s="285"/>
      <c r="Z1006" s="285"/>
      <c r="AA1006" s="285"/>
      <c r="AB1006" s="285"/>
      <c r="AC1006" s="285"/>
      <c r="AD1006" s="285"/>
    </row>
    <row r="1007">
      <c r="A1007" s="285"/>
      <c r="B1007" s="285"/>
      <c r="C1007" s="285"/>
      <c r="D1007" s="285"/>
      <c r="E1007" s="285"/>
      <c r="F1007" s="285"/>
      <c r="G1007" s="285"/>
      <c r="H1007" s="285"/>
      <c r="I1007" s="285"/>
      <c r="J1007" s="285"/>
      <c r="K1007" s="285"/>
      <c r="L1007" s="285"/>
      <c r="M1007" s="285"/>
      <c r="N1007" s="285"/>
      <c r="O1007" s="285"/>
      <c r="P1007" s="285"/>
      <c r="Q1007" s="285"/>
      <c r="R1007" s="285"/>
      <c r="S1007" s="285"/>
      <c r="T1007" s="285"/>
      <c r="U1007" s="285"/>
      <c r="V1007" s="285"/>
      <c r="W1007" s="285"/>
      <c r="X1007" s="285"/>
      <c r="Y1007" s="285"/>
      <c r="Z1007" s="285"/>
      <c r="AA1007" s="285"/>
      <c r="AB1007" s="285"/>
      <c r="AC1007" s="285"/>
      <c r="AD1007" s="285"/>
    </row>
    <row r="1008">
      <c r="A1008" s="285"/>
      <c r="B1008" s="285"/>
      <c r="C1008" s="285"/>
      <c r="D1008" s="285"/>
      <c r="E1008" s="285"/>
      <c r="F1008" s="285"/>
      <c r="G1008" s="285"/>
      <c r="H1008" s="285"/>
      <c r="I1008" s="285"/>
      <c r="J1008" s="285"/>
      <c r="K1008" s="285"/>
      <c r="L1008" s="285"/>
      <c r="M1008" s="285"/>
      <c r="N1008" s="285"/>
      <c r="O1008" s="285"/>
      <c r="P1008" s="285"/>
      <c r="Q1008" s="285"/>
      <c r="R1008" s="285"/>
      <c r="S1008" s="285"/>
      <c r="T1008" s="285"/>
      <c r="U1008" s="285"/>
      <c r="V1008" s="285"/>
      <c r="W1008" s="285"/>
      <c r="X1008" s="285"/>
      <c r="Y1008" s="285"/>
      <c r="Z1008" s="285"/>
      <c r="AA1008" s="285"/>
      <c r="AB1008" s="285"/>
      <c r="AC1008" s="285"/>
      <c r="AD1008" s="285"/>
    </row>
    <row r="1009">
      <c r="A1009" s="285"/>
      <c r="B1009" s="285"/>
      <c r="C1009" s="285"/>
      <c r="D1009" s="285"/>
      <c r="E1009" s="285"/>
      <c r="F1009" s="285"/>
      <c r="G1009" s="285"/>
      <c r="H1009" s="285"/>
      <c r="I1009" s="285"/>
      <c r="J1009" s="285"/>
      <c r="K1009" s="285"/>
      <c r="L1009" s="285"/>
      <c r="M1009" s="285"/>
      <c r="N1009" s="285"/>
      <c r="O1009" s="285"/>
      <c r="P1009" s="285"/>
      <c r="Q1009" s="285"/>
      <c r="R1009" s="285"/>
      <c r="S1009" s="285"/>
      <c r="T1009" s="285"/>
      <c r="U1009" s="285"/>
      <c r="V1009" s="285"/>
      <c r="W1009" s="285"/>
      <c r="X1009" s="285"/>
      <c r="Y1009" s="285"/>
      <c r="Z1009" s="285"/>
      <c r="AA1009" s="285"/>
      <c r="AB1009" s="285"/>
      <c r="AC1009" s="285"/>
      <c r="AD1009" s="285"/>
    </row>
    <row r="1010">
      <c r="A1010" s="285"/>
      <c r="B1010" s="285"/>
      <c r="C1010" s="285"/>
      <c r="D1010" s="285"/>
      <c r="E1010" s="285"/>
      <c r="F1010" s="285"/>
      <c r="G1010" s="285"/>
      <c r="H1010" s="285"/>
      <c r="I1010" s="285"/>
      <c r="J1010" s="285"/>
      <c r="K1010" s="285"/>
      <c r="L1010" s="285"/>
      <c r="M1010" s="285"/>
      <c r="N1010" s="285"/>
      <c r="O1010" s="285"/>
      <c r="P1010" s="285"/>
      <c r="Q1010" s="285"/>
      <c r="R1010" s="285"/>
      <c r="S1010" s="285"/>
      <c r="T1010" s="285"/>
      <c r="U1010" s="285"/>
      <c r="V1010" s="285"/>
      <c r="W1010" s="285"/>
      <c r="X1010" s="285"/>
      <c r="Y1010" s="285"/>
      <c r="Z1010" s="285"/>
      <c r="AA1010" s="285"/>
      <c r="AB1010" s="285"/>
      <c r="AC1010" s="285"/>
      <c r="AD1010" s="285"/>
    </row>
    <row r="1011">
      <c r="A1011" s="285"/>
      <c r="B1011" s="285"/>
      <c r="C1011" s="285"/>
      <c r="D1011" s="285"/>
      <c r="E1011" s="285"/>
      <c r="F1011" s="285"/>
      <c r="G1011" s="285"/>
      <c r="H1011" s="285"/>
      <c r="I1011" s="285"/>
      <c r="J1011" s="285"/>
      <c r="K1011" s="285"/>
      <c r="L1011" s="285"/>
      <c r="M1011" s="285"/>
      <c r="N1011" s="285"/>
      <c r="O1011" s="285"/>
      <c r="P1011" s="285"/>
      <c r="Q1011" s="285"/>
      <c r="R1011" s="285"/>
      <c r="S1011" s="285"/>
      <c r="T1011" s="285"/>
      <c r="U1011" s="285"/>
      <c r="V1011" s="285"/>
      <c r="W1011" s="285"/>
      <c r="X1011" s="285"/>
      <c r="Y1011" s="285"/>
      <c r="Z1011" s="285"/>
      <c r="AA1011" s="285"/>
      <c r="AB1011" s="285"/>
      <c r="AC1011" s="285"/>
      <c r="AD1011" s="285"/>
    </row>
    <row r="1012">
      <c r="A1012" s="285"/>
      <c r="B1012" s="285"/>
      <c r="C1012" s="285"/>
      <c r="D1012" s="285"/>
      <c r="E1012" s="285"/>
      <c r="F1012" s="285"/>
      <c r="G1012" s="285"/>
      <c r="H1012" s="285"/>
      <c r="I1012" s="285"/>
      <c r="J1012" s="285"/>
      <c r="K1012" s="285"/>
      <c r="L1012" s="285"/>
      <c r="M1012" s="285"/>
      <c r="N1012" s="285"/>
      <c r="O1012" s="285"/>
      <c r="P1012" s="285"/>
      <c r="Q1012" s="285"/>
      <c r="R1012" s="285"/>
      <c r="S1012" s="285"/>
      <c r="T1012" s="285"/>
      <c r="U1012" s="285"/>
      <c r="V1012" s="285"/>
      <c r="W1012" s="285"/>
      <c r="X1012" s="285"/>
      <c r="Y1012" s="285"/>
      <c r="Z1012" s="285"/>
      <c r="AA1012" s="285"/>
      <c r="AB1012" s="285"/>
      <c r="AC1012" s="285"/>
      <c r="AD1012" s="285"/>
    </row>
    <row r="1013">
      <c r="A1013" s="285"/>
      <c r="B1013" s="285"/>
      <c r="C1013" s="285"/>
      <c r="D1013" s="285"/>
      <c r="E1013" s="285"/>
      <c r="F1013" s="285"/>
      <c r="G1013" s="285"/>
      <c r="H1013" s="285"/>
      <c r="I1013" s="285"/>
      <c r="J1013" s="285"/>
      <c r="K1013" s="285"/>
      <c r="L1013" s="285"/>
      <c r="M1013" s="285"/>
      <c r="N1013" s="285"/>
      <c r="O1013" s="285"/>
      <c r="P1013" s="285"/>
      <c r="Q1013" s="285"/>
      <c r="R1013" s="285"/>
      <c r="S1013" s="285"/>
      <c r="T1013" s="285"/>
      <c r="U1013" s="285"/>
      <c r="V1013" s="285"/>
      <c r="W1013" s="285"/>
      <c r="X1013" s="285"/>
      <c r="Y1013" s="285"/>
      <c r="Z1013" s="285"/>
      <c r="AA1013" s="285"/>
      <c r="AB1013" s="285"/>
      <c r="AC1013" s="285"/>
      <c r="AD1013" s="285"/>
    </row>
    <row r="1014">
      <c r="A1014" s="285"/>
      <c r="B1014" s="285"/>
      <c r="C1014" s="285"/>
      <c r="D1014" s="285"/>
      <c r="E1014" s="285"/>
      <c r="F1014" s="285"/>
      <c r="G1014" s="285"/>
      <c r="H1014" s="285"/>
      <c r="I1014" s="285"/>
      <c r="J1014" s="285"/>
      <c r="K1014" s="285"/>
      <c r="L1014" s="285"/>
      <c r="M1014" s="285"/>
      <c r="N1014" s="285"/>
      <c r="O1014" s="285"/>
      <c r="P1014" s="285"/>
      <c r="Q1014" s="285"/>
      <c r="R1014" s="285"/>
      <c r="S1014" s="285"/>
      <c r="T1014" s="285"/>
      <c r="U1014" s="285"/>
      <c r="V1014" s="285"/>
      <c r="W1014" s="285"/>
      <c r="X1014" s="285"/>
      <c r="Y1014" s="285"/>
      <c r="Z1014" s="285"/>
      <c r="AA1014" s="285"/>
      <c r="AB1014" s="285"/>
      <c r="AC1014" s="285"/>
      <c r="AD1014" s="285"/>
    </row>
    <row r="1015">
      <c r="A1015" s="285"/>
      <c r="B1015" s="285"/>
      <c r="C1015" s="285"/>
      <c r="D1015" s="285"/>
      <c r="E1015" s="285"/>
      <c r="F1015" s="285"/>
      <c r="G1015" s="285"/>
      <c r="H1015" s="285"/>
      <c r="I1015" s="285"/>
      <c r="J1015" s="285"/>
      <c r="K1015" s="285"/>
      <c r="L1015" s="285"/>
      <c r="M1015" s="285"/>
      <c r="N1015" s="285"/>
      <c r="O1015" s="285"/>
      <c r="P1015" s="285"/>
      <c r="Q1015" s="285"/>
      <c r="R1015" s="285"/>
      <c r="S1015" s="285"/>
      <c r="T1015" s="285"/>
      <c r="U1015" s="285"/>
      <c r="V1015" s="285"/>
      <c r="W1015" s="285"/>
      <c r="X1015" s="285"/>
      <c r="Y1015" s="285"/>
      <c r="Z1015" s="285"/>
      <c r="AA1015" s="285"/>
      <c r="AB1015" s="285"/>
      <c r="AC1015" s="285"/>
      <c r="AD1015" s="285"/>
    </row>
    <row r="1016">
      <c r="A1016" s="285"/>
      <c r="B1016" s="285"/>
      <c r="C1016" s="285"/>
      <c r="D1016" s="285"/>
      <c r="E1016" s="285"/>
      <c r="F1016" s="285"/>
      <c r="G1016" s="285"/>
      <c r="H1016" s="285"/>
      <c r="I1016" s="285"/>
      <c r="J1016" s="285"/>
      <c r="K1016" s="285"/>
      <c r="L1016" s="285"/>
      <c r="M1016" s="285"/>
      <c r="N1016" s="285"/>
      <c r="O1016" s="285"/>
      <c r="P1016" s="285"/>
      <c r="Q1016" s="285"/>
      <c r="R1016" s="285"/>
      <c r="S1016" s="285"/>
      <c r="T1016" s="285"/>
      <c r="U1016" s="285"/>
      <c r="V1016" s="285"/>
      <c r="W1016" s="285"/>
      <c r="X1016" s="285"/>
      <c r="Y1016" s="285"/>
      <c r="Z1016" s="285"/>
      <c r="AA1016" s="285"/>
      <c r="AB1016" s="285"/>
      <c r="AC1016" s="285"/>
      <c r="AD1016" s="285"/>
    </row>
    <row r="1017">
      <c r="A1017" s="285"/>
      <c r="B1017" s="285"/>
      <c r="C1017" s="285"/>
      <c r="D1017" s="285"/>
      <c r="E1017" s="285"/>
      <c r="F1017" s="285"/>
      <c r="G1017" s="285"/>
      <c r="H1017" s="285"/>
      <c r="I1017" s="285"/>
      <c r="J1017" s="285"/>
      <c r="K1017" s="285"/>
      <c r="L1017" s="285"/>
      <c r="M1017" s="285"/>
      <c r="N1017" s="285"/>
      <c r="O1017" s="285"/>
      <c r="P1017" s="285"/>
      <c r="Q1017" s="285"/>
      <c r="R1017" s="285"/>
      <c r="S1017" s="285"/>
      <c r="T1017" s="285"/>
      <c r="U1017" s="285"/>
      <c r="V1017" s="285"/>
      <c r="W1017" s="285"/>
      <c r="X1017" s="285"/>
      <c r="Y1017" s="285"/>
      <c r="Z1017" s="285"/>
      <c r="AA1017" s="285"/>
      <c r="AB1017" s="285"/>
      <c r="AC1017" s="285"/>
      <c r="AD1017" s="285"/>
    </row>
    <row r="1018">
      <c r="A1018" s="285"/>
      <c r="B1018" s="285"/>
      <c r="C1018" s="285"/>
      <c r="D1018" s="285"/>
      <c r="E1018" s="285"/>
      <c r="F1018" s="285"/>
      <c r="G1018" s="285"/>
      <c r="H1018" s="285"/>
      <c r="I1018" s="285"/>
      <c r="J1018" s="285"/>
      <c r="K1018" s="285"/>
      <c r="L1018" s="285"/>
      <c r="M1018" s="285"/>
      <c r="N1018" s="285"/>
      <c r="O1018" s="285"/>
      <c r="P1018" s="285"/>
      <c r="Q1018" s="285"/>
      <c r="R1018" s="285"/>
      <c r="S1018" s="285"/>
      <c r="T1018" s="285"/>
      <c r="U1018" s="285"/>
      <c r="V1018" s="285"/>
      <c r="W1018" s="285"/>
      <c r="X1018" s="285"/>
      <c r="Y1018" s="285"/>
      <c r="Z1018" s="285"/>
      <c r="AA1018" s="285"/>
      <c r="AB1018" s="285"/>
      <c r="AC1018" s="285"/>
      <c r="AD1018" s="285"/>
    </row>
  </sheetData>
  <mergeCells count="11">
    <mergeCell ref="F22:H22"/>
    <mergeCell ref="F23:H23"/>
    <mergeCell ref="F24:H24"/>
    <mergeCell ref="F25:H25"/>
    <mergeCell ref="A6:J6"/>
    <mergeCell ref="F18:H18"/>
    <mergeCell ref="L18:N18"/>
    <mergeCell ref="F19:H19"/>
    <mergeCell ref="L19:N19"/>
    <mergeCell ref="F20:H20"/>
    <mergeCell ref="F21:H21"/>
  </mergeCells>
  <hyperlinks>
    <hyperlink r:id="rId1" ref="A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3.29"/>
    <col customWidth="1" min="2" max="2" width="3.14"/>
    <col customWidth="1" min="3" max="3" width="33.57"/>
    <col customWidth="1" min="4" max="4" width="22.29"/>
    <col customWidth="1" min="5" max="5" width="82.43"/>
    <col customWidth="1" min="6" max="6" width="19.86"/>
    <col customWidth="1" min="7" max="7" width="13.57"/>
    <col customWidth="1" min="8" max="8" width="16.71"/>
    <col customWidth="1" min="9" max="9" width="20.29"/>
    <col customWidth="1" min="10" max="14" width="16.57"/>
    <col customWidth="1" min="15" max="15" width="20.86"/>
    <col customWidth="1" min="16" max="17" width="16.57"/>
    <col customWidth="1" min="18" max="18" width="26.14"/>
    <col customWidth="1" min="19" max="19" width="26.86"/>
    <col customWidth="1" min="20" max="55" width="16.57"/>
    <col customWidth="1" hidden="1" min="56" max="59" width="16.57"/>
  </cols>
  <sheetData>
    <row r="1" ht="14.25" customHeight="1">
      <c r="A1" s="290"/>
      <c r="B1" s="291"/>
      <c r="C1" s="292"/>
      <c r="D1" s="293"/>
      <c r="E1" s="293"/>
      <c r="F1" s="293"/>
      <c r="G1" s="406"/>
      <c r="H1" s="407"/>
      <c r="I1" s="407"/>
      <c r="J1" s="407"/>
      <c r="K1" s="407"/>
      <c r="L1" s="407"/>
      <c r="M1" s="407"/>
      <c r="N1" s="407"/>
      <c r="O1" s="407"/>
      <c r="P1" s="407"/>
      <c r="Q1" s="407"/>
      <c r="R1" s="407"/>
      <c r="S1" s="407"/>
      <c r="T1" s="407"/>
      <c r="U1" s="407"/>
      <c r="V1" s="407"/>
      <c r="W1" s="407"/>
      <c r="X1" s="407"/>
      <c r="Y1" s="407"/>
      <c r="Z1" s="407"/>
      <c r="AA1" s="407"/>
      <c r="AB1" s="407"/>
      <c r="AC1" s="407"/>
      <c r="AD1" s="407"/>
      <c r="AE1" s="407"/>
      <c r="AF1" s="407"/>
      <c r="AG1" s="407"/>
      <c r="AH1" s="407"/>
      <c r="AI1" s="407"/>
      <c r="AJ1" s="407"/>
      <c r="AK1" s="407"/>
      <c r="AL1" s="407"/>
      <c r="AM1" s="407"/>
      <c r="AN1" s="407"/>
      <c r="AO1" s="407"/>
      <c r="AP1" s="407"/>
      <c r="AQ1" s="407"/>
      <c r="AR1" s="407"/>
      <c r="AS1" s="407"/>
      <c r="AT1" s="407"/>
      <c r="AU1" s="407"/>
      <c r="AV1" s="407"/>
      <c r="AW1" s="407"/>
      <c r="AX1" s="407"/>
      <c r="AY1" s="407"/>
      <c r="AZ1" s="407"/>
      <c r="BA1" s="407"/>
      <c r="BB1" s="407"/>
      <c r="BC1" s="407"/>
      <c r="BD1" s="407"/>
      <c r="BE1" s="407"/>
      <c r="BF1" s="407"/>
      <c r="BG1" s="407"/>
    </row>
    <row r="2" ht="14.25" customHeight="1">
      <c r="A2" s="408"/>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409"/>
      <c r="AO2" s="409"/>
      <c r="AP2" s="409"/>
      <c r="AQ2" s="409"/>
      <c r="AR2" s="409"/>
      <c r="AS2" s="409"/>
      <c r="AT2" s="409"/>
      <c r="AU2" s="409"/>
      <c r="AV2" s="409"/>
      <c r="AW2" s="409"/>
      <c r="AX2" s="409"/>
      <c r="AY2" s="409"/>
      <c r="AZ2" s="409"/>
      <c r="BA2" s="409"/>
      <c r="BB2" s="409"/>
      <c r="BC2" s="409"/>
      <c r="BD2" s="409"/>
      <c r="BE2" s="409"/>
      <c r="BF2" s="409"/>
      <c r="BG2" s="409"/>
    </row>
    <row r="3" ht="14.25" customHeight="1">
      <c r="A3" s="408"/>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A3" s="409"/>
      <c r="BB3" s="409"/>
      <c r="BC3" s="409"/>
      <c r="BD3" s="409"/>
      <c r="BE3" s="409"/>
      <c r="BF3" s="409"/>
      <c r="BG3" s="409"/>
    </row>
    <row r="4" ht="14.25" customHeight="1">
      <c r="A4" s="408"/>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409"/>
      <c r="AO4" s="409"/>
      <c r="AP4" s="409"/>
      <c r="AQ4" s="409"/>
      <c r="AR4" s="409"/>
      <c r="AS4" s="409"/>
      <c r="AT4" s="409"/>
      <c r="AU4" s="409"/>
      <c r="AV4" s="409"/>
      <c r="AW4" s="409"/>
      <c r="AX4" s="409"/>
      <c r="AY4" s="409"/>
      <c r="AZ4" s="409"/>
      <c r="BA4" s="409"/>
      <c r="BB4" s="409"/>
      <c r="BC4" s="409"/>
      <c r="BD4" s="409"/>
      <c r="BE4" s="409"/>
      <c r="BF4" s="409"/>
      <c r="BG4" s="409"/>
    </row>
    <row r="5" ht="14.25" customHeight="1">
      <c r="A5" s="408"/>
      <c r="B5" s="409"/>
      <c r="C5" s="410"/>
      <c r="D5" s="9"/>
      <c r="E5" s="9"/>
      <c r="F5" s="409"/>
      <c r="G5" s="409"/>
      <c r="H5" s="409"/>
      <c r="I5" s="409"/>
      <c r="J5" s="40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409"/>
      <c r="BF5" s="409"/>
      <c r="BG5" s="409"/>
    </row>
    <row r="6" ht="14.25" customHeight="1">
      <c r="A6" s="408"/>
      <c r="B6" s="411" t="s">
        <v>10</v>
      </c>
      <c r="C6" s="9"/>
      <c r="D6" s="412"/>
      <c r="E6" s="409"/>
      <c r="F6" s="409"/>
      <c r="G6" s="410"/>
      <c r="H6" s="409"/>
      <c r="I6" s="409"/>
      <c r="J6" s="40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409"/>
      <c r="BF6" s="409"/>
      <c r="BG6" s="409"/>
    </row>
    <row r="7" ht="14.25" customHeight="1">
      <c r="A7" s="408"/>
      <c r="B7" s="413" t="s">
        <v>308</v>
      </c>
      <c r="C7" s="9"/>
      <c r="D7" s="70"/>
      <c r="E7" s="409"/>
      <c r="F7" s="409"/>
      <c r="G7" s="410"/>
      <c r="H7" s="409"/>
      <c r="I7" s="409"/>
      <c r="J7" s="40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409"/>
      <c r="BF7" s="409"/>
      <c r="BG7" s="409"/>
    </row>
    <row r="8" ht="14.25" customHeight="1">
      <c r="A8" s="408"/>
      <c r="B8" s="409"/>
      <c r="C8" s="9"/>
      <c r="D8" s="9"/>
      <c r="E8" s="409"/>
      <c r="F8" s="409"/>
      <c r="G8" s="410"/>
      <c r="H8" s="409"/>
      <c r="I8" s="409"/>
      <c r="J8" s="40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409"/>
      <c r="BF8" s="409"/>
      <c r="BG8" s="409"/>
    </row>
    <row r="9" ht="14.25" customHeight="1">
      <c r="A9" s="408"/>
      <c r="B9" s="414"/>
      <c r="C9" s="414"/>
      <c r="D9" s="414"/>
      <c r="E9" s="414"/>
      <c r="F9" s="414"/>
      <c r="G9" s="414"/>
      <c r="H9" s="414"/>
      <c r="I9" s="414"/>
      <c r="J9" s="414"/>
      <c r="K9" s="414"/>
      <c r="L9" s="414"/>
      <c r="M9" s="414"/>
      <c r="N9" s="414"/>
      <c r="O9" s="414"/>
      <c r="P9" s="414"/>
      <c r="Q9" s="414"/>
      <c r="R9" s="414"/>
      <c r="S9" s="414"/>
      <c r="T9" s="414"/>
      <c r="U9" s="414"/>
      <c r="V9" s="414"/>
      <c r="W9" s="414"/>
      <c r="X9" s="414"/>
      <c r="Y9" s="414"/>
      <c r="Z9" s="414"/>
      <c r="AA9" s="414"/>
      <c r="AB9" s="414"/>
      <c r="AC9" s="414"/>
      <c r="AD9" s="414"/>
      <c r="AE9" s="414"/>
      <c r="AF9" s="414"/>
      <c r="AG9" s="414"/>
      <c r="AH9" s="414"/>
      <c r="AI9" s="414"/>
      <c r="AJ9" s="414"/>
      <c r="AK9" s="414"/>
      <c r="AL9" s="414"/>
      <c r="AM9" s="414"/>
      <c r="AN9" s="414"/>
      <c r="AO9" s="414"/>
      <c r="AP9" s="414"/>
      <c r="AQ9" s="414"/>
      <c r="AR9" s="414"/>
      <c r="AS9" s="414"/>
      <c r="AT9" s="414"/>
      <c r="AU9" s="414"/>
      <c r="AV9" s="414"/>
      <c r="AW9" s="414"/>
      <c r="AX9" s="414"/>
      <c r="AY9" s="414"/>
      <c r="AZ9" s="414"/>
      <c r="BA9" s="414"/>
      <c r="BB9" s="414"/>
      <c r="BC9" s="414"/>
      <c r="BD9" s="414"/>
      <c r="BE9" s="414"/>
      <c r="BF9" s="414"/>
      <c r="BG9" s="409"/>
    </row>
    <row r="10" ht="14.25" customHeight="1">
      <c r="A10" s="408"/>
      <c r="B10" s="409"/>
      <c r="C10" s="409"/>
      <c r="D10" s="409"/>
      <c r="E10" s="409"/>
      <c r="F10" s="40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row>
    <row r="11" ht="14.25" customHeight="1">
      <c r="A11" s="408"/>
      <c r="B11" s="409"/>
      <c r="C11" s="415" t="s">
        <v>309</v>
      </c>
      <c r="D11" s="409"/>
      <c r="E11" s="410"/>
      <c r="F11" s="409"/>
      <c r="G11" s="9"/>
      <c r="H11" s="9"/>
      <c r="I11" s="9"/>
      <c r="J11" s="9"/>
      <c r="K11" s="409"/>
      <c r="L11" s="409"/>
      <c r="M11" s="409"/>
      <c r="N11" s="409"/>
      <c r="O11" s="409"/>
      <c r="P11" s="409"/>
      <c r="Q11" s="409"/>
      <c r="R11" s="409"/>
      <c r="S11" s="409"/>
      <c r="T11" s="409"/>
      <c r="U11" s="409"/>
      <c r="V11" s="409"/>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c r="AV11" s="409"/>
      <c r="AW11" s="409"/>
      <c r="AX11" s="409"/>
      <c r="AY11" s="409"/>
      <c r="AZ11" s="409"/>
      <c r="BA11" s="409"/>
      <c r="BB11" s="409"/>
      <c r="BC11" s="409"/>
      <c r="BD11" s="409"/>
      <c r="BE11" s="409"/>
      <c r="BF11" s="409"/>
      <c r="BG11" s="409"/>
    </row>
    <row r="12" ht="14.25" customHeight="1">
      <c r="A12" s="408"/>
      <c r="B12" s="409"/>
      <c r="C12" s="411"/>
      <c r="D12" s="409"/>
      <c r="E12" s="409"/>
      <c r="F12" s="409"/>
      <c r="G12" s="9"/>
      <c r="H12" s="9"/>
      <c r="I12" s="9"/>
      <c r="J12" s="9"/>
      <c r="K12" s="409"/>
      <c r="L12" s="409"/>
      <c r="M12" s="409"/>
      <c r="N12" s="409"/>
      <c r="O12" s="409"/>
      <c r="P12" s="409"/>
      <c r="Q12" s="409"/>
      <c r="R12" s="409"/>
      <c r="S12" s="409"/>
      <c r="T12" s="409"/>
      <c r="U12" s="409"/>
      <c r="V12" s="409"/>
      <c r="W12" s="409"/>
      <c r="X12" s="409"/>
      <c r="Y12" s="409"/>
      <c r="Z12" s="409"/>
      <c r="AA12" s="409"/>
      <c r="AB12" s="409"/>
      <c r="AC12" s="409"/>
      <c r="AD12" s="409"/>
      <c r="AE12" s="409"/>
      <c r="AF12" s="409"/>
      <c r="AG12" s="409"/>
      <c r="AH12" s="409"/>
      <c r="AI12" s="409"/>
      <c r="AJ12" s="409"/>
      <c r="AK12" s="409"/>
      <c r="AL12" s="409"/>
      <c r="AM12" s="409"/>
      <c r="AN12" s="409"/>
      <c r="AO12" s="409"/>
      <c r="AP12" s="409"/>
      <c r="AQ12" s="409"/>
      <c r="AR12" s="409"/>
      <c r="AS12" s="409"/>
      <c r="AT12" s="409"/>
      <c r="AU12" s="409"/>
      <c r="AV12" s="409"/>
      <c r="AW12" s="409"/>
      <c r="AX12" s="409"/>
      <c r="AY12" s="409"/>
      <c r="AZ12" s="409"/>
      <c r="BA12" s="409"/>
      <c r="BB12" s="409"/>
      <c r="BC12" s="409"/>
      <c r="BD12" s="409"/>
      <c r="BE12" s="409"/>
      <c r="BF12" s="409"/>
      <c r="BG12" s="409"/>
    </row>
    <row r="13" ht="14.25" customHeight="1">
      <c r="A13" s="416" t="s">
        <v>310</v>
      </c>
      <c r="B13" s="414"/>
      <c r="C13" s="414"/>
      <c r="D13" s="414"/>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09"/>
    </row>
    <row r="14" ht="14.25" customHeight="1">
      <c r="A14" s="290"/>
      <c r="B14" s="291"/>
      <c r="C14" s="319" t="s">
        <v>311</v>
      </c>
      <c r="D14" s="293"/>
      <c r="E14" s="293"/>
      <c r="F14" s="293"/>
      <c r="G14" s="406"/>
      <c r="H14" s="407"/>
      <c r="I14" s="407"/>
      <c r="J14" s="407"/>
      <c r="K14" s="407"/>
      <c r="L14" s="407"/>
      <c r="M14" s="407"/>
      <c r="N14" s="407"/>
      <c r="O14" s="407"/>
      <c r="P14" s="407"/>
      <c r="Q14" s="407"/>
      <c r="R14" s="407"/>
      <c r="S14" s="407"/>
      <c r="T14" s="407"/>
      <c r="U14" s="407"/>
      <c r="V14" s="407"/>
      <c r="W14" s="407"/>
      <c r="X14" s="407"/>
      <c r="Y14" s="407"/>
      <c r="Z14" s="407"/>
      <c r="AA14" s="407"/>
      <c r="AB14" s="407"/>
      <c r="AC14" s="407"/>
      <c r="AD14" s="407"/>
      <c r="AE14" s="407"/>
      <c r="AF14" s="407"/>
      <c r="AG14" s="407"/>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7"/>
      <c r="BD14" s="407"/>
      <c r="BE14" s="407"/>
      <c r="BF14" s="407"/>
      <c r="BG14" s="407"/>
    </row>
    <row r="15" ht="14.25" customHeight="1">
      <c r="A15" s="305">
        <v>1.0</v>
      </c>
      <c r="B15" s="351"/>
      <c r="C15" s="307" t="s">
        <v>16</v>
      </c>
      <c r="F15" s="417" t="s">
        <v>312</v>
      </c>
      <c r="G15" s="418"/>
      <c r="H15" s="418"/>
      <c r="I15" s="418"/>
      <c r="J15" s="418"/>
      <c r="K15" s="418"/>
      <c r="L15" s="418"/>
      <c r="M15" s="418"/>
      <c r="N15" s="418"/>
      <c r="O15" s="418"/>
      <c r="P15" s="418"/>
      <c r="Q15" s="418"/>
      <c r="R15" s="418"/>
      <c r="S15" s="418"/>
      <c r="T15" s="418"/>
      <c r="U15" s="418"/>
      <c r="V15" s="418"/>
      <c r="W15" s="418"/>
      <c r="X15" s="418"/>
      <c r="Y15" s="418"/>
      <c r="Z15" s="418"/>
      <c r="AA15" s="418"/>
      <c r="AB15" s="418"/>
      <c r="AC15" s="418"/>
      <c r="AD15" s="418"/>
      <c r="AE15" s="418"/>
      <c r="AF15" s="418"/>
      <c r="AG15" s="418"/>
      <c r="AH15" s="418"/>
      <c r="AI15" s="418"/>
      <c r="AJ15" s="418"/>
      <c r="AK15" s="418"/>
      <c r="AL15" s="418"/>
      <c r="AM15" s="418"/>
      <c r="AN15" s="418"/>
      <c r="AO15" s="418"/>
      <c r="AP15" s="418"/>
      <c r="AQ15" s="418"/>
      <c r="AR15" s="418"/>
      <c r="AS15" s="418"/>
      <c r="AT15" s="418"/>
      <c r="AU15" s="418"/>
      <c r="AV15" s="418"/>
      <c r="AW15" s="418"/>
      <c r="AX15" s="418"/>
      <c r="AY15" s="418"/>
      <c r="AZ15" s="418"/>
      <c r="BA15" s="418"/>
      <c r="BB15" s="418"/>
      <c r="BC15" s="418"/>
      <c r="BD15" s="419"/>
      <c r="BE15" s="419"/>
      <c r="BF15" s="419"/>
      <c r="BG15" s="419"/>
    </row>
    <row r="16" ht="14.25" customHeight="1">
      <c r="A16" s="312">
        <f t="shared" ref="A16:A28" si="1">A15+1</f>
        <v>2</v>
      </c>
      <c r="B16" s="420"/>
      <c r="C16" s="337" t="s">
        <v>313</v>
      </c>
      <c r="F16" s="421" t="str">
        <f>LOWER(left($F$15,3))</f>
        <v>ccv</v>
      </c>
      <c r="G16" s="422"/>
      <c r="H16" s="423"/>
      <c r="I16" s="423"/>
      <c r="J16" s="423"/>
      <c r="K16" s="423"/>
      <c r="L16" s="423"/>
      <c r="M16" s="423"/>
      <c r="N16" s="423"/>
      <c r="O16" s="423"/>
      <c r="P16" s="423"/>
      <c r="Q16" s="423"/>
      <c r="R16" s="423"/>
      <c r="S16" s="423"/>
      <c r="T16" s="423"/>
      <c r="U16" s="423"/>
      <c r="V16" s="423"/>
      <c r="W16" s="423"/>
      <c r="X16" s="423"/>
      <c r="Y16" s="423"/>
      <c r="Z16" s="423"/>
      <c r="AA16" s="423"/>
      <c r="AB16" s="423"/>
      <c r="AC16" s="423"/>
      <c r="AD16" s="423"/>
      <c r="AE16" s="423"/>
      <c r="AF16" s="423"/>
      <c r="AG16" s="423"/>
      <c r="AH16" s="423"/>
      <c r="AI16" s="423"/>
      <c r="AJ16" s="423"/>
      <c r="AK16" s="423"/>
      <c r="AL16" s="423"/>
      <c r="AM16" s="423"/>
      <c r="AN16" s="423"/>
      <c r="AO16" s="423"/>
      <c r="AP16" s="423"/>
      <c r="AQ16" s="423"/>
      <c r="AR16" s="423"/>
      <c r="AS16" s="423"/>
      <c r="AT16" s="423"/>
      <c r="AU16" s="423"/>
      <c r="AV16" s="423"/>
      <c r="AW16" s="423"/>
      <c r="AX16" s="423"/>
      <c r="AY16" s="423"/>
      <c r="AZ16" s="423"/>
      <c r="BA16" s="423"/>
      <c r="BB16" s="423"/>
      <c r="BC16" s="423"/>
      <c r="BD16" s="424"/>
      <c r="BE16" s="424"/>
      <c r="BF16" s="424"/>
      <c r="BG16" s="424"/>
    </row>
    <row r="17" ht="14.25" customHeight="1">
      <c r="A17" s="342">
        <f t="shared" si="1"/>
        <v>3</v>
      </c>
      <c r="B17" s="351"/>
      <c r="C17" s="307" t="s">
        <v>314</v>
      </c>
      <c r="F17" s="425" t="s">
        <v>315</v>
      </c>
      <c r="G17" s="426" t="str">
        <f>if(isna(vlookup(concatenate("ALLUnsub Parameter",Menu!A5),'Preference Lookup'!D155:E171,2,false)),"",vlookup(concatenate("ALLUnsub Parameter",Menu!A5),'Preference Lookup'!D12:E171,2,false))</f>
        <v>#REF!</v>
      </c>
      <c r="H17" s="427" t="str">
        <f>if(isna(vlookup(concatenate("ALLUnsub Parameter",Menu!A5),'Preference Lookup'!D155:E171,2,false)),"",vlookup(concatenate("ALLUnsub Parameter",Menu!A5),'Preference Lookup'!D155:E171,2,false))</f>
        <v>#REF!</v>
      </c>
      <c r="I17" s="418"/>
      <c r="J17" s="418"/>
      <c r="K17" s="418"/>
      <c r="L17" s="418"/>
      <c r="M17" s="418"/>
      <c r="N17" s="428"/>
      <c r="O17" s="428"/>
      <c r="P17" s="428"/>
      <c r="Q17" s="428"/>
      <c r="R17" s="428"/>
      <c r="S17" s="428"/>
      <c r="T17" s="428"/>
      <c r="U17" s="428"/>
      <c r="V17" s="428"/>
      <c r="W17" s="428"/>
      <c r="X17" s="428"/>
      <c r="Y17" s="428"/>
      <c r="Z17" s="428"/>
      <c r="AA17" s="428"/>
      <c r="AB17" s="428"/>
      <c r="AC17" s="428"/>
      <c r="AD17" s="428"/>
      <c r="AE17" s="428"/>
      <c r="AF17" s="428"/>
      <c r="AG17" s="428"/>
      <c r="AH17" s="428"/>
      <c r="AI17" s="428"/>
      <c r="AJ17" s="428"/>
      <c r="AK17" s="428"/>
      <c r="AL17" s="428"/>
      <c r="AM17" s="428"/>
      <c r="AN17" s="428"/>
      <c r="AO17" s="428"/>
      <c r="AP17" s="428"/>
      <c r="AQ17" s="428"/>
      <c r="AR17" s="428"/>
      <c r="AS17" s="428"/>
      <c r="AT17" s="428"/>
      <c r="AU17" s="428"/>
      <c r="AV17" s="428"/>
      <c r="AW17" s="428"/>
      <c r="AX17" s="428"/>
      <c r="AY17" s="428"/>
      <c r="AZ17" s="428"/>
      <c r="BA17" s="428"/>
      <c r="BB17" s="428"/>
      <c r="BC17" s="428"/>
      <c r="BD17" s="429"/>
      <c r="BE17" s="429"/>
      <c r="BF17" s="429"/>
      <c r="BG17" s="429"/>
    </row>
    <row r="18" ht="14.25" customHeight="1">
      <c r="A18" s="312">
        <f t="shared" si="1"/>
        <v>4</v>
      </c>
      <c r="B18" s="420"/>
      <c r="C18" s="430" t="str">
        <f>HYPERLINK("https://docs.google.com/spreadsheets/d/1XQaTYaKkzuTidSYCj1Sr0cqNyuLL8kdKhd630ztvOYI/edit#gid=1329109951","Campaign Name / Type")</f>
        <v>Campaign Name / Type</v>
      </c>
      <c r="F18" s="431"/>
      <c r="G18" s="432"/>
      <c r="H18" s="433"/>
      <c r="I18" s="433"/>
      <c r="J18" s="433"/>
      <c r="K18" s="433"/>
      <c r="L18" s="433"/>
      <c r="M18" s="433"/>
      <c r="N18" s="433"/>
      <c r="O18" s="433"/>
      <c r="P18" s="433"/>
      <c r="Q18" s="433"/>
      <c r="R18" s="433"/>
      <c r="S18" s="433"/>
      <c r="T18" s="433"/>
      <c r="U18" s="433"/>
      <c r="V18" s="433"/>
      <c r="W18" s="433"/>
      <c r="X18" s="433"/>
      <c r="Y18" s="433"/>
      <c r="Z18" s="433"/>
      <c r="AA18" s="433"/>
      <c r="AB18" s="433"/>
      <c r="AC18" s="433"/>
      <c r="AD18" s="433"/>
      <c r="AE18" s="433"/>
      <c r="AF18" s="433"/>
      <c r="AG18" s="433"/>
      <c r="AH18" s="433"/>
      <c r="AI18" s="433"/>
      <c r="AJ18" s="433"/>
      <c r="AK18" s="433"/>
      <c r="AL18" s="433"/>
      <c r="AM18" s="433"/>
      <c r="AN18" s="433"/>
      <c r="AO18" s="433"/>
      <c r="AP18" s="433"/>
      <c r="AQ18" s="433"/>
      <c r="AR18" s="433"/>
      <c r="AS18" s="433"/>
      <c r="AT18" s="433"/>
      <c r="AU18" s="433"/>
      <c r="AV18" s="433"/>
      <c r="AW18" s="433"/>
      <c r="AX18" s="433"/>
      <c r="AY18" s="433"/>
      <c r="AZ18" s="433"/>
      <c r="BA18" s="433"/>
      <c r="BB18" s="433"/>
      <c r="BC18" s="433"/>
      <c r="BD18" s="433"/>
      <c r="BE18" s="424"/>
      <c r="BF18" s="424"/>
      <c r="BG18" s="424"/>
    </row>
    <row r="19" ht="14.25" customHeight="1">
      <c r="A19" s="342">
        <f t="shared" si="1"/>
        <v>5</v>
      </c>
      <c r="B19" s="351"/>
      <c r="C19" s="307" t="s">
        <v>316</v>
      </c>
      <c r="F19" s="434" t="s">
        <v>317</v>
      </c>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4"/>
      <c r="BD19" s="419"/>
      <c r="BE19" s="419"/>
      <c r="BF19" s="419"/>
      <c r="BG19" s="419"/>
    </row>
    <row r="20" ht="14.25" customHeight="1">
      <c r="A20" s="312">
        <f t="shared" si="1"/>
        <v>6</v>
      </c>
      <c r="B20" s="420"/>
      <c r="C20" s="337" t="s">
        <v>318</v>
      </c>
      <c r="F20" s="431" t="s">
        <v>319</v>
      </c>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1"/>
      <c r="AR20" s="431"/>
      <c r="AS20" s="431"/>
      <c r="AT20" s="431"/>
      <c r="AU20" s="431"/>
      <c r="AV20" s="431"/>
      <c r="AW20" s="431"/>
      <c r="AX20" s="431"/>
      <c r="AY20" s="431"/>
      <c r="AZ20" s="431"/>
      <c r="BA20" s="431"/>
      <c r="BB20" s="431"/>
      <c r="BC20" s="431"/>
      <c r="BD20" s="424"/>
      <c r="BE20" s="424"/>
      <c r="BF20" s="424"/>
      <c r="BG20" s="424"/>
    </row>
    <row r="21" ht="14.25" customHeight="1">
      <c r="A21" s="342">
        <f t="shared" si="1"/>
        <v>7</v>
      </c>
      <c r="B21" s="351"/>
      <c r="C21" s="307" t="s">
        <v>320</v>
      </c>
      <c r="F21" s="434" t="s">
        <v>321</v>
      </c>
      <c r="M21" s="434"/>
      <c r="N21" s="434"/>
      <c r="O21" s="434"/>
      <c r="P21" s="434"/>
      <c r="Q21" s="434"/>
      <c r="R21" s="434"/>
      <c r="S21" s="434"/>
      <c r="T21" s="434"/>
      <c r="U21" s="434"/>
      <c r="V21" s="434"/>
      <c r="W21" s="434"/>
      <c r="X21" s="434"/>
      <c r="Y21" s="434"/>
      <c r="Z21" s="434"/>
      <c r="AA21" s="434"/>
      <c r="AB21" s="434"/>
      <c r="AC21" s="434"/>
      <c r="AD21" s="434"/>
      <c r="AE21" s="434"/>
      <c r="AF21" s="434"/>
      <c r="AG21" s="434"/>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4"/>
      <c r="BD21" s="419"/>
      <c r="BE21" s="419"/>
      <c r="BF21" s="419"/>
      <c r="BG21" s="419"/>
    </row>
    <row r="22" ht="14.25" customHeight="1">
      <c r="A22" s="435">
        <f t="shared" si="1"/>
        <v>8</v>
      </c>
      <c r="B22" s="436"/>
      <c r="C22" s="437" t="s">
        <v>322</v>
      </c>
      <c r="F22" s="438">
        <v>47401.0</v>
      </c>
      <c r="G22" s="439" t="str">
        <f t="shared" ref="G22:G23" si="2">K22</f>
        <v/>
      </c>
      <c r="M22" s="439"/>
      <c r="N22" s="439"/>
      <c r="O22" s="439"/>
      <c r="P22" s="439"/>
      <c r="Q22" s="439"/>
      <c r="R22" s="439"/>
      <c r="S22" s="439"/>
      <c r="T22" s="439"/>
      <c r="U22" s="439"/>
      <c r="V22" s="439"/>
      <c r="W22" s="439"/>
      <c r="X22" s="439"/>
      <c r="Y22" s="439"/>
      <c r="Z22" s="439"/>
      <c r="AA22" s="439"/>
      <c r="AB22" s="439"/>
      <c r="AC22" s="439"/>
      <c r="AD22" s="439"/>
      <c r="AE22" s="439"/>
      <c r="AF22" s="439"/>
      <c r="AG22" s="439"/>
      <c r="AH22" s="439"/>
      <c r="AI22" s="439"/>
      <c r="AJ22" s="439"/>
      <c r="AK22" s="439"/>
      <c r="AL22" s="439"/>
      <c r="AM22" s="439"/>
      <c r="AN22" s="439"/>
      <c r="AO22" s="439"/>
      <c r="AP22" s="439"/>
      <c r="AQ22" s="439"/>
      <c r="AR22" s="439"/>
      <c r="AS22" s="439"/>
      <c r="AT22" s="439"/>
      <c r="AU22" s="439"/>
      <c r="AV22" s="439"/>
      <c r="AW22" s="439"/>
      <c r="AX22" s="439"/>
      <c r="AY22" s="439"/>
      <c r="AZ22" s="440"/>
      <c r="BA22" s="441"/>
      <c r="BB22" s="441"/>
      <c r="BC22" s="441"/>
      <c r="BD22" s="424"/>
      <c r="BE22" s="424"/>
      <c r="BF22" s="424"/>
      <c r="BG22" s="424"/>
    </row>
    <row r="23" ht="14.25" customHeight="1">
      <c r="A23" s="442">
        <f t="shared" si="1"/>
        <v>9</v>
      </c>
      <c r="B23" s="443"/>
      <c r="C23" s="444" t="s">
        <v>323</v>
      </c>
      <c r="F23" s="445">
        <v>47454.0</v>
      </c>
      <c r="G23" s="446" t="str">
        <f t="shared" si="2"/>
        <v/>
      </c>
      <c r="M23" s="446"/>
      <c r="N23" s="446"/>
      <c r="O23" s="446"/>
      <c r="P23" s="446"/>
      <c r="Q23" s="446"/>
      <c r="R23" s="446"/>
      <c r="S23" s="446"/>
      <c r="T23" s="446"/>
      <c r="U23" s="446"/>
      <c r="V23" s="446"/>
      <c r="W23" s="446"/>
      <c r="X23" s="446"/>
      <c r="Y23" s="446"/>
      <c r="Z23" s="446"/>
      <c r="AA23" s="446"/>
      <c r="AB23" s="446"/>
      <c r="AC23" s="446"/>
      <c r="AD23" s="446"/>
      <c r="AE23" s="446"/>
      <c r="AF23" s="446"/>
      <c r="AG23" s="446"/>
      <c r="AH23" s="446"/>
      <c r="AI23" s="446"/>
      <c r="AJ23" s="446"/>
      <c r="AK23" s="446"/>
      <c r="AL23" s="446"/>
      <c r="AM23" s="446"/>
      <c r="AN23" s="446"/>
      <c r="AO23" s="446"/>
      <c r="AP23" s="446"/>
      <c r="AQ23" s="446"/>
      <c r="AR23" s="446"/>
      <c r="AS23" s="446"/>
      <c r="AT23" s="446"/>
      <c r="AU23" s="446"/>
      <c r="AV23" s="446"/>
      <c r="AW23" s="446"/>
      <c r="AX23" s="446"/>
      <c r="AY23" s="446"/>
      <c r="AZ23" s="447"/>
      <c r="BA23" s="448"/>
      <c r="BB23" s="448"/>
      <c r="BC23" s="448"/>
      <c r="BD23" s="419"/>
      <c r="BE23" s="419"/>
      <c r="BF23" s="419"/>
      <c r="BG23" s="419"/>
    </row>
    <row r="24" ht="14.25" customHeight="1">
      <c r="A24" s="435">
        <f t="shared" si="1"/>
        <v>10</v>
      </c>
      <c r="B24" s="436"/>
      <c r="C24" s="437" t="s">
        <v>324</v>
      </c>
      <c r="F24" s="449" t="str">
        <f>CONCATENATE(sum(F23-F22)," day(s)")</f>
        <v>53 day(s)</v>
      </c>
      <c r="G24" s="436"/>
      <c r="H24" s="436"/>
      <c r="I24" s="436"/>
      <c r="J24" s="436"/>
      <c r="K24" s="436"/>
      <c r="L24" s="436"/>
      <c r="M24" s="436"/>
      <c r="N24" s="436"/>
      <c r="O24" s="436"/>
      <c r="P24" s="436"/>
      <c r="Q24" s="436"/>
      <c r="R24" s="436"/>
      <c r="S24" s="436"/>
      <c r="T24" s="436"/>
      <c r="U24" s="436"/>
      <c r="V24" s="436"/>
      <c r="W24" s="436"/>
      <c r="X24" s="436"/>
      <c r="Y24" s="436"/>
      <c r="Z24" s="436"/>
      <c r="AA24" s="436"/>
      <c r="AB24" s="436"/>
      <c r="AC24" s="436"/>
      <c r="AD24" s="436"/>
      <c r="AE24" s="436"/>
      <c r="AF24" s="436"/>
      <c r="AG24" s="436"/>
      <c r="AH24" s="436"/>
      <c r="AI24" s="436"/>
      <c r="AJ24" s="436"/>
      <c r="AK24" s="436"/>
      <c r="AL24" s="436"/>
      <c r="AM24" s="436"/>
      <c r="AN24" s="436"/>
      <c r="AO24" s="436"/>
      <c r="AP24" s="436"/>
      <c r="AQ24" s="436"/>
      <c r="AR24" s="436"/>
      <c r="AS24" s="436"/>
      <c r="AT24" s="436"/>
      <c r="AU24" s="436"/>
      <c r="AV24" s="436"/>
      <c r="AW24" s="436"/>
      <c r="AX24" s="436"/>
      <c r="AY24" s="436"/>
      <c r="AZ24" s="436"/>
      <c r="BA24" s="450"/>
      <c r="BB24" s="450"/>
      <c r="BC24" s="450"/>
      <c r="BD24" s="424"/>
      <c r="BE24" s="424"/>
      <c r="BF24" s="424"/>
      <c r="BG24" s="424"/>
    </row>
    <row r="25" ht="14.25" customHeight="1">
      <c r="A25" s="442">
        <f t="shared" si="1"/>
        <v>11</v>
      </c>
      <c r="B25" s="443"/>
      <c r="C25" s="444" t="s">
        <v>51</v>
      </c>
      <c r="F25" s="451" t="s">
        <v>325</v>
      </c>
      <c r="G25" s="443"/>
      <c r="H25" s="443"/>
      <c r="I25" s="443"/>
      <c r="J25" s="443"/>
      <c r="K25" s="443"/>
      <c r="L25" s="443"/>
      <c r="M25" s="443"/>
      <c r="N25" s="443"/>
      <c r="O25" s="443"/>
      <c r="P25" s="443"/>
      <c r="Q25" s="443"/>
      <c r="R25" s="443"/>
      <c r="S25" s="443"/>
      <c r="T25" s="443"/>
      <c r="U25" s="443"/>
      <c r="V25" s="443"/>
      <c r="W25" s="443"/>
      <c r="X25" s="443"/>
      <c r="Y25" s="443"/>
      <c r="Z25" s="443"/>
      <c r="AA25" s="443"/>
      <c r="AB25" s="443"/>
      <c r="AC25" s="443"/>
      <c r="AD25" s="443"/>
      <c r="AE25" s="443"/>
      <c r="AF25" s="443"/>
      <c r="AG25" s="443"/>
      <c r="AH25" s="443"/>
      <c r="AI25" s="443"/>
      <c r="AJ25" s="443"/>
      <c r="AK25" s="443"/>
      <c r="AL25" s="443"/>
      <c r="AM25" s="443"/>
      <c r="AN25" s="443"/>
      <c r="AO25" s="443"/>
      <c r="AP25" s="443"/>
      <c r="AQ25" s="443"/>
      <c r="AR25" s="443"/>
      <c r="AS25" s="443"/>
      <c r="AT25" s="443"/>
      <c r="AU25" s="443"/>
      <c r="AV25" s="443"/>
      <c r="AW25" s="443"/>
      <c r="AX25" s="443"/>
      <c r="AY25" s="443"/>
      <c r="AZ25" s="443"/>
      <c r="BA25" s="452"/>
      <c r="BB25" s="452"/>
      <c r="BC25" s="452"/>
      <c r="BD25" s="419"/>
      <c r="BE25" s="419"/>
      <c r="BF25" s="419"/>
      <c r="BG25" s="419"/>
    </row>
    <row r="26" ht="14.25" customHeight="1">
      <c r="A26" s="435">
        <f t="shared" si="1"/>
        <v>12</v>
      </c>
      <c r="B26" s="436"/>
      <c r="C26" s="437" t="s">
        <v>326</v>
      </c>
      <c r="F26" s="453" t="s">
        <v>327</v>
      </c>
      <c r="G26" s="454"/>
      <c r="H26" s="436"/>
      <c r="I26" s="436"/>
      <c r="J26" s="436"/>
      <c r="K26" s="436"/>
      <c r="L26" s="436"/>
      <c r="M26" s="436"/>
      <c r="N26" s="436"/>
      <c r="O26" s="436"/>
      <c r="P26" s="436"/>
      <c r="Q26" s="436"/>
      <c r="R26" s="436"/>
      <c r="S26" s="436"/>
      <c r="T26" s="436"/>
      <c r="U26" s="436"/>
      <c r="V26" s="436"/>
      <c r="W26" s="436"/>
      <c r="X26" s="436"/>
      <c r="Y26" s="436"/>
      <c r="Z26" s="436"/>
      <c r="AA26" s="436"/>
      <c r="AB26" s="436"/>
      <c r="AC26" s="436"/>
      <c r="AD26" s="436"/>
      <c r="AE26" s="436"/>
      <c r="AF26" s="436"/>
      <c r="AG26" s="436"/>
      <c r="AH26" s="436"/>
      <c r="AI26" s="436"/>
      <c r="AJ26" s="436"/>
      <c r="AK26" s="436"/>
      <c r="AL26" s="436"/>
      <c r="AM26" s="436"/>
      <c r="AN26" s="436"/>
      <c r="AO26" s="436"/>
      <c r="AP26" s="436"/>
      <c r="AQ26" s="436"/>
      <c r="AR26" s="436"/>
      <c r="AS26" s="436"/>
      <c r="AT26" s="436"/>
      <c r="AU26" s="436"/>
      <c r="AV26" s="436"/>
      <c r="AW26" s="436"/>
      <c r="AX26" s="436"/>
      <c r="AY26" s="436"/>
      <c r="AZ26" s="436"/>
      <c r="BA26" s="450"/>
      <c r="BB26" s="450"/>
      <c r="BC26" s="450"/>
      <c r="BD26" s="424"/>
      <c r="BE26" s="424"/>
      <c r="BF26" s="424"/>
      <c r="BG26" s="424"/>
    </row>
    <row r="27" ht="14.25" customHeight="1">
      <c r="A27" s="442">
        <f t="shared" si="1"/>
        <v>13</v>
      </c>
      <c r="B27" s="443"/>
      <c r="C27" s="444" t="s">
        <v>58</v>
      </c>
      <c r="F27" s="455">
        <v>1.0</v>
      </c>
      <c r="G27" s="443"/>
      <c r="H27" s="443"/>
      <c r="I27" s="443"/>
      <c r="J27" s="443"/>
      <c r="K27" s="443"/>
      <c r="L27" s="443"/>
      <c r="M27" s="443"/>
      <c r="N27" s="443"/>
      <c r="O27" s="443"/>
      <c r="P27" s="443"/>
      <c r="Q27" s="443"/>
      <c r="R27" s="443"/>
      <c r="S27" s="443"/>
      <c r="T27" s="443"/>
      <c r="U27" s="443"/>
      <c r="V27" s="443"/>
      <c r="W27" s="443"/>
      <c r="X27" s="443"/>
      <c r="Y27" s="443"/>
      <c r="Z27" s="443"/>
      <c r="AA27" s="443"/>
      <c r="AB27" s="443"/>
      <c r="AC27" s="443"/>
      <c r="AD27" s="443"/>
      <c r="AE27" s="443"/>
      <c r="AF27" s="443"/>
      <c r="AG27" s="443"/>
      <c r="AH27" s="443"/>
      <c r="AI27" s="443"/>
      <c r="AJ27" s="443"/>
      <c r="AK27" s="443"/>
      <c r="AL27" s="443"/>
      <c r="AM27" s="443"/>
      <c r="AN27" s="443"/>
      <c r="AO27" s="443"/>
      <c r="AP27" s="443"/>
      <c r="AQ27" s="443"/>
      <c r="AR27" s="443"/>
      <c r="AS27" s="443"/>
      <c r="AT27" s="443"/>
      <c r="AU27" s="443"/>
      <c r="AV27" s="443"/>
      <c r="AW27" s="443"/>
      <c r="AX27" s="443"/>
      <c r="AY27" s="443"/>
      <c r="AZ27" s="443"/>
      <c r="BA27" s="452"/>
      <c r="BB27" s="452"/>
      <c r="BC27" s="452"/>
      <c r="BD27" s="419"/>
      <c r="BE27" s="419"/>
      <c r="BF27" s="419"/>
      <c r="BG27" s="419"/>
    </row>
    <row r="28" ht="14.25" customHeight="1">
      <c r="A28" s="435">
        <f t="shared" si="1"/>
        <v>14</v>
      </c>
      <c r="B28" s="436"/>
      <c r="C28" s="437" t="s">
        <v>57</v>
      </c>
      <c r="F28" s="449">
        <v>1.0</v>
      </c>
      <c r="G28" s="454"/>
      <c r="H28" s="436"/>
      <c r="I28" s="436"/>
      <c r="J28" s="436"/>
      <c r="K28" s="436"/>
      <c r="L28" s="436"/>
      <c r="M28" s="436"/>
      <c r="N28" s="436"/>
      <c r="O28" s="436"/>
      <c r="P28" s="436"/>
      <c r="Q28" s="436"/>
      <c r="R28" s="436"/>
      <c r="S28" s="436"/>
      <c r="T28" s="436"/>
      <c r="U28" s="436"/>
      <c r="V28" s="436"/>
      <c r="W28" s="436"/>
      <c r="X28" s="436"/>
      <c r="Y28" s="436"/>
      <c r="Z28" s="436"/>
      <c r="AA28" s="436"/>
      <c r="AB28" s="436"/>
      <c r="AC28" s="436"/>
      <c r="AD28" s="436"/>
      <c r="AE28" s="436"/>
      <c r="AF28" s="436"/>
      <c r="AG28" s="436"/>
      <c r="AH28" s="436"/>
      <c r="AI28" s="436"/>
      <c r="AJ28" s="436"/>
      <c r="AK28" s="436"/>
      <c r="AL28" s="436"/>
      <c r="AM28" s="436"/>
      <c r="AN28" s="436"/>
      <c r="AO28" s="436"/>
      <c r="AP28" s="436"/>
      <c r="AQ28" s="436"/>
      <c r="AR28" s="436"/>
      <c r="AS28" s="436"/>
      <c r="AT28" s="436"/>
      <c r="AU28" s="436"/>
      <c r="AV28" s="436"/>
      <c r="AW28" s="436"/>
      <c r="AX28" s="436"/>
      <c r="AY28" s="436"/>
      <c r="AZ28" s="436"/>
      <c r="BA28" s="450"/>
      <c r="BB28" s="450"/>
      <c r="BC28" s="450"/>
      <c r="BD28" s="424"/>
      <c r="BE28" s="424"/>
      <c r="BF28" s="424"/>
      <c r="BG28" s="424"/>
    </row>
    <row r="29" ht="14.25" customHeight="1">
      <c r="A29" s="442">
        <v>15.0</v>
      </c>
      <c r="B29" s="443"/>
      <c r="C29" s="444" t="s">
        <v>328</v>
      </c>
      <c r="F29" s="455" t="b">
        <v>1</v>
      </c>
      <c r="G29" s="456" t="s">
        <v>329</v>
      </c>
      <c r="BA29" s="457"/>
      <c r="BB29" s="457"/>
      <c r="BC29" s="457"/>
      <c r="BD29" s="457"/>
      <c r="BE29" s="419"/>
      <c r="BF29" s="419"/>
      <c r="BG29" s="419"/>
    </row>
    <row r="30" ht="14.25" customHeight="1">
      <c r="A30" s="435">
        <f t="shared" ref="A30:A31" si="3">A29+1</f>
        <v>16</v>
      </c>
      <c r="B30" s="436"/>
      <c r="C30" s="437" t="s">
        <v>330</v>
      </c>
      <c r="F30" s="458" t="b">
        <v>1</v>
      </c>
      <c r="G30" s="459" t="s">
        <v>331</v>
      </c>
      <c r="BA30" s="431"/>
      <c r="BB30" s="431"/>
      <c r="BC30" s="431"/>
      <c r="BD30" s="431"/>
      <c r="BE30" s="424"/>
      <c r="BF30" s="424"/>
      <c r="BG30" s="424"/>
    </row>
    <row r="31" ht="14.25" customHeight="1">
      <c r="A31" s="442">
        <f t="shared" si="3"/>
        <v>17</v>
      </c>
      <c r="B31" s="443"/>
      <c r="C31" s="444" t="s">
        <v>54</v>
      </c>
      <c r="F31" s="460" t="b">
        <v>1</v>
      </c>
      <c r="G31" s="456" t="s">
        <v>332</v>
      </c>
      <c r="BA31" s="434"/>
      <c r="BB31" s="434"/>
      <c r="BC31" s="434"/>
      <c r="BD31" s="434"/>
      <c r="BE31" s="419"/>
      <c r="BF31" s="419"/>
      <c r="BG31" s="419"/>
    </row>
    <row r="32" ht="14.25" customHeight="1">
      <c r="A32" s="435">
        <v>19.0</v>
      </c>
      <c r="B32" s="436"/>
      <c r="C32" s="437" t="s">
        <v>333</v>
      </c>
      <c r="F32" s="449" t="b">
        <v>0</v>
      </c>
      <c r="G32" s="461"/>
      <c r="H32" s="461"/>
      <c r="I32" s="461"/>
      <c r="J32" s="461"/>
      <c r="K32" s="461"/>
      <c r="L32" s="461"/>
      <c r="M32" s="461"/>
      <c r="N32" s="461"/>
      <c r="O32" s="461"/>
      <c r="P32" s="461"/>
      <c r="Q32" s="461"/>
      <c r="R32" s="461"/>
      <c r="S32" s="461"/>
      <c r="T32" s="461"/>
      <c r="U32" s="461"/>
      <c r="V32" s="461"/>
      <c r="W32" s="461"/>
      <c r="X32" s="461"/>
      <c r="Y32" s="461"/>
      <c r="Z32" s="461"/>
      <c r="AA32" s="461"/>
      <c r="AB32" s="461"/>
      <c r="AC32" s="461"/>
      <c r="AD32" s="461"/>
      <c r="AE32" s="461"/>
      <c r="AF32" s="461"/>
      <c r="AG32" s="461"/>
      <c r="AH32" s="461"/>
      <c r="AI32" s="461"/>
      <c r="AJ32" s="461"/>
      <c r="AK32" s="461"/>
      <c r="AL32" s="461"/>
      <c r="AM32" s="461"/>
      <c r="AN32" s="461"/>
      <c r="AO32" s="461"/>
      <c r="AP32" s="461"/>
      <c r="AQ32" s="461"/>
      <c r="AR32" s="461"/>
      <c r="AS32" s="461"/>
      <c r="AT32" s="461"/>
      <c r="AU32" s="461"/>
      <c r="AV32" s="461"/>
      <c r="AW32" s="461"/>
      <c r="AX32" s="461"/>
      <c r="AY32" s="461"/>
      <c r="AZ32" s="461"/>
      <c r="BA32" s="431"/>
      <c r="BB32" s="431"/>
      <c r="BC32" s="431"/>
      <c r="BD32" s="431"/>
      <c r="BE32" s="424"/>
      <c r="BF32" s="424"/>
      <c r="BG32" s="424"/>
    </row>
    <row r="33" ht="14.25" customHeight="1">
      <c r="A33" s="442">
        <v>20.0</v>
      </c>
      <c r="B33" s="443"/>
      <c r="C33" s="444" t="s">
        <v>334</v>
      </c>
      <c r="D33" s="444"/>
      <c r="E33" s="444"/>
      <c r="F33" s="455" t="b">
        <v>0</v>
      </c>
      <c r="G33" s="434"/>
      <c r="BA33" s="434"/>
      <c r="BB33" s="434"/>
      <c r="BC33" s="434"/>
      <c r="BD33" s="434"/>
      <c r="BE33" s="419"/>
      <c r="BF33" s="419"/>
      <c r="BG33" s="419"/>
    </row>
    <row r="34" ht="14.25" customHeight="1">
      <c r="A34" s="312"/>
      <c r="B34" s="420"/>
      <c r="C34" s="462"/>
      <c r="D34" s="314"/>
      <c r="E34" s="314"/>
      <c r="F34" s="314"/>
      <c r="M34" s="314"/>
      <c r="N34" s="314"/>
      <c r="O34" s="314"/>
      <c r="P34" s="314"/>
      <c r="Q34" s="314"/>
      <c r="R34" s="314"/>
      <c r="S34" s="314"/>
      <c r="T34" s="314"/>
      <c r="U34" s="314"/>
      <c r="V34" s="314"/>
      <c r="W34" s="314"/>
      <c r="X34" s="314"/>
      <c r="Y34" s="314"/>
      <c r="Z34" s="314"/>
      <c r="AA34" s="314"/>
      <c r="AB34" s="314"/>
      <c r="AC34" s="314"/>
      <c r="AD34" s="314"/>
      <c r="AE34" s="314"/>
      <c r="AF34" s="314"/>
      <c r="AG34" s="314"/>
      <c r="AH34" s="314"/>
      <c r="AI34" s="314"/>
      <c r="AJ34" s="314"/>
      <c r="AK34" s="314"/>
      <c r="AL34" s="314"/>
      <c r="AM34" s="314"/>
      <c r="AN34" s="314"/>
      <c r="AO34" s="314"/>
      <c r="AP34" s="314"/>
      <c r="AQ34" s="314"/>
      <c r="AR34" s="314"/>
      <c r="AS34" s="314"/>
      <c r="AT34" s="314"/>
      <c r="AU34" s="314"/>
      <c r="AV34" s="314"/>
      <c r="AW34" s="314"/>
      <c r="AX34" s="314"/>
      <c r="AY34" s="314"/>
      <c r="AZ34" s="314"/>
      <c r="BA34" s="314"/>
      <c r="BB34" s="314"/>
      <c r="BC34" s="314"/>
      <c r="BD34" s="424"/>
      <c r="BE34" s="424"/>
      <c r="BF34" s="424"/>
      <c r="BG34" s="424"/>
    </row>
    <row r="35" ht="14.25" customHeight="1">
      <c r="A35" s="290"/>
      <c r="B35" s="291"/>
      <c r="C35" s="292" t="s">
        <v>231</v>
      </c>
      <c r="D35" s="293"/>
      <c r="E35" s="293"/>
      <c r="F35" s="293"/>
      <c r="G35" s="406"/>
      <c r="H35" s="407"/>
      <c r="I35" s="407"/>
      <c r="J35" s="407"/>
      <c r="K35" s="407"/>
      <c r="L35" s="407"/>
      <c r="M35" s="407"/>
      <c r="N35" s="407"/>
      <c r="O35" s="407"/>
      <c r="P35" s="407"/>
      <c r="Q35" s="407"/>
      <c r="R35" s="407"/>
      <c r="S35" s="407"/>
      <c r="T35" s="407"/>
      <c r="U35" s="407"/>
      <c r="V35" s="407"/>
      <c r="W35" s="407"/>
      <c r="X35" s="407"/>
      <c r="Y35" s="407"/>
      <c r="Z35" s="407"/>
      <c r="AA35" s="407"/>
      <c r="AB35" s="407"/>
      <c r="AC35" s="407"/>
      <c r="AD35" s="407"/>
      <c r="AE35" s="407"/>
      <c r="AF35" s="407"/>
      <c r="AG35" s="407"/>
      <c r="AH35" s="407"/>
      <c r="AI35" s="407"/>
      <c r="AJ35" s="407"/>
      <c r="AK35" s="407"/>
      <c r="AL35" s="407"/>
      <c r="AM35" s="407"/>
      <c r="AN35" s="407"/>
      <c r="AO35" s="407"/>
      <c r="AP35" s="407"/>
      <c r="AQ35" s="407"/>
      <c r="AR35" s="407"/>
      <c r="AS35" s="407"/>
      <c r="AT35" s="407"/>
      <c r="AU35" s="407"/>
      <c r="AV35" s="407"/>
      <c r="AW35" s="407"/>
      <c r="AX35" s="407"/>
      <c r="AY35" s="407"/>
      <c r="AZ35" s="407"/>
      <c r="BA35" s="407"/>
      <c r="BB35" s="407"/>
      <c r="BC35" s="407"/>
      <c r="BD35" s="407"/>
      <c r="BE35" s="407"/>
      <c r="BF35" s="407"/>
      <c r="BG35" s="407"/>
    </row>
    <row r="36" ht="14.25" customHeight="1">
      <c r="A36" s="298"/>
      <c r="B36" s="299"/>
      <c r="C36" s="329" t="s">
        <v>335</v>
      </c>
      <c r="D36" s="328"/>
      <c r="E36" s="328"/>
      <c r="F36" s="328"/>
      <c r="G36" s="328"/>
      <c r="H36" s="328"/>
      <c r="I36" s="328"/>
      <c r="J36" s="328"/>
      <c r="K36" s="328"/>
      <c r="L36" s="328"/>
      <c r="M36" s="328"/>
      <c r="N36" s="328"/>
      <c r="O36" s="328"/>
      <c r="P36" s="328"/>
      <c r="Q36" s="32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8"/>
      <c r="BD36" s="328"/>
      <c r="BE36" s="328"/>
      <c r="BF36" s="328"/>
      <c r="BG36" s="328"/>
    </row>
    <row r="37" ht="14.25" customHeight="1">
      <c r="A37" s="305">
        <v>1.0</v>
      </c>
      <c r="B37" s="306"/>
      <c r="C37" s="332" t="s">
        <v>234</v>
      </c>
      <c r="F37" s="417" t="b">
        <v>1</v>
      </c>
      <c r="G37" s="332"/>
      <c r="BE37" s="332"/>
      <c r="BF37" s="332"/>
      <c r="BG37" s="332"/>
    </row>
    <row r="38" ht="14.25" customHeight="1">
      <c r="A38" s="312">
        <f t="shared" ref="A38:A41" si="4">A37+1</f>
        <v>2</v>
      </c>
      <c r="B38" s="360"/>
      <c r="C38" s="314" t="s">
        <v>236</v>
      </c>
      <c r="F38" s="421" t="b">
        <v>1</v>
      </c>
      <c r="G38" s="314"/>
      <c r="BE38" s="314"/>
      <c r="BF38" s="314"/>
      <c r="BG38" s="314"/>
    </row>
    <row r="39" ht="14.25" customHeight="1">
      <c r="A39" s="342">
        <f t="shared" si="4"/>
        <v>3</v>
      </c>
      <c r="B39" s="306"/>
      <c r="C39" s="307" t="s">
        <v>336</v>
      </c>
      <c r="F39" s="417" t="b">
        <v>1</v>
      </c>
      <c r="G39" s="463"/>
      <c r="BE39" s="332"/>
      <c r="BF39" s="332"/>
      <c r="BG39" s="332"/>
    </row>
    <row r="40" ht="14.25" customHeight="1">
      <c r="A40" s="312">
        <f t="shared" si="4"/>
        <v>4</v>
      </c>
      <c r="B40" s="360"/>
      <c r="C40" s="337" t="s">
        <v>337</v>
      </c>
      <c r="F40" s="421" t="b">
        <v>1</v>
      </c>
      <c r="G40" s="464" t="s">
        <v>338</v>
      </c>
      <c r="BE40" s="314"/>
      <c r="BF40" s="314"/>
      <c r="BG40" s="314"/>
    </row>
    <row r="41" ht="14.25" customHeight="1">
      <c r="A41" s="342">
        <f t="shared" si="4"/>
        <v>5</v>
      </c>
      <c r="B41" s="306"/>
      <c r="C41" s="332" t="s">
        <v>244</v>
      </c>
      <c r="F41" s="417" t="b">
        <v>0</v>
      </c>
      <c r="G41" s="465"/>
      <c r="BE41" s="332"/>
      <c r="BF41" s="332"/>
      <c r="BG41" s="332"/>
    </row>
    <row r="42" ht="14.25" customHeight="1">
      <c r="A42" s="312"/>
      <c r="B42" s="466"/>
      <c r="C42" s="466"/>
      <c r="D42" s="466"/>
      <c r="E42" s="466"/>
      <c r="F42" s="466"/>
      <c r="G42" s="467"/>
      <c r="N42" s="466"/>
      <c r="O42" s="466"/>
      <c r="P42" s="466"/>
      <c r="Q42" s="466"/>
      <c r="R42" s="466"/>
      <c r="S42" s="466"/>
      <c r="T42" s="466"/>
      <c r="U42" s="466"/>
      <c r="V42" s="466"/>
      <c r="W42" s="466"/>
      <c r="X42" s="466"/>
      <c r="Y42" s="466"/>
      <c r="Z42" s="466"/>
      <c r="AA42" s="466"/>
      <c r="AB42" s="466"/>
      <c r="AC42" s="466"/>
      <c r="AD42" s="466"/>
      <c r="AE42" s="466"/>
      <c r="AF42" s="466"/>
      <c r="AG42" s="466"/>
      <c r="AH42" s="466"/>
      <c r="AI42" s="466"/>
      <c r="AJ42" s="466"/>
      <c r="AK42" s="466"/>
      <c r="AL42" s="466"/>
      <c r="AM42" s="466"/>
      <c r="AN42" s="466"/>
      <c r="AO42" s="466"/>
      <c r="AP42" s="466"/>
      <c r="AQ42" s="466"/>
      <c r="AR42" s="466"/>
      <c r="AS42" s="466"/>
      <c r="AT42" s="466"/>
      <c r="AU42" s="466"/>
      <c r="AV42" s="466"/>
      <c r="AW42" s="466"/>
      <c r="AX42" s="466"/>
      <c r="AY42" s="466"/>
      <c r="AZ42" s="466"/>
      <c r="BA42" s="466"/>
      <c r="BB42" s="466"/>
      <c r="BC42" s="466"/>
      <c r="BD42" s="466"/>
      <c r="BE42" s="466"/>
      <c r="BF42" s="466"/>
      <c r="BG42" s="466"/>
    </row>
    <row r="43" ht="14.25" customHeight="1">
      <c r="A43" s="290"/>
      <c r="B43" s="291"/>
      <c r="C43" s="292" t="s">
        <v>70</v>
      </c>
      <c r="D43" s="293"/>
      <c r="E43" s="293"/>
      <c r="F43" s="293"/>
      <c r="G43" s="406"/>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68"/>
      <c r="BE43" s="468"/>
      <c r="BF43" s="468"/>
      <c r="BG43" s="468"/>
    </row>
    <row r="44" ht="14.25" customHeight="1">
      <c r="A44" s="298"/>
      <c r="B44" s="299"/>
      <c r="C44" s="300" t="s">
        <v>72</v>
      </c>
      <c r="F44" s="328"/>
      <c r="G44" s="328"/>
      <c r="H44" s="328"/>
      <c r="I44" s="328"/>
      <c r="J44" s="328"/>
      <c r="K44" s="328"/>
      <c r="L44" s="328"/>
      <c r="M44" s="328"/>
      <c r="N44" s="328"/>
      <c r="O44" s="328"/>
      <c r="P44" s="328"/>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28"/>
      <c r="AQ44" s="328"/>
      <c r="AR44" s="328"/>
      <c r="AS44" s="328"/>
      <c r="AT44" s="328"/>
      <c r="AU44" s="328"/>
      <c r="AV44" s="328"/>
      <c r="AW44" s="328"/>
      <c r="AX44" s="328"/>
      <c r="AY44" s="328"/>
      <c r="AZ44" s="328"/>
      <c r="BA44" s="328"/>
      <c r="BB44" s="328"/>
      <c r="BC44" s="328"/>
      <c r="BD44" s="328"/>
      <c r="BE44" s="328"/>
      <c r="BF44" s="328"/>
      <c r="BG44" s="328"/>
    </row>
    <row r="45" ht="14.25" customHeight="1">
      <c r="A45" s="305">
        <v>1.0</v>
      </c>
      <c r="B45" s="306"/>
      <c r="C45" s="307" t="s">
        <v>256</v>
      </c>
      <c r="F45" s="417" t="b">
        <v>1</v>
      </c>
      <c r="G45" s="419"/>
      <c r="H45" s="419"/>
      <c r="I45" s="419"/>
      <c r="J45" s="419"/>
      <c r="K45" s="419"/>
      <c r="L45" s="419"/>
      <c r="M45" s="419"/>
      <c r="N45" s="419"/>
      <c r="O45" s="419"/>
      <c r="P45" s="419"/>
      <c r="Q45" s="419"/>
      <c r="R45" s="419"/>
      <c r="S45" s="419"/>
      <c r="T45" s="419"/>
      <c r="U45" s="419"/>
      <c r="V45" s="419"/>
      <c r="W45" s="419"/>
      <c r="X45" s="419"/>
      <c r="Y45" s="419"/>
      <c r="Z45" s="419"/>
      <c r="AA45" s="419"/>
      <c r="AB45" s="419"/>
      <c r="AC45" s="419"/>
      <c r="AD45" s="419"/>
      <c r="AE45" s="419"/>
      <c r="AF45" s="419"/>
      <c r="AG45" s="419"/>
      <c r="AH45" s="419"/>
      <c r="AI45" s="419"/>
      <c r="AJ45" s="419"/>
      <c r="AK45" s="419"/>
      <c r="AL45" s="419"/>
      <c r="AM45" s="419"/>
      <c r="AN45" s="419"/>
      <c r="AO45" s="419"/>
      <c r="AP45" s="419"/>
      <c r="AQ45" s="419"/>
      <c r="AR45" s="419"/>
      <c r="AS45" s="419"/>
      <c r="AT45" s="419"/>
      <c r="AU45" s="419"/>
      <c r="AV45" s="419"/>
      <c r="AW45" s="419"/>
      <c r="AX45" s="419"/>
      <c r="AY45" s="419"/>
      <c r="AZ45" s="419"/>
      <c r="BA45" s="419"/>
      <c r="BB45" s="419"/>
      <c r="BC45" s="419"/>
      <c r="BD45" s="419"/>
      <c r="BE45" s="419"/>
      <c r="BF45" s="419"/>
      <c r="BG45" s="419"/>
    </row>
    <row r="46" ht="14.25" customHeight="1">
      <c r="A46" s="312"/>
      <c r="B46" s="313"/>
      <c r="C46" s="313"/>
      <c r="D46" s="314"/>
      <c r="E46" s="314"/>
      <c r="F46" s="314"/>
      <c r="G46" s="314"/>
      <c r="H46" s="314"/>
      <c r="I46" s="314"/>
      <c r="J46" s="314"/>
      <c r="K46" s="314"/>
      <c r="L46" s="314"/>
      <c r="M46" s="314"/>
      <c r="N46" s="314"/>
      <c r="O46" s="314"/>
      <c r="P46" s="314"/>
      <c r="Q46" s="314"/>
      <c r="R46" s="314"/>
      <c r="S46" s="314"/>
      <c r="T46" s="314"/>
      <c r="U46" s="314"/>
      <c r="V46" s="314"/>
      <c r="W46" s="314"/>
      <c r="X46" s="314"/>
      <c r="Y46" s="314"/>
      <c r="Z46" s="314"/>
      <c r="AA46" s="314"/>
      <c r="AB46" s="314"/>
      <c r="AC46" s="314"/>
      <c r="AD46" s="314"/>
      <c r="AE46" s="314"/>
      <c r="AF46" s="314"/>
      <c r="AG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14"/>
      <c r="BG46" s="314"/>
    </row>
    <row r="47" ht="14.25" customHeight="1">
      <c r="A47" s="290"/>
      <c r="B47" s="291"/>
      <c r="C47" s="319" t="s">
        <v>257</v>
      </c>
      <c r="D47" s="293"/>
      <c r="E47" s="293"/>
      <c r="F47" s="293"/>
      <c r="G47" s="293"/>
      <c r="H47" s="407"/>
      <c r="I47" s="407"/>
      <c r="J47" s="407"/>
      <c r="K47" s="407"/>
      <c r="L47" s="407"/>
      <c r="M47" s="407"/>
      <c r="N47" s="407"/>
      <c r="O47" s="407"/>
      <c r="P47" s="407"/>
      <c r="Q47" s="407"/>
      <c r="R47" s="407"/>
      <c r="S47" s="407"/>
      <c r="T47" s="407"/>
      <c r="U47" s="407"/>
      <c r="V47" s="407"/>
      <c r="W47" s="407"/>
      <c r="X47" s="407"/>
      <c r="Y47" s="407"/>
      <c r="Z47" s="407"/>
      <c r="AA47" s="407"/>
      <c r="AB47" s="407"/>
      <c r="AC47" s="407"/>
      <c r="AD47" s="407"/>
      <c r="AE47" s="407"/>
      <c r="AF47" s="407"/>
      <c r="AG47" s="407"/>
      <c r="AH47" s="407"/>
      <c r="AI47" s="407"/>
      <c r="AJ47" s="407"/>
      <c r="AK47" s="407"/>
      <c r="AL47" s="407"/>
      <c r="AM47" s="407"/>
      <c r="AN47" s="407"/>
      <c r="AO47" s="407"/>
      <c r="AP47" s="407"/>
      <c r="AQ47" s="407"/>
      <c r="AR47" s="407"/>
      <c r="AS47" s="407"/>
      <c r="AT47" s="407"/>
      <c r="AU47" s="407"/>
      <c r="AV47" s="407"/>
      <c r="AW47" s="407"/>
      <c r="AX47" s="407"/>
      <c r="AY47" s="407"/>
      <c r="AZ47" s="407"/>
      <c r="BA47" s="407"/>
      <c r="BB47" s="407"/>
      <c r="BC47" s="407"/>
      <c r="BD47" s="469"/>
      <c r="BE47" s="468"/>
      <c r="BF47" s="468"/>
      <c r="BG47" s="468"/>
    </row>
    <row r="48" ht="14.25" customHeight="1">
      <c r="A48" s="470"/>
      <c r="B48" s="471"/>
      <c r="C48" s="472"/>
      <c r="D48" s="473"/>
      <c r="E48" s="473"/>
      <c r="F48" s="473"/>
      <c r="G48" s="474"/>
      <c r="H48" s="475" t="s">
        <v>82</v>
      </c>
      <c r="I48" s="475" t="s">
        <v>339</v>
      </c>
      <c r="J48" s="475" t="s">
        <v>86</v>
      </c>
      <c r="K48" s="475"/>
      <c r="L48" s="475"/>
      <c r="M48" s="475"/>
      <c r="N48" s="475"/>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475"/>
      <c r="AN48" s="475"/>
      <c r="AO48" s="475"/>
      <c r="AP48" s="475"/>
      <c r="AQ48" s="475"/>
      <c r="AR48" s="475"/>
      <c r="AS48" s="475"/>
      <c r="AT48" s="475"/>
      <c r="AU48" s="475"/>
      <c r="AV48" s="475"/>
      <c r="AW48" s="475"/>
      <c r="AX48" s="475"/>
      <c r="AY48" s="475"/>
      <c r="AZ48" s="475"/>
      <c r="BA48" s="475"/>
      <c r="BB48" s="475"/>
      <c r="BC48" s="475"/>
      <c r="BD48" s="475" t="str">
        <f t="shared" ref="BD48:BG48" si="5">H48</f>
        <v>Email</v>
      </c>
      <c r="BE48" s="475" t="str">
        <f t="shared" si="5"/>
        <v>Push - Rewards App</v>
      </c>
      <c r="BF48" s="475" t="str">
        <f t="shared" si="5"/>
        <v>Rewards App</v>
      </c>
      <c r="BG48" s="475" t="str">
        <f t="shared" si="5"/>
        <v/>
      </c>
    </row>
    <row r="49" ht="14.25" customHeight="1">
      <c r="A49" s="298"/>
      <c r="B49" s="328"/>
      <c r="C49" s="476"/>
      <c r="F49" s="329"/>
      <c r="G49" s="477"/>
      <c r="H49" s="478"/>
      <c r="I49" s="478"/>
      <c r="J49" s="478"/>
      <c r="K49" s="478"/>
      <c r="L49" s="478"/>
      <c r="M49" s="478"/>
      <c r="N49" s="478"/>
      <c r="O49" s="478"/>
      <c r="P49" s="478"/>
      <c r="Q49" s="478"/>
      <c r="R49" s="478"/>
      <c r="S49" s="478"/>
      <c r="T49" s="478"/>
      <c r="U49" s="478"/>
      <c r="V49" s="478"/>
      <c r="W49" s="478"/>
      <c r="X49" s="478"/>
      <c r="Y49" s="478"/>
      <c r="Z49" s="478"/>
      <c r="AA49" s="478"/>
      <c r="AB49" s="478"/>
      <c r="AC49" s="478"/>
      <c r="AD49" s="478"/>
      <c r="AE49" s="478"/>
      <c r="AF49" s="478"/>
      <c r="AG49" s="478"/>
      <c r="AH49" s="478"/>
      <c r="AI49" s="478"/>
      <c r="AJ49" s="478"/>
      <c r="AK49" s="478"/>
      <c r="AL49" s="478"/>
      <c r="AM49" s="478"/>
      <c r="AN49" s="478"/>
      <c r="AO49" s="478"/>
      <c r="AP49" s="478"/>
      <c r="AQ49" s="478"/>
      <c r="AR49" s="478"/>
      <c r="AS49" s="478"/>
      <c r="AT49" s="478"/>
      <c r="AU49" s="478"/>
      <c r="AV49" s="478"/>
      <c r="AW49" s="478"/>
      <c r="AX49" s="478"/>
      <c r="AY49" s="478"/>
      <c r="AZ49" s="478"/>
      <c r="BA49" s="478"/>
      <c r="BB49" s="478"/>
      <c r="BC49" s="478"/>
      <c r="BD49" s="478"/>
      <c r="BE49" s="478"/>
      <c r="BF49" s="478"/>
      <c r="BG49" s="478"/>
    </row>
    <row r="50" ht="14.25" customHeight="1">
      <c r="A50" s="305">
        <v>1.0</v>
      </c>
      <c r="B50" s="332"/>
      <c r="C50" s="307" t="s">
        <v>265</v>
      </c>
      <c r="F50" s="307"/>
      <c r="G50" s="479"/>
      <c r="H50" s="480" t="str">
        <f>if(isna(vlookup(concatenate("ALL",H$48,$C50),'Preference Lookup'!$D$3:$E$150,2,false)),".",vlookup(concatenate("ALL",H$48,$C50),'Preference Lookup'!$D$3:$E$150,2,false))</f>
        <v>Ex Optout</v>
      </c>
      <c r="I50" s="480" t="s">
        <v>260</v>
      </c>
      <c r="J50" s="480" t="s">
        <v>260</v>
      </c>
      <c r="K50" s="480" t="str">
        <f>if(isna(vlookup(concatenate("ALL",K$48,$C50),'Preference Lookup'!$D$3:$E$150,2,false)),".",vlookup(concatenate("ALL",K$48,$C50),'Preference Lookup'!$D$3:$E$150,2,false))</f>
        <v>.</v>
      </c>
      <c r="L50" s="480" t="s">
        <v>76</v>
      </c>
      <c r="M50" s="480"/>
      <c r="N50" s="480"/>
      <c r="O50" s="480"/>
      <c r="P50" s="480"/>
      <c r="Q50" s="480"/>
      <c r="R50" s="480"/>
      <c r="S50" s="480"/>
      <c r="T50" s="480"/>
      <c r="U50" s="480"/>
      <c r="V50" s="480"/>
      <c r="W50" s="480"/>
      <c r="X50" s="480"/>
      <c r="Y50" s="480"/>
      <c r="Z50" s="480"/>
      <c r="AA50" s="480"/>
      <c r="AB50" s="480"/>
      <c r="AC50" s="480"/>
      <c r="AD50" s="480"/>
      <c r="AE50" s="480"/>
      <c r="AF50" s="480"/>
      <c r="AG50" s="480"/>
      <c r="AH50" s="480"/>
      <c r="AI50" s="480"/>
      <c r="AJ50" s="480"/>
      <c r="AK50" s="480"/>
      <c r="AL50" s="480"/>
      <c r="AM50" s="480"/>
      <c r="AN50" s="480"/>
      <c r="AO50" s="480"/>
      <c r="AP50" s="480"/>
      <c r="AQ50" s="480"/>
      <c r="AR50" s="480"/>
      <c r="AS50" s="480"/>
      <c r="AT50" s="480"/>
      <c r="AU50" s="480"/>
      <c r="AV50" s="480"/>
      <c r="AW50" s="480"/>
      <c r="AX50" s="480"/>
      <c r="AY50" s="480"/>
      <c r="AZ50" s="480"/>
      <c r="BA50" s="480"/>
      <c r="BB50" s="480"/>
      <c r="BC50" s="480"/>
      <c r="BD50" s="480" t="str">
        <f>if(isna(vlookup(concatenate("ALL",BD$48,$C50),'Preference Lookup'!$D$3:$E$150,2,false)),".",vlookup(concatenate("ALL",BD$48,$C50),'Preference Lookup'!$D$3:$E$150,2,false))</f>
        <v>Ex Optout</v>
      </c>
      <c r="BE50" s="480" t="str">
        <f>if(isna(vlookup(concatenate("ALL",BE$48,$C50),'Preference Lookup'!$D$3:$E$150,2,false)),".",vlookup(concatenate("ALL",BE$48,$C50),'Preference Lookup'!$D$3:$E$150,2,false))</f>
        <v>.</v>
      </c>
      <c r="BF50" s="480" t="str">
        <f>if(isna(vlookup(concatenate("ALL",BF$48,$C50),'Preference Lookup'!$D$3:$E$150,2,false)),".",vlookup(concatenate("ALL",BF$48,$C50),'Preference Lookup'!$D$3:$E$150,2,false))</f>
        <v>Inc All</v>
      </c>
      <c r="BG50" s="480" t="str">
        <f>if(isna(vlookup(concatenate("ALL",BG$48,$C50),'Preference Lookup'!$D$3:$E$150,2,false)),".",vlookup(concatenate("ALL",BG$48,$C50),'Preference Lookup'!$D$3:$E$150,2,false))</f>
        <v>.</v>
      </c>
    </row>
    <row r="51" ht="14.25" customHeight="1">
      <c r="A51" s="359">
        <v>1.0</v>
      </c>
      <c r="B51" s="314"/>
      <c r="C51" s="337" t="s">
        <v>255</v>
      </c>
      <c r="F51" s="337"/>
      <c r="G51" s="481"/>
      <c r="H51" s="482" t="str">
        <f>if(isna(vlookup(concatenate("ALL",H$48,$C51),'Preference Lookup'!$D$3:$E$150,2,false)),".",vlookup(concatenate("ALL",H$48,$C51),'Preference Lookup'!$D$3:$E$150,2,false))</f>
        <v>Ex Optout</v>
      </c>
      <c r="I51" s="482" t="s">
        <v>261</v>
      </c>
      <c r="J51" s="482" t="str">
        <f>if(isna(vlookup(concatenate("ALL",J$48,$C51),'Preference Lookup'!$D$3:$E$150,2,false)),".",vlookup(concatenate("ALL",J$48,$C51),'Preference Lookup'!$D$3:$E$150,2,false))</f>
        <v>Inc All</v>
      </c>
      <c r="K51" s="482" t="str">
        <f>if(isna(vlookup(concatenate("ALL",K$48,$C51),'Preference Lookup'!$D$3:$E$150,2,false)),".",vlookup(concatenate("ALL",K$48,$C51),'Preference Lookup'!$D$3:$E$150,2,false))</f>
        <v>.</v>
      </c>
      <c r="L51" s="482" t="s">
        <v>76</v>
      </c>
      <c r="M51" s="482"/>
      <c r="N51" s="482"/>
      <c r="O51" s="482"/>
      <c r="P51" s="482"/>
      <c r="Q51" s="482"/>
      <c r="R51" s="482"/>
      <c r="S51" s="482"/>
      <c r="T51" s="482"/>
      <c r="U51" s="482"/>
      <c r="V51" s="482"/>
      <c r="W51" s="482"/>
      <c r="X51" s="482"/>
      <c r="Y51" s="482"/>
      <c r="Z51" s="482"/>
      <c r="AA51" s="482"/>
      <c r="AB51" s="482"/>
      <c r="AC51" s="482"/>
      <c r="AD51" s="482"/>
      <c r="AE51" s="482"/>
      <c r="AF51" s="482"/>
      <c r="AG51" s="482"/>
      <c r="AH51" s="482"/>
      <c r="AI51" s="482"/>
      <c r="AJ51" s="482"/>
      <c r="AK51" s="482"/>
      <c r="AL51" s="482"/>
      <c r="AM51" s="482"/>
      <c r="AN51" s="482"/>
      <c r="AO51" s="482"/>
      <c r="AP51" s="482"/>
      <c r="AQ51" s="482"/>
      <c r="AR51" s="482"/>
      <c r="AS51" s="482"/>
      <c r="AT51" s="482"/>
      <c r="AU51" s="482"/>
      <c r="AV51" s="482"/>
      <c r="AW51" s="482"/>
      <c r="AX51" s="482"/>
      <c r="AY51" s="482"/>
      <c r="AZ51" s="482"/>
      <c r="BA51" s="482"/>
      <c r="BB51" s="482"/>
      <c r="BC51" s="482"/>
      <c r="BD51" s="482" t="str">
        <f>if(isna(vlookup(concatenate("ALL",BD$48,$C51),'Preference Lookup'!$D$3:$E$150,2,false)),".",vlookup(concatenate("ALL",BD$48,$C51),'Preference Lookup'!$D$3:$E$150,2,false))</f>
        <v>Ex Optout</v>
      </c>
      <c r="BE51" s="482" t="str">
        <f>if(isna(vlookup(concatenate("ALL",BE$48,$C51),'Preference Lookup'!$D$3:$E$150,2,false)),".",vlookup(concatenate("ALL",BE$48,$C51),'Preference Lookup'!$D$3:$E$150,2,false))</f>
        <v>.</v>
      </c>
      <c r="BF51" s="482" t="str">
        <f>if(isna(vlookup(concatenate("ALL",BF$48,$C51),'Preference Lookup'!$D$3:$E$150,2,false)),".",vlookup(concatenate("ALL",BF$48,$C51),'Preference Lookup'!$D$3:$E$150,2,false))</f>
        <v>Inc All</v>
      </c>
      <c r="BG51" s="482" t="str">
        <f>if(isna(vlookup(concatenate("ALL",BG$48,$C51),'Preference Lookup'!$D$3:$E$150,2,false)),".",vlookup(concatenate("ALL",BG$48,$C51),'Preference Lookup'!$D$3:$E$150,2,false))</f>
        <v>.</v>
      </c>
    </row>
    <row r="52" ht="14.25" customHeight="1">
      <c r="A52" s="305"/>
      <c r="B52" s="332"/>
      <c r="C52" s="307"/>
      <c r="F52" s="307"/>
      <c r="G52" s="307"/>
      <c r="H52" s="480" t="str">
        <f>if(isna(vlookup(concatenate("ALL",H$48,$C52),'Preference Lookup'!$D$3:$E$150,2,false)),".",vlookup(concatenate("ALL",H$48,$C52),'Preference Lookup'!$D$3:$E$150,2,false))</f>
        <v>.</v>
      </c>
      <c r="I52" s="480"/>
      <c r="J52" s="480" t="str">
        <f>if(isna(vlookup(concatenate("ALL",J$48,$C52),'Preference Lookup'!$D$3:$E$150,2,false)),".",vlookup(concatenate("ALL",J$48,$C52),'Preference Lookup'!$D$3:$E$150,2,false))</f>
        <v>.</v>
      </c>
      <c r="K52" s="480" t="str">
        <f>if(isna(vlookup(concatenate("ALL",K$48,$C52),'Preference Lookup'!$D$3:$E$150,2,false)),".",vlookup(concatenate("ALL",K$48,$C52),'Preference Lookup'!$D$3:$E$150,2,false))</f>
        <v>.</v>
      </c>
      <c r="L52" s="480" t="s">
        <v>76</v>
      </c>
      <c r="M52" s="480"/>
      <c r="N52" s="480"/>
      <c r="O52" s="480"/>
      <c r="P52" s="480"/>
      <c r="Q52" s="480"/>
      <c r="R52" s="480"/>
      <c r="S52" s="480"/>
      <c r="T52" s="480"/>
      <c r="U52" s="480"/>
      <c r="V52" s="480"/>
      <c r="W52" s="480"/>
      <c r="X52" s="480"/>
      <c r="Y52" s="480"/>
      <c r="Z52" s="480"/>
      <c r="AA52" s="480"/>
      <c r="AB52" s="480"/>
      <c r="AC52" s="480"/>
      <c r="AD52" s="480"/>
      <c r="AE52" s="480"/>
      <c r="AF52" s="480"/>
      <c r="AG52" s="480"/>
      <c r="AH52" s="480"/>
      <c r="AI52" s="480"/>
      <c r="AJ52" s="480"/>
      <c r="AK52" s="480"/>
      <c r="AL52" s="480"/>
      <c r="AM52" s="480"/>
      <c r="AN52" s="480"/>
      <c r="AO52" s="480"/>
      <c r="AP52" s="480"/>
      <c r="AQ52" s="480"/>
      <c r="AR52" s="480"/>
      <c r="AS52" s="480"/>
      <c r="AT52" s="480"/>
      <c r="AU52" s="480"/>
      <c r="AV52" s="480"/>
      <c r="AW52" s="480"/>
      <c r="AX52" s="480"/>
      <c r="AY52" s="480"/>
      <c r="AZ52" s="480"/>
      <c r="BA52" s="480"/>
      <c r="BB52" s="480"/>
      <c r="BC52" s="480"/>
      <c r="BD52" s="480" t="str">
        <f>if(isna(vlookup(concatenate("ALL",BD$48,$C52),'Preference Lookup'!$D$3:$E$150,2,false)),".",vlookup(concatenate("ALL",BD$48,$C52),'Preference Lookup'!$D$3:$E$150,2,false))</f>
        <v>.</v>
      </c>
      <c r="BE52" s="480" t="str">
        <f>if(isna(vlookup(concatenate("ALL",BE$48,$C52),'Preference Lookup'!$D$3:$E$150,2,false)),".",vlookup(concatenate("ALL",BE$48,$C52),'Preference Lookup'!$D$3:$E$150,2,false))</f>
        <v>.</v>
      </c>
      <c r="BF52" s="480" t="str">
        <f>if(isna(vlookup(concatenate("ALL",BF$48,$C52),'Preference Lookup'!$D$3:$E$150,2,false)),".",vlookup(concatenate("ALL",BF$48,$C52),'Preference Lookup'!$D$3:$E$150,2,false))</f>
        <v>.</v>
      </c>
      <c r="BG52" s="480" t="str">
        <f>if(isna(vlookup(concatenate("ALL",BG$48,$C52),'Preference Lookup'!$D$3:$E$150,2,false)),".",vlookup(concatenate("ALL",BG$48,$C52),'Preference Lookup'!$D$3:$E$150,2,false))</f>
        <v>.</v>
      </c>
    </row>
    <row r="53" ht="14.25" customHeight="1">
      <c r="A53" s="359"/>
      <c r="B53" s="314"/>
      <c r="C53" s="337"/>
      <c r="F53" s="337"/>
      <c r="G53" s="337"/>
      <c r="H53" s="482" t="str">
        <f>if(isna(vlookup(concatenate("ALL",H$48,$C53),'Preference Lookup'!$D$3:$E$150,2,false)),".",vlookup(concatenate("ALL",H$48,$C53),'Preference Lookup'!$D$3:$E$150,2,false))</f>
        <v>.</v>
      </c>
      <c r="I53" s="482"/>
      <c r="J53" s="482" t="str">
        <f>if(isna(vlookup(concatenate("ALL",J$48,$C53),'Preference Lookup'!$D$3:$E$150,2,false)),".",vlookup(concatenate("ALL",J$48,$C53),'Preference Lookup'!$D$3:$E$150,2,false))</f>
        <v>.</v>
      </c>
      <c r="K53" s="482" t="str">
        <f>if(isna(vlookup(concatenate("ALL",K$48,$C53),'Preference Lookup'!$D$3:$E$150,2,false)),".",vlookup(concatenate("ALL",K$48,$C53),'Preference Lookup'!$D$3:$E$150,2,false))</f>
        <v>.</v>
      </c>
      <c r="L53" s="482" t="s">
        <v>76</v>
      </c>
      <c r="M53" s="482"/>
      <c r="N53" s="482"/>
      <c r="O53" s="482"/>
      <c r="P53" s="482"/>
      <c r="Q53" s="482"/>
      <c r="R53" s="482"/>
      <c r="S53" s="482"/>
      <c r="T53" s="482"/>
      <c r="U53" s="482"/>
      <c r="V53" s="482"/>
      <c r="W53" s="482"/>
      <c r="X53" s="482"/>
      <c r="Y53" s="482"/>
      <c r="Z53" s="482"/>
      <c r="AA53" s="482"/>
      <c r="AB53" s="482"/>
      <c r="AC53" s="482"/>
      <c r="AD53" s="482"/>
      <c r="AE53" s="482"/>
      <c r="AF53" s="482"/>
      <c r="AG53" s="482"/>
      <c r="AH53" s="482"/>
      <c r="AI53" s="482"/>
      <c r="AJ53" s="482"/>
      <c r="AK53" s="482"/>
      <c r="AL53" s="482"/>
      <c r="AM53" s="482"/>
      <c r="AN53" s="482"/>
      <c r="AO53" s="482"/>
      <c r="AP53" s="482"/>
      <c r="AQ53" s="482"/>
      <c r="AR53" s="482"/>
      <c r="AS53" s="482"/>
      <c r="AT53" s="482"/>
      <c r="AU53" s="482"/>
      <c r="AV53" s="482"/>
      <c r="AW53" s="482"/>
      <c r="AX53" s="482"/>
      <c r="AY53" s="482"/>
      <c r="AZ53" s="482"/>
      <c r="BA53" s="482"/>
      <c r="BB53" s="482"/>
      <c r="BC53" s="482"/>
      <c r="BD53" s="482" t="str">
        <f>if(isna(vlookup(concatenate("ALL",BD$48,$C53),'Preference Lookup'!$D$3:$E$150,2,false)),".",vlookup(concatenate("ALL",BD$48,$C53),'Preference Lookup'!$D$3:$E$150,2,false))</f>
        <v>.</v>
      </c>
      <c r="BE53" s="482" t="str">
        <f>if(isna(vlookup(concatenate("ALL",BE$48,$C53),'Preference Lookup'!$D$3:$E$150,2,false)),".",vlookup(concatenate("ALL",BE$48,$C53),'Preference Lookup'!$D$3:$E$150,2,false))</f>
        <v>.</v>
      </c>
      <c r="BF53" s="482" t="str">
        <f>if(isna(vlookup(concatenate("ALL",BF$48,$C53),'Preference Lookup'!$D$3:$E$150,2,false)),".",vlookup(concatenate("ALL",BF$48,$C53),'Preference Lookup'!$D$3:$E$150,2,false))</f>
        <v>.</v>
      </c>
      <c r="BG53" s="482" t="str">
        <f>if(isna(vlookup(concatenate("ALL",BG$48,$C53),'Preference Lookup'!$D$3:$E$150,2,false)),".",vlookup(concatenate("ALL",BG$48,$C53),'Preference Lookup'!$D$3:$E$150,2,false))</f>
        <v>.</v>
      </c>
    </row>
    <row r="54" ht="14.25" customHeight="1">
      <c r="A54" s="305"/>
      <c r="B54" s="332"/>
      <c r="C54" s="307"/>
      <c r="F54" s="307"/>
      <c r="G54" s="307"/>
      <c r="H54" s="480" t="str">
        <f>if(isna(vlookup(concatenate("ALL",H$48,$C54),'Preference Lookup'!$D$3:$E$150,2,false)),".",vlookup(concatenate("ALL",H$48,$C54),'Preference Lookup'!$D$3:$E$150,2,false))</f>
        <v>.</v>
      </c>
      <c r="I54" s="480" t="str">
        <f>if(isna(vlookup(concatenate("ALL",I$48,$C54),'Preference Lookup'!$D$3:$E$150,2,false)),".",vlookup(concatenate("ALL",I$48,$C54),'Preference Lookup'!$D$3:$E$150,2,false))</f>
        <v>.</v>
      </c>
      <c r="J54" s="480" t="str">
        <f>if(isna(vlookup(concatenate("ALL",J$48,$C54),'Preference Lookup'!$D$3:$E$150,2,false)),".",vlookup(concatenate("ALL",J$48,$C54),'Preference Lookup'!$D$3:$E$150,2,false))</f>
        <v>.</v>
      </c>
      <c r="K54" s="480" t="str">
        <f>if(isna(vlookup(concatenate("ALL",K$48,$C54),'Preference Lookup'!$D$3:$E$150,2,false)),".",vlookup(concatenate("ALL",K$48,$C54),'Preference Lookup'!$D$3:$E$150,2,false))</f>
        <v>.</v>
      </c>
      <c r="L54" s="480" t="s">
        <v>76</v>
      </c>
      <c r="M54" s="480"/>
      <c r="N54" s="480"/>
      <c r="O54" s="480"/>
      <c r="P54" s="480"/>
      <c r="Q54" s="480"/>
      <c r="R54" s="480"/>
      <c r="S54" s="480"/>
      <c r="T54" s="480"/>
      <c r="U54" s="480"/>
      <c r="V54" s="480"/>
      <c r="W54" s="480"/>
      <c r="X54" s="480"/>
      <c r="Y54" s="480"/>
      <c r="Z54" s="480"/>
      <c r="AA54" s="480"/>
      <c r="AB54" s="480"/>
      <c r="AC54" s="480"/>
      <c r="AD54" s="480"/>
      <c r="AE54" s="480"/>
      <c r="AF54" s="480"/>
      <c r="AG54" s="480"/>
      <c r="AH54" s="480"/>
      <c r="AI54" s="480"/>
      <c r="AJ54" s="480"/>
      <c r="AK54" s="480"/>
      <c r="AL54" s="480"/>
      <c r="AM54" s="480"/>
      <c r="AN54" s="480"/>
      <c r="AO54" s="480"/>
      <c r="AP54" s="480"/>
      <c r="AQ54" s="480"/>
      <c r="AR54" s="480"/>
      <c r="AS54" s="480"/>
      <c r="AT54" s="480"/>
      <c r="AU54" s="480"/>
      <c r="AV54" s="480"/>
      <c r="AW54" s="480"/>
      <c r="AX54" s="480"/>
      <c r="AY54" s="480"/>
      <c r="AZ54" s="480"/>
      <c r="BA54" s="480"/>
      <c r="BB54" s="480"/>
      <c r="BC54" s="480"/>
      <c r="BD54" s="480" t="str">
        <f>if(isna(vlookup(concatenate("ALL",BD$48,$C54),'Preference Lookup'!$D$3:$E$150,2,false)),".",vlookup(concatenate("ALL",BD$48,$C54),'Preference Lookup'!$D$3:$E$150,2,false))</f>
        <v>.</v>
      </c>
      <c r="BE54" s="480" t="str">
        <f>if(isna(vlookup(concatenate("ALL",BE$48,$C54),'Preference Lookup'!$D$3:$E$150,2,false)),".",vlookup(concatenate("ALL",BE$48,$C54),'Preference Lookup'!$D$3:$E$150,2,false))</f>
        <v>.</v>
      </c>
      <c r="BF54" s="480" t="str">
        <f>if(isna(vlookup(concatenate("ALL",BF$48,$C54),'Preference Lookup'!$D$3:$E$150,2,false)),".",vlookup(concatenate("ALL",BF$48,$C54),'Preference Lookup'!$D$3:$E$150,2,false))</f>
        <v>.</v>
      </c>
      <c r="BG54" s="480" t="str">
        <f>if(isna(vlookup(concatenate("ALL",BG$48,$C54),'Preference Lookup'!$D$3:$E$150,2,false)),".",vlookup(concatenate("ALL",BG$48,$C54),'Preference Lookup'!$D$3:$E$150,2,false))</f>
        <v>.</v>
      </c>
    </row>
    <row r="55" ht="14.25" customHeight="1">
      <c r="A55" s="359"/>
      <c r="B55" s="314"/>
      <c r="C55" s="337"/>
      <c r="F55" s="337"/>
      <c r="G55" s="337"/>
      <c r="H55" s="482" t="str">
        <f>if(isna(vlookup(concatenate("ALL",H$48,$C55),'Preference Lookup'!$D$3:$E$150,2,false)),".",vlookup(concatenate("ALL",H$48,$C55),'Preference Lookup'!$D$3:$E$150,2,false))</f>
        <v>.</v>
      </c>
      <c r="I55" s="482" t="str">
        <f>if(isna(vlookup(concatenate("ALL",I$48,$C55),'Preference Lookup'!$D$3:$E$150,2,false)),".",vlookup(concatenate("ALL",I$48,$C55),'Preference Lookup'!$D$3:$E$150,2,false))</f>
        <v>.</v>
      </c>
      <c r="J55" s="482" t="str">
        <f>if(isna(vlookup(concatenate("ALL",J$48,$C55),'Preference Lookup'!$D$3:$E$150,2,false)),".",vlookup(concatenate("ALL",J$48,$C55),'Preference Lookup'!$D$3:$E$150,2,false))</f>
        <v>.</v>
      </c>
      <c r="K55" s="482" t="str">
        <f>if(isna(vlookup(concatenate("ALL",K$48,$C55),'Preference Lookup'!$D$3:$E$150,2,false)),".",vlookup(concatenate("ALL",K$48,$C55),'Preference Lookup'!$D$3:$E$150,2,false))</f>
        <v>.</v>
      </c>
      <c r="L55" s="482" t="s">
        <v>76</v>
      </c>
      <c r="M55" s="482"/>
      <c r="N55" s="482"/>
      <c r="O55" s="482"/>
      <c r="P55" s="482"/>
      <c r="Q55" s="482"/>
      <c r="R55" s="482"/>
      <c r="S55" s="482"/>
      <c r="T55" s="482"/>
      <c r="U55" s="482"/>
      <c r="V55" s="482"/>
      <c r="W55" s="482"/>
      <c r="X55" s="482"/>
      <c r="Y55" s="482"/>
      <c r="Z55" s="482"/>
      <c r="AA55" s="482"/>
      <c r="AB55" s="482"/>
      <c r="AC55" s="482"/>
      <c r="AD55" s="482"/>
      <c r="AE55" s="482"/>
      <c r="AF55" s="482"/>
      <c r="AG55" s="482"/>
      <c r="AH55" s="482"/>
      <c r="AI55" s="482"/>
      <c r="AJ55" s="482"/>
      <c r="AK55" s="482"/>
      <c r="AL55" s="482"/>
      <c r="AM55" s="482"/>
      <c r="AN55" s="482"/>
      <c r="AO55" s="482"/>
      <c r="AP55" s="482"/>
      <c r="AQ55" s="482"/>
      <c r="AR55" s="482"/>
      <c r="AS55" s="482"/>
      <c r="AT55" s="482"/>
      <c r="AU55" s="482"/>
      <c r="AV55" s="482"/>
      <c r="AW55" s="482"/>
      <c r="AX55" s="482"/>
      <c r="AY55" s="482"/>
      <c r="AZ55" s="482"/>
      <c r="BA55" s="482"/>
      <c r="BB55" s="482"/>
      <c r="BC55" s="482"/>
      <c r="BD55" s="482" t="str">
        <f>if(isna(vlookup(concatenate("ALL",BD$48,$C55),'Preference Lookup'!$D$3:$E$150,2,false)),".",vlookup(concatenate("ALL",BD$48,$C55),'Preference Lookup'!$D$3:$E$150,2,false))</f>
        <v>.</v>
      </c>
      <c r="BE55" s="482" t="str">
        <f>if(isna(vlookup(concatenate("ALL",BE$48,$C55),'Preference Lookup'!$D$3:$E$150,2,false)),".",vlookup(concatenate("ALL",BE$48,$C55),'Preference Lookup'!$D$3:$E$150,2,false))</f>
        <v>.</v>
      </c>
      <c r="BF55" s="482" t="str">
        <f>if(isna(vlookup(concatenate("ALL",BF$48,$C55),'Preference Lookup'!$D$3:$E$150,2,false)),".",vlookup(concatenate("ALL",BF$48,$C55),'Preference Lookup'!$D$3:$E$150,2,false))</f>
        <v>.</v>
      </c>
      <c r="BG55" s="482" t="str">
        <f>if(isna(vlookup(concatenate("ALL",BG$48,$C55),'Preference Lookup'!$D$3:$E$150,2,false)),".",vlookup(concatenate("ALL",BG$48,$C55),'Preference Lookup'!$D$3:$E$150,2,false))</f>
        <v>.</v>
      </c>
    </row>
    <row r="56" ht="14.25" customHeight="1">
      <c r="A56" s="305"/>
      <c r="B56" s="332"/>
      <c r="C56" s="307"/>
      <c r="F56" s="307"/>
      <c r="G56" s="307"/>
      <c r="H56" s="480" t="str">
        <f>if(isna(vlookup(concatenate("ALL",H$48,$C56),'Preference Lookup'!$D$3:$E$150,2,false)),".",vlookup(concatenate("ALL",H$48,$C56),'Preference Lookup'!$D$3:$E$150,2,false))</f>
        <v>.</v>
      </c>
      <c r="I56" s="480" t="str">
        <f>if(isna(vlookup(concatenate("ALL",I$48,$C56),'Preference Lookup'!$D$3:$E$150,2,false)),".",vlookup(concatenate("ALL",I$48,$C56),'Preference Lookup'!$D$3:$E$150,2,false))</f>
        <v>.</v>
      </c>
      <c r="J56" s="480" t="str">
        <f>if(isna(vlookup(concatenate("ALL",J$48,$C56),'Preference Lookup'!$D$3:$E$150,2,false)),".",vlookup(concatenate("ALL",J$48,$C56),'Preference Lookup'!$D$3:$E$150,2,false))</f>
        <v>.</v>
      </c>
      <c r="K56" s="480" t="str">
        <f>if(isna(vlookup(concatenate("ALL",K$48,$C56),'Preference Lookup'!$D$3:$E$150,2,false)),".",vlookup(concatenate("ALL",K$48,$C56),'Preference Lookup'!$D$3:$E$150,2,false))</f>
        <v>.</v>
      </c>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0"/>
      <c r="AN56" s="480"/>
      <c r="AO56" s="480"/>
      <c r="AP56" s="480"/>
      <c r="AQ56" s="480"/>
      <c r="AR56" s="480"/>
      <c r="AS56" s="480"/>
      <c r="AT56" s="480"/>
      <c r="AU56" s="480"/>
      <c r="AV56" s="480"/>
      <c r="AW56" s="480"/>
      <c r="AX56" s="480"/>
      <c r="AY56" s="480"/>
      <c r="AZ56" s="480"/>
      <c r="BA56" s="480"/>
      <c r="BB56" s="480"/>
      <c r="BC56" s="480"/>
      <c r="BD56" s="480" t="str">
        <f>if(isna(vlookup(concatenate("ALL",BD$48,$C56),'Preference Lookup'!$D$3:$E$150,2,false)),".",vlookup(concatenate("ALL",BD$48,$C56),'Preference Lookup'!$D$3:$E$150,2,false))</f>
        <v>.</v>
      </c>
      <c r="BE56" s="480" t="str">
        <f>if(isna(vlookup(concatenate("ALL",BE$48,$C56),'Preference Lookup'!$D$3:$E$150,2,false)),".",vlookup(concatenate("ALL",BE$48,$C56),'Preference Lookup'!$D$3:$E$150,2,false))</f>
        <v>.</v>
      </c>
      <c r="BF56" s="480" t="str">
        <f>if(isna(vlookup(concatenate("ALL",BF$48,$C56),'Preference Lookup'!$D$3:$E$150,2,false)),".",vlookup(concatenate("ALL",BF$48,$C56),'Preference Lookup'!$D$3:$E$150,2,false))</f>
        <v>.</v>
      </c>
      <c r="BG56" s="480" t="str">
        <f>if(isna(vlookup(concatenate("ALL",BG$48,$C56),'Preference Lookup'!$D$3:$E$150,2,false)),".",vlookup(concatenate("ALL",BG$48,$C56),'Preference Lookup'!$D$3:$E$150,2,false))</f>
        <v>.</v>
      </c>
    </row>
    <row r="57" ht="14.25" customHeight="1">
      <c r="A57" s="298"/>
      <c r="B57" s="343"/>
      <c r="C57" s="344"/>
      <c r="F57" s="344"/>
      <c r="G57" s="477"/>
      <c r="H57" s="483"/>
      <c r="I57" s="483"/>
      <c r="J57" s="483"/>
      <c r="K57" s="484"/>
      <c r="L57" s="484"/>
      <c r="M57" s="484"/>
      <c r="N57" s="484"/>
      <c r="O57" s="484"/>
      <c r="P57" s="484"/>
      <c r="Q57" s="484"/>
      <c r="R57" s="484"/>
      <c r="S57" s="484"/>
      <c r="T57" s="484"/>
      <c r="U57" s="484"/>
      <c r="V57" s="484"/>
      <c r="W57" s="484"/>
      <c r="X57" s="484"/>
      <c r="Y57" s="484"/>
      <c r="Z57" s="484"/>
      <c r="AA57" s="484"/>
      <c r="AB57" s="484"/>
      <c r="AC57" s="484"/>
      <c r="AD57" s="484"/>
      <c r="AE57" s="484"/>
      <c r="AF57" s="484"/>
      <c r="AG57" s="484"/>
      <c r="AH57" s="484"/>
      <c r="AI57" s="484"/>
      <c r="AJ57" s="484"/>
      <c r="AK57" s="484"/>
      <c r="AL57" s="484"/>
      <c r="AM57" s="484"/>
      <c r="AN57" s="484"/>
      <c r="AO57" s="484"/>
      <c r="AP57" s="484"/>
      <c r="AQ57" s="484"/>
      <c r="AR57" s="484"/>
      <c r="AS57" s="484"/>
      <c r="AT57" s="484"/>
      <c r="AU57" s="484"/>
      <c r="AV57" s="484"/>
      <c r="AW57" s="484"/>
      <c r="AX57" s="484"/>
      <c r="AY57" s="484"/>
      <c r="AZ57" s="484"/>
      <c r="BA57" s="484"/>
      <c r="BB57" s="484"/>
      <c r="BC57" s="484"/>
      <c r="BD57" s="484"/>
      <c r="BE57" s="484"/>
      <c r="BF57" s="484"/>
      <c r="BG57" s="484"/>
    </row>
    <row r="58" ht="14.25" customHeight="1">
      <c r="A58" s="305">
        <v>1.0</v>
      </c>
      <c r="B58" s="347"/>
      <c r="C58" s="348"/>
      <c r="F58" s="348"/>
      <c r="G58" s="485"/>
      <c r="H58" s="486" t="str">
        <f>if(isna(vlookup(concatenate("ALL",H$48,$C58),'Preference Lookup'!$D$3:$E$150,2,false)),".",vlookup(concatenate("ALL",H$48,$C58),'Preference Lookup'!$D$3:$E$150,2,false))</f>
        <v>.</v>
      </c>
      <c r="I58" s="486" t="str">
        <f>if(isna(vlookup(concatenate("ALL",I$48,$C58),'Preference Lookup'!$D$3:$E$150,2,false)),".",vlookup(concatenate("ALL",I$48,$C58),'Preference Lookup'!$D$3:$E$150,2,false))</f>
        <v>.</v>
      </c>
      <c r="J58" s="486" t="str">
        <f>if(isna(vlookup(concatenate("ALL",J$48,$C58),'Preference Lookup'!$D$3:$E$150,2,false)),".",vlookup(concatenate("ALL",J$48,$C58),'Preference Lookup'!$D$3:$E$150,2,false))</f>
        <v>.</v>
      </c>
      <c r="K58" s="486" t="str">
        <f>if(isna(vlookup(concatenate("ALL",K$48,$C58),'Preference Lookup'!$D$3:$E$150,2,false)),".",vlookup(concatenate("ALL",K$48,$C58),'Preference Lookup'!$D$3:$E$150,2,false))</f>
        <v>.</v>
      </c>
      <c r="L58" s="480" t="s">
        <v>76</v>
      </c>
      <c r="M58" s="480"/>
      <c r="N58" s="480"/>
      <c r="O58" s="480"/>
      <c r="P58" s="480"/>
      <c r="Q58" s="480"/>
      <c r="R58" s="480"/>
      <c r="S58" s="480"/>
      <c r="T58" s="480"/>
      <c r="U58" s="480"/>
      <c r="V58" s="480"/>
      <c r="W58" s="480"/>
      <c r="X58" s="480"/>
      <c r="Y58" s="480"/>
      <c r="Z58" s="480"/>
      <c r="AA58" s="480"/>
      <c r="AB58" s="480"/>
      <c r="AC58" s="480"/>
      <c r="AD58" s="480"/>
      <c r="AE58" s="480"/>
      <c r="AF58" s="480"/>
      <c r="AG58" s="480"/>
      <c r="AH58" s="480"/>
      <c r="AI58" s="480"/>
      <c r="AJ58" s="480"/>
      <c r="AK58" s="480"/>
      <c r="AL58" s="480"/>
      <c r="AM58" s="480"/>
      <c r="AN58" s="480"/>
      <c r="AO58" s="480"/>
      <c r="AP58" s="480"/>
      <c r="AQ58" s="480"/>
      <c r="AR58" s="480"/>
      <c r="AS58" s="480"/>
      <c r="AT58" s="480"/>
      <c r="AU58" s="480"/>
      <c r="AV58" s="480"/>
      <c r="AW58" s="480"/>
      <c r="AX58" s="480"/>
      <c r="AY58" s="480"/>
      <c r="AZ58" s="480"/>
      <c r="BA58" s="480"/>
      <c r="BB58" s="480"/>
      <c r="BC58" s="480"/>
      <c r="BD58" s="480" t="str">
        <f>if(isna(vlookup(concatenate("ALL",BD$48,$C58),'Preference Lookup'!$D$3:$E$150,2,false)),".",vlookup(concatenate("ALL",BD$48,$C58),'Preference Lookup'!$D$3:$E$150,2,false))</f>
        <v>.</v>
      </c>
      <c r="BE58" s="480" t="str">
        <f>if(isna(vlookup(concatenate("ALL",BE$48,$C58),'Preference Lookup'!$D$3:$E$150,2,false)),".",vlookup(concatenate("ALL",BE$48,$C58),'Preference Lookup'!$D$3:$E$150,2,false))</f>
        <v>.</v>
      </c>
      <c r="BF58" s="480" t="str">
        <f>if(isna(vlookup(concatenate("ALL",BF$48,$C58),'Preference Lookup'!$D$3:$E$150,2,false)),".",vlookup(concatenate("ALL",BF$48,$C58),'Preference Lookup'!$D$3:$E$150,2,false))</f>
        <v>.</v>
      </c>
      <c r="BG58" s="480" t="str">
        <f>if(isna(vlookup(concatenate("ALL",BG$48,$C58),'Preference Lookup'!$D$3:$E$150,2,false)),".",vlookup(concatenate("ALL",BG$48,$C58),'Preference Lookup'!$D$3:$E$150,2,false))</f>
        <v>.</v>
      </c>
    </row>
    <row r="59" ht="14.25" customHeight="1">
      <c r="A59" s="312">
        <f t="shared" ref="A59:A61" si="6">A58+1</f>
        <v>2</v>
      </c>
      <c r="B59" s="349"/>
      <c r="C59" s="350" t="s">
        <v>340</v>
      </c>
      <c r="F59" s="350"/>
      <c r="G59" s="487"/>
      <c r="H59" s="488" t="str">
        <f>if(isna(vlookup(concatenate("ALL",H$48,$C59),'Preference Lookup'!$D$3:$E$150,2,false)),".",vlookup(concatenate("ALL",H$48,$C59),'Preference Lookup'!$D$3:$E$150,2,false))</f>
        <v>.</v>
      </c>
      <c r="I59" s="488" t="str">
        <f>if(isna(vlookup(concatenate("ALL",I$48,$C59),'Preference Lookup'!$D$3:$E$150,2,false)),".",vlookup(concatenate("ALL",I$48,$C59),'Preference Lookup'!$D$3:$E$150,2,false))</f>
        <v>.</v>
      </c>
      <c r="J59" s="489" t="str">
        <f>if(isna(vlookup(concatenate("ALL",J$48,$C59),'Preference Lookup'!$D$3:$E$150,2,false)),".",vlookup(concatenate("ALL",J$48,$C59),'Preference Lookup'!$D$3:$E$150,2,false))</f>
        <v>.</v>
      </c>
      <c r="K59" s="489" t="str">
        <f>if(isna(vlookup(concatenate("ALL",K$48,$C59),'Preference Lookup'!$D$3:$E$150,2,false)),".",vlookup(concatenate("ALL",K$48,$C59),'Preference Lookup'!$D$3:$E$150,2,false))</f>
        <v>.</v>
      </c>
      <c r="L59" s="482" t="s">
        <v>76</v>
      </c>
      <c r="M59" s="482"/>
      <c r="N59" s="482"/>
      <c r="O59" s="482"/>
      <c r="P59" s="482"/>
      <c r="Q59" s="482"/>
      <c r="R59" s="482"/>
      <c r="S59" s="482"/>
      <c r="T59" s="482"/>
      <c r="U59" s="482"/>
      <c r="V59" s="482"/>
      <c r="W59" s="482"/>
      <c r="X59" s="482"/>
      <c r="Y59" s="482"/>
      <c r="Z59" s="482"/>
      <c r="AA59" s="482"/>
      <c r="AB59" s="482"/>
      <c r="AC59" s="482"/>
      <c r="AD59" s="482"/>
      <c r="AE59" s="482"/>
      <c r="AF59" s="482"/>
      <c r="AG59" s="482"/>
      <c r="AH59" s="482"/>
      <c r="AI59" s="482"/>
      <c r="AJ59" s="482"/>
      <c r="AK59" s="482"/>
      <c r="AL59" s="482"/>
      <c r="AM59" s="482"/>
      <c r="AN59" s="482"/>
      <c r="AO59" s="482"/>
      <c r="AP59" s="482"/>
      <c r="AQ59" s="482"/>
      <c r="AR59" s="482"/>
      <c r="AS59" s="482"/>
      <c r="AT59" s="482"/>
      <c r="AU59" s="482"/>
      <c r="AV59" s="482"/>
      <c r="AW59" s="482"/>
      <c r="AX59" s="482"/>
      <c r="AY59" s="482"/>
      <c r="AZ59" s="482"/>
      <c r="BA59" s="482"/>
      <c r="BB59" s="482"/>
      <c r="BC59" s="482"/>
      <c r="BD59" s="482" t="str">
        <f>if(isna(vlookup(concatenate("ALL",BD$48,$C59),'Preference Lookup'!$D$3:$E$150,2,false)),".",vlookup(concatenate("ALL",BD$48,$C59),'Preference Lookup'!$D$3:$E$150,2,false))</f>
        <v>.</v>
      </c>
      <c r="BE59" s="482" t="str">
        <f>if(isna(vlookup(concatenate("ALL",BE$48,$C59),'Preference Lookup'!$D$3:$E$150,2,false)),".",vlookup(concatenate("ALL",BE$48,$C59),'Preference Lookup'!$D$3:$E$150,2,false))</f>
        <v>.</v>
      </c>
      <c r="BF59" s="482" t="str">
        <f>if(isna(vlookup(concatenate("ALL",BF$48,$C59),'Preference Lookup'!$D$3:$E$150,2,false)),".",vlookup(concatenate("ALL",BF$48,$C59),'Preference Lookup'!$D$3:$E$150,2,false))</f>
        <v>.</v>
      </c>
      <c r="BG59" s="482" t="str">
        <f>if(isna(vlookup(concatenate("ALL",BG$48,$C59),'Preference Lookup'!$D$3:$E$150,2,false)),".",vlookup(concatenate("ALL",BG$48,$C59),'Preference Lookup'!$D$3:$E$150,2,false))</f>
        <v>.</v>
      </c>
    </row>
    <row r="60" ht="14.25" customHeight="1">
      <c r="A60" s="342">
        <f t="shared" si="6"/>
        <v>3</v>
      </c>
      <c r="B60" s="347"/>
      <c r="C60" s="348" t="s">
        <v>341</v>
      </c>
      <c r="F60" s="348"/>
      <c r="G60" s="485"/>
      <c r="H60" s="490" t="str">
        <f>if(isna(vlookup(concatenate("ALL",H$48,$C60),'Preference Lookup'!$D$3:$E$150,2,false)),".",vlookup(concatenate("ALL",H$48,$C60),'Preference Lookup'!$D$3:$E$150,2,false))</f>
        <v>.</v>
      </c>
      <c r="I60" s="490" t="str">
        <f>if(isna(vlookup(concatenate("ALL",I$48,$C60),'Preference Lookup'!$D$3:$E$150,2,false)),".",vlookup(concatenate("ALL",I$48,$C60),'Preference Lookup'!$D$3:$E$150,2,false))</f>
        <v>.</v>
      </c>
      <c r="J60" s="486" t="str">
        <f>if(isna(vlookup(concatenate("ALL",J$48,$C60),'Preference Lookup'!$D$3:$E$150,2,false)),".",vlookup(concatenate("ALL",J$48,$C60),'Preference Lookup'!$D$3:$E$150,2,false))</f>
        <v>.</v>
      </c>
      <c r="K60" s="486" t="str">
        <f>if(isna(vlookup(concatenate("ALL",K$48,$C60),'Preference Lookup'!$D$3:$E$150,2,false)),".",vlookup(concatenate("ALL",K$48,$C60),'Preference Lookup'!$D$3:$E$150,2,false))</f>
        <v>.</v>
      </c>
      <c r="L60" s="480" t="s">
        <v>76</v>
      </c>
      <c r="M60" s="480"/>
      <c r="N60" s="480"/>
      <c r="O60" s="480"/>
      <c r="P60" s="480"/>
      <c r="Q60" s="480"/>
      <c r="R60" s="480"/>
      <c r="S60" s="480"/>
      <c r="T60" s="480"/>
      <c r="U60" s="480"/>
      <c r="V60" s="480"/>
      <c r="W60" s="480"/>
      <c r="X60" s="480"/>
      <c r="Y60" s="480"/>
      <c r="Z60" s="480"/>
      <c r="AA60" s="480"/>
      <c r="AB60" s="480"/>
      <c r="AC60" s="480"/>
      <c r="AD60" s="480"/>
      <c r="AE60" s="480"/>
      <c r="AF60" s="480"/>
      <c r="AG60" s="480"/>
      <c r="AH60" s="480"/>
      <c r="AI60" s="480"/>
      <c r="AJ60" s="480"/>
      <c r="AK60" s="480"/>
      <c r="AL60" s="480"/>
      <c r="AM60" s="480"/>
      <c r="AN60" s="480"/>
      <c r="AO60" s="480"/>
      <c r="AP60" s="480"/>
      <c r="AQ60" s="480"/>
      <c r="AR60" s="480"/>
      <c r="AS60" s="480"/>
      <c r="AT60" s="480"/>
      <c r="AU60" s="480"/>
      <c r="AV60" s="480"/>
      <c r="AW60" s="480"/>
      <c r="AX60" s="480"/>
      <c r="AY60" s="480"/>
      <c r="AZ60" s="480"/>
      <c r="BA60" s="480"/>
      <c r="BB60" s="480"/>
      <c r="BC60" s="480"/>
      <c r="BD60" s="480" t="str">
        <f>if(isna(vlookup(concatenate("ALL",BD$48,$C60),'Preference Lookup'!$D$3:$E$150,2,false)),".",vlookup(concatenate("ALL",BD$48,$C60),'Preference Lookup'!$D$3:$E$150,2,false))</f>
        <v>.</v>
      </c>
      <c r="BE60" s="480" t="str">
        <f>if(isna(vlookup(concatenate("ALL",BE$48,$C60),'Preference Lookup'!$D$3:$E$150,2,false)),".",vlookup(concatenate("ALL",BE$48,$C60),'Preference Lookup'!$D$3:$E$150,2,false))</f>
        <v>.</v>
      </c>
      <c r="BF60" s="480" t="str">
        <f>if(isna(vlookup(concatenate("ALL",BF$48,$C60),'Preference Lookup'!$D$3:$E$150,2,false)),".",vlookup(concatenate("ALL",BF$48,$C60),'Preference Lookup'!$D$3:$E$150,2,false))</f>
        <v>.</v>
      </c>
      <c r="BG60" s="480" t="str">
        <f>if(isna(vlookup(concatenate("ALL",BG$48,$C60),'Preference Lookup'!$D$3:$E$150,2,false)),".",vlookup(concatenate("ALL",BG$48,$C60),'Preference Lookup'!$D$3:$E$150,2,false))</f>
        <v>.</v>
      </c>
    </row>
    <row r="61" ht="14.25" customHeight="1">
      <c r="A61" s="312">
        <f t="shared" si="6"/>
        <v>4</v>
      </c>
      <c r="B61" s="349"/>
      <c r="C61" s="350" t="s">
        <v>342</v>
      </c>
      <c r="F61" s="350"/>
      <c r="G61" s="350"/>
      <c r="H61" s="489" t="str">
        <f>if(isna(vlookup(concatenate("ALL",H$48,$C61),'Preference Lookup'!$D$3:$E$150,2,false)),".",vlookup(concatenate("ALL",H$48,$C61),'Preference Lookup'!$D$3:$E$150,2,false))</f>
        <v>.</v>
      </c>
      <c r="I61" s="489" t="str">
        <f>if(isna(vlookup(concatenate("ALL",I$48,$C61),'Preference Lookup'!$D$3:$E$150,2,false)),".",vlookup(concatenate("ALL",I$48,$C61),'Preference Lookup'!$D$3:$E$150,2,false))</f>
        <v>.</v>
      </c>
      <c r="J61" s="489" t="str">
        <f>if(isna(vlookup(concatenate("ALL",J$48,$C61),'Preference Lookup'!$D$3:$E$150,2,false)),".",vlookup(concatenate("ALL",J$48,$C61),'Preference Lookup'!$D$3:$E$150,2,false))</f>
        <v>.</v>
      </c>
      <c r="K61" s="489" t="str">
        <f>if(isna(vlookup(concatenate("ALL",K$48,$C61),'Preference Lookup'!$D$3:$E$150,2,false)),".",vlookup(concatenate("ALL",K$48,$C61),'Preference Lookup'!$D$3:$E$150,2,false))</f>
        <v>.</v>
      </c>
      <c r="L61" s="482" t="s">
        <v>76</v>
      </c>
      <c r="M61" s="482"/>
      <c r="N61" s="482"/>
      <c r="O61" s="482"/>
      <c r="P61" s="482"/>
      <c r="Q61" s="482"/>
      <c r="R61" s="482"/>
      <c r="S61" s="482"/>
      <c r="T61" s="482"/>
      <c r="U61" s="482"/>
      <c r="V61" s="482"/>
      <c r="W61" s="482"/>
      <c r="X61" s="482"/>
      <c r="Y61" s="482"/>
      <c r="Z61" s="482"/>
      <c r="AA61" s="482"/>
      <c r="AB61" s="482"/>
      <c r="AC61" s="482"/>
      <c r="AD61" s="482"/>
      <c r="AE61" s="482"/>
      <c r="AF61" s="482"/>
      <c r="AG61" s="482"/>
      <c r="AH61" s="482"/>
      <c r="AI61" s="482"/>
      <c r="AJ61" s="482"/>
      <c r="AK61" s="482"/>
      <c r="AL61" s="482"/>
      <c r="AM61" s="482"/>
      <c r="AN61" s="482"/>
      <c r="AO61" s="482"/>
      <c r="AP61" s="482"/>
      <c r="AQ61" s="482"/>
      <c r="AR61" s="482"/>
      <c r="AS61" s="482"/>
      <c r="AT61" s="482"/>
      <c r="AU61" s="482"/>
      <c r="AV61" s="482"/>
      <c r="AW61" s="482"/>
      <c r="AX61" s="482"/>
      <c r="AY61" s="482"/>
      <c r="AZ61" s="482"/>
      <c r="BA61" s="482"/>
      <c r="BB61" s="482"/>
      <c r="BC61" s="482"/>
      <c r="BD61" s="482" t="str">
        <f>if(isna(vlookup(concatenate("ALL",BD$48,$C61),'Preference Lookup'!$D$3:$E$150,2,false)),".",vlookup(concatenate("ALL",BD$48,$C61),'Preference Lookup'!$D$3:$E$150,2,false))</f>
        <v>.</v>
      </c>
      <c r="BE61" s="482" t="str">
        <f>if(isna(vlookup(concatenate("ALL",BE$48,$C61),'Preference Lookup'!$D$3:$E$150,2,false)),".",vlookup(concatenate("ALL",BE$48,$C61),'Preference Lookup'!$D$3:$E$150,2,false))</f>
        <v>.</v>
      </c>
      <c r="BF61" s="482" t="str">
        <f>if(isna(vlookup(concatenate("ALL",BF$48,$C61),'Preference Lookup'!$D$3:$E$150,2,false)),".",vlookup(concatenate("ALL",BF$48,$C61),'Preference Lookup'!$D$3:$E$150,2,false))</f>
        <v>.</v>
      </c>
      <c r="BG61" s="482" t="str">
        <f>if(isna(vlookup(concatenate("ALL",BG$48,$C61),'Preference Lookup'!$D$3:$E$150,2,false)),".",vlookup(concatenate("ALL",BG$48,$C61),'Preference Lookup'!$D$3:$E$150,2,false))</f>
        <v>.</v>
      </c>
    </row>
    <row r="62" ht="14.25" customHeight="1">
      <c r="A62" s="342"/>
      <c r="B62" s="351"/>
      <c r="C62" s="348"/>
      <c r="D62" s="352"/>
      <c r="E62" s="353"/>
      <c r="F62" s="353"/>
      <c r="G62" s="353"/>
      <c r="H62" s="419"/>
      <c r="I62" s="419"/>
      <c r="J62" s="419"/>
      <c r="K62" s="419"/>
      <c r="L62" s="419"/>
      <c r="M62" s="419"/>
      <c r="N62" s="419"/>
      <c r="O62" s="419"/>
      <c r="P62" s="419"/>
      <c r="Q62" s="419"/>
      <c r="R62" s="419"/>
      <c r="S62" s="419"/>
      <c r="T62" s="419"/>
      <c r="U62" s="419"/>
      <c r="V62" s="419"/>
      <c r="W62" s="419"/>
      <c r="X62" s="419"/>
      <c r="Y62" s="419"/>
      <c r="Z62" s="419"/>
      <c r="AA62" s="419"/>
      <c r="AB62" s="419"/>
      <c r="AC62" s="419"/>
      <c r="AD62" s="419"/>
      <c r="AE62" s="419"/>
      <c r="AF62" s="419"/>
      <c r="AG62" s="419"/>
      <c r="AH62" s="419"/>
      <c r="AI62" s="419"/>
      <c r="AJ62" s="419"/>
      <c r="AK62" s="419"/>
      <c r="AL62" s="419"/>
      <c r="AM62" s="419"/>
      <c r="AN62" s="419"/>
      <c r="AO62" s="419"/>
      <c r="AP62" s="419"/>
      <c r="AQ62" s="419"/>
      <c r="AR62" s="419"/>
      <c r="AS62" s="419"/>
      <c r="AT62" s="419"/>
      <c r="AU62" s="419"/>
      <c r="AV62" s="419"/>
      <c r="AW62" s="419"/>
      <c r="AX62" s="419"/>
      <c r="AY62" s="419"/>
      <c r="AZ62" s="419"/>
      <c r="BA62" s="419"/>
      <c r="BB62" s="419"/>
      <c r="BC62" s="419"/>
      <c r="BD62" s="419"/>
      <c r="BE62" s="419"/>
      <c r="BF62" s="419"/>
      <c r="BG62" s="419"/>
    </row>
    <row r="63" ht="14.25" customHeight="1">
      <c r="A63" s="290"/>
      <c r="B63" s="291"/>
      <c r="C63" s="319" t="s">
        <v>269</v>
      </c>
      <c r="D63" s="293"/>
      <c r="E63" s="293"/>
      <c r="F63" s="293"/>
      <c r="G63" s="491"/>
      <c r="H63" s="407"/>
      <c r="I63" s="407"/>
      <c r="J63" s="407"/>
      <c r="K63" s="407"/>
      <c r="L63" s="407"/>
      <c r="M63" s="407"/>
      <c r="N63" s="407"/>
      <c r="O63" s="407"/>
      <c r="P63" s="407"/>
      <c r="Q63" s="407"/>
      <c r="R63" s="407"/>
      <c r="S63" s="407"/>
      <c r="T63" s="407"/>
      <c r="U63" s="407"/>
      <c r="V63" s="407"/>
      <c r="W63" s="407"/>
      <c r="X63" s="407"/>
      <c r="Y63" s="407"/>
      <c r="Z63" s="407"/>
      <c r="AA63" s="407"/>
      <c r="AB63" s="407"/>
      <c r="AC63" s="407"/>
      <c r="AD63" s="407"/>
      <c r="AE63" s="407"/>
      <c r="AF63" s="407"/>
      <c r="AG63" s="407"/>
      <c r="AH63" s="407"/>
      <c r="AI63" s="407"/>
      <c r="AJ63" s="407"/>
      <c r="AK63" s="407"/>
      <c r="AL63" s="407"/>
      <c r="AM63" s="407"/>
      <c r="AN63" s="407"/>
      <c r="AO63" s="407"/>
      <c r="AP63" s="407"/>
      <c r="AQ63" s="407"/>
      <c r="AR63" s="407"/>
      <c r="AS63" s="407"/>
      <c r="AT63" s="407"/>
      <c r="AU63" s="407"/>
      <c r="AV63" s="407"/>
      <c r="AW63" s="407"/>
      <c r="AX63" s="407"/>
      <c r="AY63" s="407"/>
      <c r="AZ63" s="407"/>
      <c r="BA63" s="407"/>
      <c r="BB63" s="407"/>
      <c r="BC63" s="407"/>
      <c r="BD63" s="468"/>
      <c r="BE63" s="468"/>
      <c r="BF63" s="468"/>
      <c r="BG63" s="468"/>
    </row>
    <row r="64" ht="14.25" customHeight="1">
      <c r="A64" s="354"/>
      <c r="B64" s="321"/>
      <c r="C64" s="355"/>
      <c r="D64" s="321"/>
      <c r="E64" s="321"/>
      <c r="F64" s="321"/>
      <c r="G64" s="492"/>
      <c r="H64" s="493" t="str">
        <f t="shared" ref="H64:K64" si="7">H$48</f>
        <v>Email</v>
      </c>
      <c r="I64" s="493" t="str">
        <f t="shared" si="7"/>
        <v>Push - Rewards App</v>
      </c>
      <c r="J64" s="493" t="str">
        <f t="shared" si="7"/>
        <v>Rewards App</v>
      </c>
      <c r="K64" s="493" t="str">
        <f t="shared" si="7"/>
        <v/>
      </c>
      <c r="L64" s="493"/>
      <c r="M64" s="493"/>
      <c r="N64" s="493"/>
      <c r="O64" s="493"/>
      <c r="P64" s="493"/>
      <c r="Q64" s="493"/>
      <c r="R64" s="493"/>
      <c r="S64" s="493"/>
      <c r="T64" s="493"/>
      <c r="U64" s="493"/>
      <c r="V64" s="493"/>
      <c r="W64" s="493"/>
      <c r="X64" s="493"/>
      <c r="Y64" s="493"/>
      <c r="Z64" s="493"/>
      <c r="AA64" s="493"/>
      <c r="AB64" s="493"/>
      <c r="AC64" s="493"/>
      <c r="AD64" s="493"/>
      <c r="AE64" s="493"/>
      <c r="AF64" s="493"/>
      <c r="AG64" s="493"/>
      <c r="AH64" s="493"/>
      <c r="AI64" s="493"/>
      <c r="AJ64" s="493"/>
      <c r="AK64" s="493"/>
      <c r="AL64" s="493"/>
      <c r="AM64" s="493"/>
      <c r="AN64" s="493"/>
      <c r="AO64" s="493"/>
      <c r="AP64" s="493"/>
      <c r="AQ64" s="493"/>
      <c r="AR64" s="493"/>
      <c r="AS64" s="493"/>
      <c r="AT64" s="493"/>
      <c r="AU64" s="493"/>
      <c r="AV64" s="493"/>
      <c r="AW64" s="493"/>
      <c r="AX64" s="493"/>
      <c r="AY64" s="493"/>
      <c r="AZ64" s="493"/>
      <c r="BA64" s="493"/>
      <c r="BB64" s="493"/>
      <c r="BC64" s="493"/>
      <c r="BD64" s="493" t="str">
        <f t="shared" ref="BD64:BF64" si="8">BD$48</f>
        <v>Email</v>
      </c>
      <c r="BE64" s="493" t="str">
        <f t="shared" si="8"/>
        <v>Push - Rewards App</v>
      </c>
      <c r="BF64" s="493" t="str">
        <f t="shared" si="8"/>
        <v>Rewards App</v>
      </c>
      <c r="BG64" s="493"/>
    </row>
    <row r="65" ht="14.25" customHeight="1">
      <c r="A65" s="298"/>
      <c r="B65" s="299"/>
      <c r="C65" s="329" t="s">
        <v>270</v>
      </c>
      <c r="D65" s="328"/>
      <c r="E65" s="328"/>
      <c r="F65" s="328"/>
      <c r="G65" s="478"/>
      <c r="H65" s="478"/>
      <c r="I65" s="478"/>
      <c r="J65" s="478"/>
      <c r="K65" s="478"/>
      <c r="L65" s="478"/>
      <c r="M65" s="478"/>
      <c r="N65" s="478"/>
      <c r="O65" s="478"/>
      <c r="P65" s="478"/>
      <c r="Q65" s="478"/>
      <c r="R65" s="478"/>
      <c r="S65" s="478"/>
      <c r="T65" s="478"/>
      <c r="U65" s="478"/>
      <c r="V65" s="478"/>
      <c r="W65" s="478"/>
      <c r="X65" s="478"/>
      <c r="Y65" s="478"/>
      <c r="Z65" s="478"/>
      <c r="AA65" s="478"/>
      <c r="AB65" s="478"/>
      <c r="AC65" s="478"/>
      <c r="AD65" s="478"/>
      <c r="AE65" s="478"/>
      <c r="AF65" s="478"/>
      <c r="AG65" s="478"/>
      <c r="AH65" s="478"/>
      <c r="AI65" s="478"/>
      <c r="AJ65" s="478"/>
      <c r="AK65" s="478"/>
      <c r="AL65" s="478"/>
      <c r="AM65" s="478"/>
      <c r="AN65" s="478"/>
      <c r="AO65" s="478"/>
      <c r="AP65" s="478"/>
      <c r="AQ65" s="478"/>
      <c r="AR65" s="478"/>
      <c r="AS65" s="478"/>
      <c r="AT65" s="478"/>
      <c r="AU65" s="478"/>
      <c r="AV65" s="478"/>
      <c r="AW65" s="478"/>
      <c r="AX65" s="478"/>
      <c r="AY65" s="478"/>
      <c r="AZ65" s="478"/>
      <c r="BA65" s="478"/>
      <c r="BB65" s="478"/>
      <c r="BC65" s="478"/>
      <c r="BD65" s="478"/>
      <c r="BE65" s="478"/>
      <c r="BF65" s="478"/>
      <c r="BG65" s="478"/>
    </row>
    <row r="66" ht="14.25" customHeight="1">
      <c r="A66" s="305">
        <v>1.0</v>
      </c>
      <c r="B66" s="306"/>
      <c r="C66" s="356" t="s">
        <v>271</v>
      </c>
      <c r="H66" s="480" t="b">
        <f>if(isna(vlookup(concatenate("ALL",H$48,$C66),'Preference Lookup'!$D$3:$E$150,2,false)),false,vlookup(concatenate("ALL",H$48,$C66),'Preference Lookup'!$D$3:$E$150,2,false))</f>
        <v>1</v>
      </c>
      <c r="I66" s="480" t="b">
        <v>1</v>
      </c>
      <c r="J66" s="480" t="b">
        <f>if(isna(vlookup(concatenate("ALL",J$48,$C66),'Preference Lookup'!$D$3:$E$150,2,false)),false,vlookup(concatenate("ALL",J$48,$C66),'Preference Lookup'!$D$3:$E$150,2,false))</f>
        <v>1</v>
      </c>
      <c r="K66" s="480" t="b">
        <f>if(isna(vlookup(concatenate("ALL",K$48,$C66),'Preference Lookup'!$D$3:$E$150,2,false)),false,vlookup(concatenate("ALL",K$48,$C66),'Preference Lookup'!$D$3:$E$150,2,false))</f>
        <v>0</v>
      </c>
      <c r="L66" s="480" t="b">
        <f>if(isna(vlookup(concatenate("ALL",L$48,$C66),'Preference Lookup'!$D$3:$E$150,2,false)),false,vlookup(concatenate("ALL",L$48,$C66),'Preference Lookup'!$D$3:$E$150,2,false))</f>
        <v>0</v>
      </c>
      <c r="M66" s="480" t="b">
        <v>0</v>
      </c>
      <c r="N66" s="480" t="b">
        <v>0</v>
      </c>
      <c r="O66" s="480" t="b">
        <v>0</v>
      </c>
      <c r="P66" s="480" t="b">
        <v>0</v>
      </c>
      <c r="Q66" s="480" t="b">
        <v>0</v>
      </c>
      <c r="R66" s="480" t="b">
        <v>0</v>
      </c>
      <c r="S66" s="480" t="b">
        <v>0</v>
      </c>
      <c r="T66" s="480" t="b">
        <v>0</v>
      </c>
      <c r="U66" s="480" t="b">
        <v>0</v>
      </c>
      <c r="V66" s="480" t="b">
        <v>0</v>
      </c>
      <c r="W66" s="480" t="b">
        <v>0</v>
      </c>
      <c r="X66" s="480" t="b">
        <v>0</v>
      </c>
      <c r="Y66" s="480" t="b">
        <v>0</v>
      </c>
      <c r="Z66" s="480" t="b">
        <v>0</v>
      </c>
      <c r="AA66" s="480" t="b">
        <v>0</v>
      </c>
      <c r="AB66" s="480" t="b">
        <v>0</v>
      </c>
      <c r="AC66" s="480" t="b">
        <v>0</v>
      </c>
      <c r="AD66" s="480" t="b">
        <v>0</v>
      </c>
      <c r="AE66" s="480" t="b">
        <v>0</v>
      </c>
      <c r="AF66" s="480" t="b">
        <v>0</v>
      </c>
      <c r="AG66" s="480" t="b">
        <v>0</v>
      </c>
      <c r="AH66" s="480" t="b">
        <v>0</v>
      </c>
      <c r="AI66" s="480" t="b">
        <v>0</v>
      </c>
      <c r="AJ66" s="480" t="b">
        <v>0</v>
      </c>
      <c r="AK66" s="480" t="b">
        <v>0</v>
      </c>
      <c r="AL66" s="480" t="b">
        <v>0</v>
      </c>
      <c r="AM66" s="480" t="b">
        <v>0</v>
      </c>
      <c r="AN66" s="480" t="b">
        <v>0</v>
      </c>
      <c r="AO66" s="480" t="b">
        <v>0</v>
      </c>
      <c r="AP66" s="480" t="b">
        <v>0</v>
      </c>
      <c r="AQ66" s="480" t="b">
        <v>0</v>
      </c>
      <c r="AR66" s="480" t="b">
        <v>0</v>
      </c>
      <c r="AS66" s="480" t="b">
        <v>0</v>
      </c>
      <c r="AT66" s="480" t="b">
        <v>0</v>
      </c>
      <c r="AU66" s="480" t="b">
        <v>0</v>
      </c>
      <c r="AV66" s="480" t="b">
        <v>0</v>
      </c>
      <c r="AW66" s="480" t="b">
        <v>0</v>
      </c>
      <c r="AX66" s="480" t="b">
        <v>0</v>
      </c>
      <c r="AY66" s="480" t="b">
        <v>0</v>
      </c>
      <c r="AZ66" s="480" t="b">
        <v>0</v>
      </c>
      <c r="BA66" s="480" t="b">
        <v>0</v>
      </c>
      <c r="BB66" s="480" t="b">
        <v>0</v>
      </c>
      <c r="BC66" s="480" t="b">
        <v>0</v>
      </c>
      <c r="BD66" s="480" t="b">
        <f>if(isna(vlookup(concatenate("ALL",BD$48,$C66),'Preference Lookup'!$D$3:$E$150,2,false)),false,vlookup(concatenate("ALL",BD$48,$C66),'Preference Lookup'!$D$3:$E$150,2,false))</f>
        <v>1</v>
      </c>
      <c r="BE66" s="480" t="b">
        <f>if(isna(vlookup(concatenate("ALL",BE$48,$C66),'Preference Lookup'!$D$3:$E$150,2,false)),false,vlookup(concatenate("ALL",BE$48,$C66),'Preference Lookup'!$D$3:$E$150,2,false))</f>
        <v>0</v>
      </c>
      <c r="BF66" s="480" t="b">
        <f>if(isna(vlookup(concatenate("ALL",BF$48,$C66),'Preference Lookup'!$D$3:$E$150,2,false)),false,vlookup(concatenate("ALL",BF$48,$C66),'Preference Lookup'!$D$3:$E$150,2,false))</f>
        <v>1</v>
      </c>
      <c r="BG66" s="480" t="b">
        <f>if(isna(vlookup(concatenate("ALL",BG$48,$C66),'Preference Lookup'!$D$3:$E$150,2,false)),false,vlookup(concatenate("ALL",BG$48,$C66),'Preference Lookup'!$D$3:$E$150,2,false))</f>
        <v>0</v>
      </c>
    </row>
    <row r="67" ht="14.25" customHeight="1">
      <c r="A67" s="359">
        <v>2.0</v>
      </c>
      <c r="B67" s="360"/>
      <c r="C67" s="337" t="s">
        <v>105</v>
      </c>
      <c r="H67" s="482" t="b">
        <f>if(isna(vlookup(concatenate("ALL",H$48,$C67),'Preference Lookup'!$D$3:$E$150,2,false)),false,vlookup(concatenate("ALL",H$48,$C67),'Preference Lookup'!$D$3:$E$150,2,false))</f>
        <v>1</v>
      </c>
      <c r="I67" s="482" t="b">
        <v>1</v>
      </c>
      <c r="J67" s="482" t="b">
        <f>if(isna(vlookup(concatenate("ALL",J$48,$C67),'Preference Lookup'!$D$3:$E$150,2,false)),false,vlookup(concatenate("ALL",J$48,$C67),'Preference Lookup'!$D$3:$E$150,2,false))</f>
        <v>1</v>
      </c>
      <c r="K67" s="482" t="b">
        <f>if(isna(vlookup(concatenate("ALL",K$48,$C67),'Preference Lookup'!$D$3:$E$150,2,false)),false,vlookup(concatenate("ALL",K$48,$C67),'Preference Lookup'!$D$3:$E$150,2,false))</f>
        <v>0</v>
      </c>
      <c r="L67" s="482" t="b">
        <f>if(isna(vlookup(concatenate("ALL",L$48,$C67),'Preference Lookup'!$D$3:$E$150,2,false)),false,vlookup(concatenate("ALL",L$48,$C67),'Preference Lookup'!$D$3:$E$150,2,false))</f>
        <v>0</v>
      </c>
      <c r="M67" s="482" t="b">
        <v>0</v>
      </c>
      <c r="N67" s="482" t="b">
        <v>0</v>
      </c>
      <c r="O67" s="482" t="b">
        <v>0</v>
      </c>
      <c r="P67" s="482" t="b">
        <v>0</v>
      </c>
      <c r="Q67" s="482" t="b">
        <v>0</v>
      </c>
      <c r="R67" s="482" t="b">
        <v>0</v>
      </c>
      <c r="S67" s="482" t="b">
        <v>0</v>
      </c>
      <c r="T67" s="482" t="b">
        <v>0</v>
      </c>
      <c r="U67" s="482" t="b">
        <v>0</v>
      </c>
      <c r="V67" s="482" t="b">
        <v>0</v>
      </c>
      <c r="W67" s="482" t="b">
        <v>0</v>
      </c>
      <c r="X67" s="482" t="b">
        <v>0</v>
      </c>
      <c r="Y67" s="482" t="b">
        <v>0</v>
      </c>
      <c r="Z67" s="482" t="b">
        <v>0</v>
      </c>
      <c r="AA67" s="482" t="b">
        <v>0</v>
      </c>
      <c r="AB67" s="482" t="b">
        <v>0</v>
      </c>
      <c r="AC67" s="482" t="b">
        <v>0</v>
      </c>
      <c r="AD67" s="482" t="b">
        <v>0</v>
      </c>
      <c r="AE67" s="482" t="b">
        <v>0</v>
      </c>
      <c r="AF67" s="482" t="b">
        <v>0</v>
      </c>
      <c r="AG67" s="482" t="b">
        <v>0</v>
      </c>
      <c r="AH67" s="482" t="b">
        <v>0</v>
      </c>
      <c r="AI67" s="482" t="b">
        <v>0</v>
      </c>
      <c r="AJ67" s="482" t="b">
        <v>0</v>
      </c>
      <c r="AK67" s="482" t="b">
        <v>0</v>
      </c>
      <c r="AL67" s="482" t="b">
        <v>0</v>
      </c>
      <c r="AM67" s="482" t="b">
        <v>0</v>
      </c>
      <c r="AN67" s="482" t="b">
        <v>0</v>
      </c>
      <c r="AO67" s="482" t="b">
        <v>0</v>
      </c>
      <c r="AP67" s="482" t="b">
        <v>0</v>
      </c>
      <c r="AQ67" s="482" t="b">
        <v>0</v>
      </c>
      <c r="AR67" s="482" t="b">
        <v>0</v>
      </c>
      <c r="AS67" s="482" t="b">
        <v>0</v>
      </c>
      <c r="AT67" s="482" t="b">
        <v>0</v>
      </c>
      <c r="AU67" s="482" t="b">
        <v>0</v>
      </c>
      <c r="AV67" s="482" t="b">
        <v>0</v>
      </c>
      <c r="AW67" s="482" t="b">
        <v>0</v>
      </c>
      <c r="AX67" s="482" t="b">
        <v>0</v>
      </c>
      <c r="AY67" s="482" t="b">
        <v>0</v>
      </c>
      <c r="AZ67" s="482" t="b">
        <v>0</v>
      </c>
      <c r="BA67" s="482" t="b">
        <v>0</v>
      </c>
      <c r="BB67" s="482" t="b">
        <v>0</v>
      </c>
      <c r="BC67" s="482" t="b">
        <v>0</v>
      </c>
      <c r="BD67" s="482" t="b">
        <f>if(isna(vlookup(concatenate("ALL",BD$48,$C67),'Preference Lookup'!$D$3:$E$150,2,false)),false,vlookup(concatenate("ALL",BD$48,$C67),'Preference Lookup'!$D$3:$E$150,2,false))</f>
        <v>1</v>
      </c>
      <c r="BE67" s="482" t="b">
        <f>if(isna(vlookup(concatenate("ALL",BE$48,$C67),'Preference Lookup'!$D$3:$E$150,2,false)),false,vlookup(concatenate("ALL",BE$48,$C67),'Preference Lookup'!$D$3:$E$150,2,false))</f>
        <v>0</v>
      </c>
      <c r="BF67" s="482" t="b">
        <f>if(isna(vlookup(concatenate("ALL",BF$48,$C67),'Preference Lookup'!$D$3:$E$150,2,false)),false,vlookup(concatenate("ALL",BF$48,$C67),'Preference Lookup'!$D$3:$E$150,2,false))</f>
        <v>1</v>
      </c>
      <c r="BG67" s="482" t="b">
        <f>if(isna(vlookup(concatenate("ALL",BG$48,$C67),'Preference Lookup'!$D$3:$E$150,2,false)),false,vlookup(concatenate("ALL",BG$48,$C67),'Preference Lookup'!$D$3:$E$150,2,false))</f>
        <v>0</v>
      </c>
    </row>
    <row r="68" ht="14.25" customHeight="1">
      <c r="A68" s="342">
        <f t="shared" ref="A68:A70" si="9">A67+1</f>
        <v>3</v>
      </c>
      <c r="B68" s="306"/>
      <c r="C68" s="307" t="s">
        <v>106</v>
      </c>
      <c r="H68" s="480" t="b">
        <f>if(isna(vlookup(concatenate("ALL",H$48,$C68),'Preference Lookup'!$D$3:$E$150,2,false)),false,vlookup(concatenate("ALL",H$48,$C68),'Preference Lookup'!$D$3:$E$150,2,false))</f>
        <v>1</v>
      </c>
      <c r="I68" s="480" t="b">
        <v>1</v>
      </c>
      <c r="J68" s="480" t="b">
        <f>if(isna(vlookup(concatenate("ALL",J$48,$C68),'Preference Lookup'!$D$3:$E$150,2,false)),false,vlookup(concatenate("ALL",J$48,$C68),'Preference Lookup'!$D$3:$E$150,2,false))</f>
        <v>1</v>
      </c>
      <c r="K68" s="480" t="b">
        <f>if(isna(vlookup(concatenate("ALL",K$48,$C68),'Preference Lookup'!$D$3:$E$150,2,false)),false,vlookup(concatenate("ALL",K$48,$C68),'Preference Lookup'!$D$3:$E$150,2,false))</f>
        <v>0</v>
      </c>
      <c r="L68" s="480" t="b">
        <f>if(isna(vlookup(concatenate("ALL",L$48,$C68),'Preference Lookup'!$D$3:$E$150,2,false)),false,vlookup(concatenate("ALL",L$48,$C68),'Preference Lookup'!$D$3:$E$150,2,false))</f>
        <v>0</v>
      </c>
      <c r="M68" s="480" t="b">
        <v>0</v>
      </c>
      <c r="N68" s="480" t="b">
        <v>0</v>
      </c>
      <c r="O68" s="480" t="b">
        <v>0</v>
      </c>
      <c r="P68" s="480" t="b">
        <v>0</v>
      </c>
      <c r="Q68" s="480" t="b">
        <v>0</v>
      </c>
      <c r="R68" s="480" t="b">
        <v>0</v>
      </c>
      <c r="S68" s="480" t="b">
        <v>0</v>
      </c>
      <c r="T68" s="480" t="b">
        <v>0</v>
      </c>
      <c r="U68" s="480" t="b">
        <v>0</v>
      </c>
      <c r="V68" s="480" t="b">
        <v>0</v>
      </c>
      <c r="W68" s="480" t="b">
        <v>0</v>
      </c>
      <c r="X68" s="480" t="b">
        <v>0</v>
      </c>
      <c r="Y68" s="480" t="b">
        <v>0</v>
      </c>
      <c r="Z68" s="480" t="b">
        <v>0</v>
      </c>
      <c r="AA68" s="480" t="b">
        <v>0</v>
      </c>
      <c r="AB68" s="480" t="b">
        <v>0</v>
      </c>
      <c r="AC68" s="480" t="b">
        <v>0</v>
      </c>
      <c r="AD68" s="480" t="b">
        <v>0</v>
      </c>
      <c r="AE68" s="480" t="b">
        <v>0</v>
      </c>
      <c r="AF68" s="480" t="b">
        <v>0</v>
      </c>
      <c r="AG68" s="480" t="b">
        <v>0</v>
      </c>
      <c r="AH68" s="480" t="b">
        <v>0</v>
      </c>
      <c r="AI68" s="480" t="b">
        <v>0</v>
      </c>
      <c r="AJ68" s="480" t="b">
        <v>0</v>
      </c>
      <c r="AK68" s="480" t="b">
        <v>0</v>
      </c>
      <c r="AL68" s="480" t="b">
        <v>0</v>
      </c>
      <c r="AM68" s="480" t="b">
        <v>0</v>
      </c>
      <c r="AN68" s="480" t="b">
        <v>0</v>
      </c>
      <c r="AO68" s="480" t="b">
        <v>0</v>
      </c>
      <c r="AP68" s="480" t="b">
        <v>0</v>
      </c>
      <c r="AQ68" s="480" t="b">
        <v>0</v>
      </c>
      <c r="AR68" s="480" t="b">
        <v>0</v>
      </c>
      <c r="AS68" s="480" t="b">
        <v>0</v>
      </c>
      <c r="AT68" s="480" t="b">
        <v>0</v>
      </c>
      <c r="AU68" s="480" t="b">
        <v>0</v>
      </c>
      <c r="AV68" s="480" t="b">
        <v>0</v>
      </c>
      <c r="AW68" s="480" t="b">
        <v>0</v>
      </c>
      <c r="AX68" s="480" t="b">
        <v>0</v>
      </c>
      <c r="AY68" s="480" t="b">
        <v>0</v>
      </c>
      <c r="AZ68" s="480" t="b">
        <v>0</v>
      </c>
      <c r="BA68" s="480" t="b">
        <v>0</v>
      </c>
      <c r="BB68" s="480" t="b">
        <v>0</v>
      </c>
      <c r="BC68" s="480" t="b">
        <v>0</v>
      </c>
      <c r="BD68" s="480" t="b">
        <f>if(isna(vlookup(concatenate("ALL",BD$48,$C68),'Preference Lookup'!$D$3:$E$150,2,false)),false,vlookup(concatenate("ALL",BD$48,$C68),'Preference Lookup'!$D$3:$E$150,2,false))</f>
        <v>1</v>
      </c>
      <c r="BE68" s="480" t="b">
        <f>if(isna(vlookup(concatenate("ALL",BE$48,$C68),'Preference Lookup'!$D$3:$E$150,2,false)),false,vlookup(concatenate("ALL",BE$48,$C68),'Preference Lookup'!$D$3:$E$150,2,false))</f>
        <v>0</v>
      </c>
      <c r="BF68" s="480" t="b">
        <f>if(isna(vlookup(concatenate("ALL",BF$48,$C68),'Preference Lookup'!$D$3:$E$150,2,false)),false,vlookup(concatenate("ALL",BF$48,$C68),'Preference Lookup'!$D$3:$E$150,2,false))</f>
        <v>1</v>
      </c>
      <c r="BG68" s="480" t="b">
        <f>if(isna(vlookup(concatenate("ALL",BG$48,$C68),'Preference Lookup'!$D$3:$E$150,2,false)),false,vlookup(concatenate("ALL",BG$48,$C68),'Preference Lookup'!$D$3:$E$150,2,false))</f>
        <v>0</v>
      </c>
    </row>
    <row r="69" ht="14.25" customHeight="1">
      <c r="A69" s="312">
        <f t="shared" si="9"/>
        <v>4</v>
      </c>
      <c r="B69" s="360"/>
      <c r="C69" s="337" t="s">
        <v>129</v>
      </c>
      <c r="H69" s="482" t="b">
        <f>if(isna(vlookup(concatenate("ALL",H$48,$C69),'Preference Lookup'!$D$3:$E$150,2,false)),false,vlookup(concatenate("ALL",H$48,$C69),'Preference Lookup'!$D$3:$E$150,2,false))</f>
        <v>1</v>
      </c>
      <c r="I69" s="482" t="b">
        <f t="shared" ref="I69:J69" si="10">true</f>
        <v>1</v>
      </c>
      <c r="J69" s="482" t="b">
        <f t="shared" si="10"/>
        <v>1</v>
      </c>
      <c r="K69" s="482" t="b">
        <f>if(isna(vlookup(concatenate("ALL",K$48,$C69),'Preference Lookup'!$D$3:$E$150,2,false)),false,vlookup(concatenate("ALL",K$48,$C69),'Preference Lookup'!$D$3:$E$150,2,false))</f>
        <v>0</v>
      </c>
      <c r="L69" s="482" t="b">
        <f>if(isna(vlookup(concatenate("ALL",L$48,$C69),'Preference Lookup'!$D$3:$E$150,2,false)),false,vlookup(concatenate("ALL",L$48,$C69),'Preference Lookup'!$D$3:$E$150,2,false))</f>
        <v>0</v>
      </c>
      <c r="M69" s="482" t="b">
        <v>0</v>
      </c>
      <c r="N69" s="482" t="b">
        <v>0</v>
      </c>
      <c r="O69" s="482" t="b">
        <v>0</v>
      </c>
      <c r="P69" s="482" t="b">
        <v>0</v>
      </c>
      <c r="Q69" s="482" t="b">
        <v>0</v>
      </c>
      <c r="R69" s="482" t="b">
        <v>0</v>
      </c>
      <c r="S69" s="482" t="b">
        <v>0</v>
      </c>
      <c r="T69" s="482" t="b">
        <v>0</v>
      </c>
      <c r="U69" s="482" t="b">
        <v>0</v>
      </c>
      <c r="V69" s="482" t="b">
        <v>0</v>
      </c>
      <c r="W69" s="482" t="b">
        <v>0</v>
      </c>
      <c r="X69" s="482" t="b">
        <v>0</v>
      </c>
      <c r="Y69" s="482" t="b">
        <v>0</v>
      </c>
      <c r="Z69" s="482" t="b">
        <v>0</v>
      </c>
      <c r="AA69" s="482" t="b">
        <v>0</v>
      </c>
      <c r="AB69" s="482" t="b">
        <v>0</v>
      </c>
      <c r="AC69" s="482" t="b">
        <v>0</v>
      </c>
      <c r="AD69" s="482" t="b">
        <v>0</v>
      </c>
      <c r="AE69" s="482" t="b">
        <v>0</v>
      </c>
      <c r="AF69" s="482" t="b">
        <v>0</v>
      </c>
      <c r="AG69" s="482" t="b">
        <v>0</v>
      </c>
      <c r="AH69" s="482" t="b">
        <v>0</v>
      </c>
      <c r="AI69" s="482" t="b">
        <v>0</v>
      </c>
      <c r="AJ69" s="482" t="b">
        <v>0</v>
      </c>
      <c r="AK69" s="482" t="b">
        <v>0</v>
      </c>
      <c r="AL69" s="482" t="b">
        <v>0</v>
      </c>
      <c r="AM69" s="482" t="b">
        <v>0</v>
      </c>
      <c r="AN69" s="482" t="b">
        <v>0</v>
      </c>
      <c r="AO69" s="482" t="b">
        <v>0</v>
      </c>
      <c r="AP69" s="482" t="b">
        <v>0</v>
      </c>
      <c r="AQ69" s="482" t="b">
        <v>0</v>
      </c>
      <c r="AR69" s="482" t="b">
        <v>0</v>
      </c>
      <c r="AS69" s="482" t="b">
        <v>0</v>
      </c>
      <c r="AT69" s="482" t="b">
        <v>0</v>
      </c>
      <c r="AU69" s="482" t="b">
        <v>0</v>
      </c>
      <c r="AV69" s="482" t="b">
        <v>0</v>
      </c>
      <c r="AW69" s="482" t="b">
        <v>0</v>
      </c>
      <c r="AX69" s="482" t="b">
        <v>0</v>
      </c>
      <c r="AY69" s="482" t="b">
        <v>0</v>
      </c>
      <c r="AZ69" s="482" t="b">
        <v>0</v>
      </c>
      <c r="BA69" s="482" t="b">
        <v>0</v>
      </c>
      <c r="BB69" s="482" t="b">
        <v>0</v>
      </c>
      <c r="BC69" s="482" t="b">
        <v>0</v>
      </c>
      <c r="BD69" s="482" t="b">
        <f>if(isna(vlookup(concatenate("ALL",BD$48,$C69),'Preference Lookup'!$D$3:$E$150,2,false)),false,vlookup(concatenate("ALL",BD$48,$C69),'Preference Lookup'!$D$3:$E$150,2,false))</f>
        <v>1</v>
      </c>
      <c r="BE69" s="482" t="b">
        <f>if(isna(vlookup(concatenate("ALL",BE$48,$C69),'Preference Lookup'!$D$3:$E$150,2,false)),false,vlookup(concatenate("ALL",BE$48,$C69),'Preference Lookup'!$D$3:$E$150,2,false))</f>
        <v>0</v>
      </c>
      <c r="BF69" s="482" t="b">
        <f>if(isna(vlookup(concatenate("ALL",BF$48,$C69),'Preference Lookup'!$D$3:$E$150,2,false)),false,vlookup(concatenate("ALL",BF$48,$C69),'Preference Lookup'!$D$3:$E$150,2,false))</f>
        <v>0</v>
      </c>
      <c r="BG69" s="482" t="b">
        <f>if(isna(vlookup(concatenate("ALL",BG$48,$C69),'Preference Lookup'!$D$3:$E$150,2,false)),false,vlookup(concatenate("ALL",BG$48,$C69),'Preference Lookup'!$D$3:$E$150,2,false))</f>
        <v>0</v>
      </c>
    </row>
    <row r="70" ht="14.25" customHeight="1">
      <c r="A70" s="342">
        <f t="shared" si="9"/>
        <v>5</v>
      </c>
      <c r="B70" s="306"/>
      <c r="C70" s="307" t="s">
        <v>343</v>
      </c>
      <c r="H70" s="480" t="b">
        <f>if(isna(vlookup(concatenate("ALL",H$48,$C70),'Preference Lookup'!$D$3:$E$150,2,false)),false,vlookup(concatenate("ALL",H$48,$C70),'Preference Lookup'!$D$3:$E$150,2,false))</f>
        <v>1</v>
      </c>
      <c r="I70" s="480" t="b">
        <f>if(isna(vlookup(concatenate("ALL",I$48,$C70),'Preference Lookup'!$D$3:$E$150,2,false)),false,vlookup(concatenate("ALL",I$48,$C70),'Preference Lookup'!$D$3:$E$150,2,false))</f>
        <v>0</v>
      </c>
      <c r="J70" s="480" t="b">
        <f>if(isna(vlookup(concatenate("ALL",J$48,$C70),'Preference Lookup'!$D$3:$E$150,2,false)),false,vlookup(concatenate("ALL",J$48,$C70),'Preference Lookup'!$D$3:$E$150,2,false))</f>
        <v>0</v>
      </c>
      <c r="K70" s="480" t="b">
        <f>if(isna(vlookup(concatenate("ALL",K$48,$C70),'Preference Lookup'!$D$3:$E$150,2,false)),false,vlookup(concatenate("ALL",K$48,$C70),'Preference Lookup'!$D$3:$E$150,2,false))</f>
        <v>0</v>
      </c>
      <c r="L70" s="480" t="b">
        <f>if(isna(vlookup(concatenate("ALL",L$48,$C70),'Preference Lookup'!$D$3:$E$150,2,false)),false,vlookup(concatenate("ALL",L$48,$C70),'Preference Lookup'!$D$3:$E$150,2,false))</f>
        <v>0</v>
      </c>
      <c r="M70" s="480" t="b">
        <v>0</v>
      </c>
      <c r="N70" s="480" t="b">
        <v>0</v>
      </c>
      <c r="O70" s="480" t="b">
        <v>0</v>
      </c>
      <c r="P70" s="480" t="b">
        <v>0</v>
      </c>
      <c r="Q70" s="480" t="b">
        <v>0</v>
      </c>
      <c r="R70" s="480" t="b">
        <v>0</v>
      </c>
      <c r="S70" s="480" t="b">
        <v>0</v>
      </c>
      <c r="T70" s="480" t="b">
        <v>0</v>
      </c>
      <c r="U70" s="480" t="b">
        <v>0</v>
      </c>
      <c r="V70" s="480" t="b">
        <v>0</v>
      </c>
      <c r="W70" s="480" t="b">
        <v>0</v>
      </c>
      <c r="X70" s="480" t="b">
        <v>0</v>
      </c>
      <c r="Y70" s="480" t="b">
        <v>0</v>
      </c>
      <c r="Z70" s="480" t="b">
        <v>0</v>
      </c>
      <c r="AA70" s="480" t="b">
        <v>0</v>
      </c>
      <c r="AB70" s="480" t="b">
        <v>0</v>
      </c>
      <c r="AC70" s="480" t="b">
        <v>0</v>
      </c>
      <c r="AD70" s="480" t="b">
        <v>0</v>
      </c>
      <c r="AE70" s="480" t="b">
        <v>0</v>
      </c>
      <c r="AF70" s="480" t="b">
        <v>0</v>
      </c>
      <c r="AG70" s="480" t="b">
        <v>0</v>
      </c>
      <c r="AH70" s="480" t="b">
        <v>0</v>
      </c>
      <c r="AI70" s="480" t="b">
        <v>0</v>
      </c>
      <c r="AJ70" s="480" t="b">
        <v>0</v>
      </c>
      <c r="AK70" s="480" t="b">
        <v>0</v>
      </c>
      <c r="AL70" s="480" t="b">
        <v>0</v>
      </c>
      <c r="AM70" s="480" t="b">
        <v>0</v>
      </c>
      <c r="AN70" s="480" t="b">
        <v>0</v>
      </c>
      <c r="AO70" s="480" t="b">
        <v>0</v>
      </c>
      <c r="AP70" s="480" t="b">
        <v>0</v>
      </c>
      <c r="AQ70" s="480" t="b">
        <v>0</v>
      </c>
      <c r="AR70" s="480" t="b">
        <v>0</v>
      </c>
      <c r="AS70" s="480" t="b">
        <v>0</v>
      </c>
      <c r="AT70" s="480" t="b">
        <v>0</v>
      </c>
      <c r="AU70" s="480" t="b">
        <v>0</v>
      </c>
      <c r="AV70" s="480" t="b">
        <v>0</v>
      </c>
      <c r="AW70" s="480" t="b">
        <v>0</v>
      </c>
      <c r="AX70" s="480" t="b">
        <v>0</v>
      </c>
      <c r="AY70" s="480" t="b">
        <v>0</v>
      </c>
      <c r="AZ70" s="480" t="b">
        <v>0</v>
      </c>
      <c r="BA70" s="480" t="b">
        <v>0</v>
      </c>
      <c r="BB70" s="480" t="b">
        <v>0</v>
      </c>
      <c r="BC70" s="480" t="b">
        <v>0</v>
      </c>
      <c r="BD70" s="480" t="b">
        <f>if(isna(vlookup(concatenate("ALL",BD$48,$C70),'Preference Lookup'!$D$3:$E$150,2,false)),false,vlookup(concatenate("ALL",BD$48,$C70),'Preference Lookup'!$D$3:$E$150,2,false))</f>
        <v>1</v>
      </c>
      <c r="BE70" s="480" t="b">
        <f>if(isna(vlookup(concatenate("ALL",BE$48,$C70),'Preference Lookup'!$D$3:$E$150,2,false)),false,vlookup(concatenate("ALL",BE$48,$C70),'Preference Lookup'!$D$3:$E$150,2,false))</f>
        <v>0</v>
      </c>
      <c r="BF70" s="480" t="b">
        <f>if(isna(vlookup(concatenate("ALL",BF$48,$C70),'Preference Lookup'!$D$3:$E$150,2,false)),false,vlookup(concatenate("ALL",BF$48,$C70),'Preference Lookup'!$D$3:$E$150,2,false))</f>
        <v>0</v>
      </c>
      <c r="BG70" s="480" t="b">
        <f>if(isna(vlookup(concatenate("ALL",BG$48,$C70),'Preference Lookup'!$D$3:$E$150,2,false)),false,vlookup(concatenate("ALL",BG$48,$C70),'Preference Lookup'!$D$3:$E$150,2,false))</f>
        <v>0</v>
      </c>
    </row>
    <row r="71" ht="14.25" customHeight="1">
      <c r="A71" s="312"/>
      <c r="B71" s="365"/>
      <c r="C71" s="366"/>
      <c r="H71" s="424"/>
      <c r="I71" s="424"/>
      <c r="J71" s="424"/>
      <c r="K71" s="424"/>
      <c r="L71" s="424"/>
      <c r="M71" s="424"/>
      <c r="N71" s="424"/>
      <c r="O71" s="424"/>
      <c r="P71" s="424"/>
      <c r="Q71" s="424"/>
      <c r="R71" s="424"/>
      <c r="S71" s="424"/>
      <c r="T71" s="424"/>
      <c r="U71" s="424"/>
      <c r="V71" s="424"/>
      <c r="W71" s="424"/>
      <c r="X71" s="424"/>
      <c r="Y71" s="424"/>
      <c r="Z71" s="424"/>
      <c r="AA71" s="424"/>
      <c r="AB71" s="424"/>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24"/>
      <c r="BC71" s="424"/>
      <c r="BD71" s="424"/>
      <c r="BE71" s="424"/>
      <c r="BF71" s="424"/>
      <c r="BG71" s="424"/>
    </row>
    <row r="72" ht="14.25" customHeight="1">
      <c r="A72" s="298"/>
      <c r="B72" s="343"/>
      <c r="C72" s="329" t="s">
        <v>274</v>
      </c>
      <c r="H72" s="484"/>
      <c r="I72" s="484"/>
      <c r="J72" s="484"/>
      <c r="K72" s="484"/>
      <c r="L72" s="484"/>
      <c r="M72" s="484"/>
      <c r="N72" s="484"/>
      <c r="O72" s="484"/>
      <c r="P72" s="484"/>
      <c r="Q72" s="484"/>
      <c r="R72" s="484"/>
      <c r="S72" s="484"/>
      <c r="T72" s="484"/>
      <c r="U72" s="484"/>
      <c r="V72" s="484"/>
      <c r="W72" s="484"/>
      <c r="X72" s="484"/>
      <c r="Y72" s="484"/>
      <c r="Z72" s="484"/>
      <c r="AA72" s="484"/>
      <c r="AB72" s="484"/>
      <c r="AC72" s="484"/>
      <c r="AD72" s="484"/>
      <c r="AE72" s="484"/>
      <c r="AF72" s="484"/>
      <c r="AG72" s="484"/>
      <c r="AH72" s="484"/>
      <c r="AI72" s="484"/>
      <c r="AJ72" s="484"/>
      <c r="AK72" s="484"/>
      <c r="AL72" s="484"/>
      <c r="AM72" s="484"/>
      <c r="AN72" s="484"/>
      <c r="AO72" s="484"/>
      <c r="AP72" s="484"/>
      <c r="AQ72" s="484"/>
      <c r="AR72" s="484"/>
      <c r="AS72" s="484"/>
      <c r="AT72" s="484"/>
      <c r="AU72" s="484"/>
      <c r="AV72" s="484"/>
      <c r="AW72" s="484"/>
      <c r="AX72" s="484"/>
      <c r="AY72" s="484"/>
      <c r="AZ72" s="484"/>
      <c r="BA72" s="484"/>
      <c r="BB72" s="484"/>
      <c r="BC72" s="484"/>
      <c r="BD72" s="484"/>
      <c r="BE72" s="484"/>
      <c r="BF72" s="484"/>
      <c r="BG72" s="484"/>
    </row>
    <row r="73" ht="14.25" customHeight="1">
      <c r="A73" s="369"/>
      <c r="B73" s="370"/>
      <c r="C73" s="371"/>
      <c r="D73" s="370"/>
      <c r="E73" s="370"/>
      <c r="F73" s="370"/>
      <c r="G73" s="494"/>
      <c r="H73" s="495" t="str">
        <f t="shared" ref="H73:J73" si="11">H$48</f>
        <v>Email</v>
      </c>
      <c r="I73" s="495" t="str">
        <f t="shared" si="11"/>
        <v>Push - Rewards App</v>
      </c>
      <c r="J73" s="495" t="str">
        <f t="shared" si="11"/>
        <v>Rewards App</v>
      </c>
      <c r="K73" s="495" t="str">
        <f>K64</f>
        <v/>
      </c>
      <c r="L73" s="495" t="str">
        <f>L$48</f>
        <v/>
      </c>
      <c r="M73" s="495"/>
      <c r="N73" s="495"/>
      <c r="O73" s="495"/>
      <c r="P73" s="495"/>
      <c r="Q73" s="495"/>
      <c r="R73" s="495"/>
      <c r="S73" s="495"/>
      <c r="T73" s="495"/>
      <c r="U73" s="495"/>
      <c r="V73" s="495"/>
      <c r="W73" s="495"/>
      <c r="X73" s="495"/>
      <c r="Y73" s="495"/>
      <c r="Z73" s="495"/>
      <c r="AA73" s="495"/>
      <c r="AB73" s="495"/>
      <c r="AC73" s="495"/>
      <c r="AD73" s="495"/>
      <c r="AE73" s="495"/>
      <c r="AF73" s="495"/>
      <c r="AG73" s="495"/>
      <c r="AH73" s="495"/>
      <c r="AI73" s="495"/>
      <c r="AJ73" s="495"/>
      <c r="AK73" s="495"/>
      <c r="AL73" s="495"/>
      <c r="AM73" s="495"/>
      <c r="AN73" s="495"/>
      <c r="AO73" s="495"/>
      <c r="AP73" s="495"/>
      <c r="AQ73" s="495"/>
      <c r="AR73" s="495"/>
      <c r="AS73" s="495"/>
      <c r="AT73" s="495"/>
      <c r="AU73" s="495"/>
      <c r="AV73" s="495"/>
      <c r="AW73" s="495"/>
      <c r="AX73" s="495"/>
      <c r="AY73" s="495"/>
      <c r="AZ73" s="495"/>
      <c r="BA73" s="495"/>
      <c r="BB73" s="495"/>
      <c r="BC73" s="495"/>
      <c r="BD73" s="495" t="str">
        <f t="shared" ref="BD73:BF73" si="12">BD$48</f>
        <v>Email</v>
      </c>
      <c r="BE73" s="495" t="str">
        <f t="shared" si="12"/>
        <v>Push - Rewards App</v>
      </c>
      <c r="BF73" s="495" t="str">
        <f t="shared" si="12"/>
        <v>Rewards App</v>
      </c>
      <c r="BG73" s="495"/>
    </row>
    <row r="74" ht="14.25" customHeight="1">
      <c r="A74" s="359">
        <v>1.0</v>
      </c>
      <c r="B74" s="482"/>
      <c r="C74" s="337" t="s">
        <v>344</v>
      </c>
      <c r="H74" s="482" t="b">
        <f t="shared" ref="H74:J74" si="13">true</f>
        <v>1</v>
      </c>
      <c r="I74" s="482" t="b">
        <f t="shared" si="13"/>
        <v>1</v>
      </c>
      <c r="J74" s="482" t="b">
        <f t="shared" si="13"/>
        <v>1</v>
      </c>
      <c r="K74" s="482" t="str">
        <f>if(isna(vlookup(concatenate(Menu!$B$5,K$48,$C74),'Preference Lookup'!$D$3:$E$150,2,false)),false,vlookup(concatenate(Menu!$B$5,K$48,$C74),'Preference Lookup'!$D$3:$E$150,2,false))</f>
        <v>#REF!</v>
      </c>
      <c r="L74" s="482" t="str">
        <f>if(isna(vlookup(concatenate(Menu!$B$5,L$48,$C74),'Preference Lookup'!$D$3:$E$150,2,false)),false,vlookup(concatenate(Menu!$B$5,L$48,$C74),'Preference Lookup'!$D$3:$E$150,2,false))</f>
        <v>#REF!</v>
      </c>
      <c r="M74" s="482" t="b">
        <v>0</v>
      </c>
      <c r="N74" s="482" t="b">
        <v>0</v>
      </c>
      <c r="O74" s="482" t="b">
        <v>0</v>
      </c>
      <c r="P74" s="482" t="b">
        <v>0</v>
      </c>
      <c r="Q74" s="482" t="b">
        <v>0</v>
      </c>
      <c r="R74" s="482" t="b">
        <v>0</v>
      </c>
      <c r="S74" s="482" t="b">
        <v>0</v>
      </c>
      <c r="T74" s="482" t="b">
        <v>0</v>
      </c>
      <c r="U74" s="482" t="b">
        <v>0</v>
      </c>
      <c r="V74" s="482" t="b">
        <v>0</v>
      </c>
      <c r="W74" s="482" t="b">
        <v>0</v>
      </c>
      <c r="X74" s="482" t="b">
        <v>0</v>
      </c>
      <c r="Y74" s="482" t="b">
        <v>0</v>
      </c>
      <c r="Z74" s="482" t="b">
        <v>0</v>
      </c>
      <c r="AA74" s="482" t="b">
        <v>0</v>
      </c>
      <c r="AB74" s="482" t="b">
        <v>0</v>
      </c>
      <c r="AC74" s="482" t="b">
        <v>0</v>
      </c>
      <c r="AD74" s="482" t="b">
        <v>0</v>
      </c>
      <c r="AE74" s="482" t="b">
        <v>0</v>
      </c>
      <c r="AF74" s="482" t="b">
        <v>0</v>
      </c>
      <c r="AG74" s="482" t="b">
        <v>0</v>
      </c>
      <c r="AH74" s="482" t="b">
        <v>0</v>
      </c>
      <c r="AI74" s="482" t="b">
        <v>0</v>
      </c>
      <c r="AJ74" s="482" t="b">
        <v>0</v>
      </c>
      <c r="AK74" s="482" t="b">
        <v>0</v>
      </c>
      <c r="AL74" s="482" t="b">
        <v>0</v>
      </c>
      <c r="AM74" s="482" t="b">
        <v>0</v>
      </c>
      <c r="AN74" s="482" t="b">
        <v>0</v>
      </c>
      <c r="AO74" s="482" t="b">
        <v>0</v>
      </c>
      <c r="AP74" s="482" t="b">
        <v>0</v>
      </c>
      <c r="AQ74" s="482" t="b">
        <v>0</v>
      </c>
      <c r="AR74" s="482" t="b">
        <v>0</v>
      </c>
      <c r="AS74" s="482" t="b">
        <v>0</v>
      </c>
      <c r="AT74" s="482" t="b">
        <v>0</v>
      </c>
      <c r="AU74" s="482" t="b">
        <v>0</v>
      </c>
      <c r="AV74" s="482" t="b">
        <v>0</v>
      </c>
      <c r="AW74" s="482" t="b">
        <v>0</v>
      </c>
      <c r="AX74" s="482" t="b">
        <v>0</v>
      </c>
      <c r="AY74" s="482" t="b">
        <v>0</v>
      </c>
      <c r="AZ74" s="482" t="b">
        <v>0</v>
      </c>
      <c r="BA74" s="482" t="b">
        <v>0</v>
      </c>
      <c r="BB74" s="482" t="b">
        <v>0</v>
      </c>
      <c r="BC74" s="482" t="b">
        <v>0</v>
      </c>
      <c r="BD74" s="482" t="str">
        <f>if(isna(vlookup(concatenate(Menu!$B$5,BD$48,$C74),'Preference Lookup'!$D$3:$E$150,2,false)),false,vlookup(concatenate(Menu!$B$5,BD$48,$C74),'Preference Lookup'!$D$3:$E$150,2,false))</f>
        <v>#REF!</v>
      </c>
      <c r="BE74" s="482" t="str">
        <f>if(isna(vlookup(concatenate(Menu!$B$5,BE$48,$C74),'Preference Lookup'!$D$3:$E$150,2,false)),false,vlookup(concatenate(Menu!$B$5,BE$48,$C74),'Preference Lookup'!$D$3:$E$150,2,false))</f>
        <v>#REF!</v>
      </c>
      <c r="BF74" s="482" t="str">
        <f>if(isna(vlookup(concatenate(Menu!$B$5,BF$48,$C74),'Preference Lookup'!$D$3:$E$150,2,false)),false,vlookup(concatenate(Menu!$B$5,BF$48,$C74),'Preference Lookup'!$D$3:$E$150,2,false))</f>
        <v>#REF!</v>
      </c>
      <c r="BG74" s="482" t="str">
        <f>if(isna(vlookup(concatenate(Menu!$B$5,BG$48,$C74),'Preference Lookup'!$D$3:$E$150,2,false)),false,vlookup(concatenate(Menu!$B$5,BG$48,$C74),'Preference Lookup'!$D$3:$E$150,2,false))</f>
        <v>#REF!</v>
      </c>
    </row>
    <row r="75" ht="14.25" customHeight="1">
      <c r="A75" s="342">
        <f t="shared" ref="A75:A76" si="14">A74+1</f>
        <v>2</v>
      </c>
      <c r="B75" s="306"/>
      <c r="C75" s="307" t="s">
        <v>275</v>
      </c>
      <c r="H75" s="480" t="b">
        <f>if(isna(vlookup(concatenate("ALL",H$48,$C75),'Preference Lookup'!$D$3:$E$150,2,false)),false,vlookup(concatenate("ALL",H$48,$C75),'Preference Lookup'!$D$3:$E$150,2,false))</f>
        <v>1</v>
      </c>
      <c r="I75" s="480" t="b">
        <v>1</v>
      </c>
      <c r="J75" s="480" t="b">
        <f>if(isna(vlookup(concatenate("ALL",J$48,$C75),'Preference Lookup'!$D$3:$E$150,2,false)),false,vlookup(concatenate("ALL",J$48,$C75),'Preference Lookup'!$D$3:$E$150,2,false))</f>
        <v>1</v>
      </c>
      <c r="K75" s="480" t="b">
        <f>if(isna(vlookup(concatenate("ALL",K$48,$C75),'Preference Lookup'!$D$3:$E$150,2,false)),false,vlookup(concatenate("ALL",K$48,$C75),'Preference Lookup'!$D$3:$E$150,2,false))</f>
        <v>0</v>
      </c>
      <c r="L75" s="480" t="b">
        <f>if(isna(vlookup(concatenate("ALL",L$48,$C75),'Preference Lookup'!$D$3:$E$150,2,false)),false,vlookup(concatenate("ALL",L$48,$C75),'Preference Lookup'!$D$3:$E$150,2,false))</f>
        <v>0</v>
      </c>
      <c r="M75" s="480" t="b">
        <v>0</v>
      </c>
      <c r="N75" s="480" t="b">
        <v>0</v>
      </c>
      <c r="O75" s="480" t="b">
        <v>0</v>
      </c>
      <c r="P75" s="480" t="b">
        <v>0</v>
      </c>
      <c r="Q75" s="480" t="b">
        <v>0</v>
      </c>
      <c r="R75" s="480" t="b">
        <v>0</v>
      </c>
      <c r="S75" s="480" t="b">
        <v>0</v>
      </c>
      <c r="T75" s="480" t="b">
        <v>0</v>
      </c>
      <c r="U75" s="480" t="b">
        <v>0</v>
      </c>
      <c r="V75" s="480" t="b">
        <v>0</v>
      </c>
      <c r="W75" s="480" t="b">
        <v>0</v>
      </c>
      <c r="X75" s="480" t="b">
        <v>0</v>
      </c>
      <c r="Y75" s="480" t="b">
        <v>0</v>
      </c>
      <c r="Z75" s="480" t="b">
        <v>0</v>
      </c>
      <c r="AA75" s="480" t="b">
        <v>0</v>
      </c>
      <c r="AB75" s="480" t="b">
        <v>0</v>
      </c>
      <c r="AC75" s="480" t="b">
        <v>0</v>
      </c>
      <c r="AD75" s="480" t="b">
        <v>0</v>
      </c>
      <c r="AE75" s="480" t="b">
        <v>0</v>
      </c>
      <c r="AF75" s="480" t="b">
        <v>0</v>
      </c>
      <c r="AG75" s="480" t="b">
        <v>0</v>
      </c>
      <c r="AH75" s="480" t="b">
        <v>0</v>
      </c>
      <c r="AI75" s="480" t="b">
        <v>0</v>
      </c>
      <c r="AJ75" s="480" t="b">
        <v>0</v>
      </c>
      <c r="AK75" s="480" t="b">
        <v>0</v>
      </c>
      <c r="AL75" s="480" t="b">
        <v>0</v>
      </c>
      <c r="AM75" s="480" t="b">
        <v>0</v>
      </c>
      <c r="AN75" s="480" t="b">
        <v>0</v>
      </c>
      <c r="AO75" s="480" t="b">
        <v>0</v>
      </c>
      <c r="AP75" s="480" t="b">
        <v>0</v>
      </c>
      <c r="AQ75" s="480" t="b">
        <v>0</v>
      </c>
      <c r="AR75" s="480" t="b">
        <v>0</v>
      </c>
      <c r="AS75" s="480" t="b">
        <v>0</v>
      </c>
      <c r="AT75" s="480" t="b">
        <v>0</v>
      </c>
      <c r="AU75" s="480" t="b">
        <v>0</v>
      </c>
      <c r="AV75" s="480" t="b">
        <v>0</v>
      </c>
      <c r="AW75" s="480" t="b">
        <v>0</v>
      </c>
      <c r="AX75" s="480" t="b">
        <v>0</v>
      </c>
      <c r="AY75" s="480" t="b">
        <v>0</v>
      </c>
      <c r="AZ75" s="480" t="b">
        <v>0</v>
      </c>
      <c r="BA75" s="480" t="b">
        <v>0</v>
      </c>
      <c r="BB75" s="480" t="b">
        <v>0</v>
      </c>
      <c r="BC75" s="480" t="b">
        <v>0</v>
      </c>
      <c r="BD75" s="480" t="b">
        <f>if(isna(vlookup(concatenate("ALL",BD$48,$C75),'Preference Lookup'!$D$3:$E$150,2,false)),false,vlookup(concatenate("ALL",BD$48,$C75),'Preference Lookup'!$D$3:$E$150,2,false))</f>
        <v>1</v>
      </c>
      <c r="BE75" s="480" t="b">
        <f>if(isna(vlookup(concatenate("ALL",BE$48,$C75),'Preference Lookup'!$D$3:$E$150,2,false)),false,vlookup(concatenate("ALL",BE$48,$C75),'Preference Lookup'!$D$3:$E$150,2,false))</f>
        <v>0</v>
      </c>
      <c r="BF75" s="480" t="b">
        <f>if(isna(vlookup(concatenate("ALL",BF$48,$C75),'Preference Lookup'!$D$3:$E$150,2,false)),false,vlookup(concatenate("ALL",BF$48,$C75),'Preference Lookup'!$D$3:$E$150,2,false))</f>
        <v>1</v>
      </c>
      <c r="BG75" s="480" t="b">
        <f>if(isna(vlookup(concatenate("ALL",BG$48,$C75),'Preference Lookup'!$D$3:$E$150,2,false)),false,vlookup(concatenate("ALL",BG$48,$C75),'Preference Lookup'!$D$3:$E$150,2,false))</f>
        <v>0</v>
      </c>
    </row>
    <row r="76" ht="14.25" customHeight="1">
      <c r="A76" s="312">
        <f t="shared" si="14"/>
        <v>3</v>
      </c>
      <c r="B76" s="360"/>
      <c r="C76" s="337" t="s">
        <v>110</v>
      </c>
      <c r="H76" s="482" t="b">
        <f>if(isna(vlookup(concatenate("ALL",H$48,$C76),'Preference Lookup'!$D$3:$E$150,2,false)),false,vlookup(concatenate("ALL",H$48,$C76),'Preference Lookup'!$D$3:$E$150,2,false))</f>
        <v>1</v>
      </c>
      <c r="I76" s="482" t="b">
        <v>1</v>
      </c>
      <c r="J76" s="482" t="b">
        <f>if(isna(vlookup(concatenate("ALL",J$48,$C76),'Preference Lookup'!$D$3:$E$150,2,false)),false,vlookup(concatenate("ALL",J$48,$C76),'Preference Lookup'!$D$3:$E$150,2,false))</f>
        <v>1</v>
      </c>
      <c r="K76" s="482" t="b">
        <f>if(isna(vlookup(concatenate("ALL",K$48,$C76),'Preference Lookup'!$D$3:$E$150,2,false)),false,vlookup(concatenate("ALL",K$48,$C76),'Preference Lookup'!$D$3:$E$150,2,false))</f>
        <v>0</v>
      </c>
      <c r="L76" s="482" t="b">
        <f>if(isna(vlookup(concatenate("ALL",L$48,$C76),'Preference Lookup'!$D$3:$E$150,2,false)),false,vlookup(concatenate("ALL",L$48,$C76),'Preference Lookup'!$D$3:$E$150,2,false))</f>
        <v>0</v>
      </c>
      <c r="M76" s="482" t="b">
        <v>0</v>
      </c>
      <c r="N76" s="482" t="b">
        <v>0</v>
      </c>
      <c r="O76" s="482" t="b">
        <v>0</v>
      </c>
      <c r="P76" s="482" t="b">
        <v>0</v>
      </c>
      <c r="Q76" s="482" t="b">
        <v>0</v>
      </c>
      <c r="R76" s="482" t="b">
        <v>0</v>
      </c>
      <c r="S76" s="482" t="b">
        <v>0</v>
      </c>
      <c r="T76" s="482" t="b">
        <v>0</v>
      </c>
      <c r="U76" s="482" t="b">
        <v>0</v>
      </c>
      <c r="V76" s="482" t="b">
        <v>0</v>
      </c>
      <c r="W76" s="482" t="b">
        <v>0</v>
      </c>
      <c r="X76" s="482" t="b">
        <v>0</v>
      </c>
      <c r="Y76" s="482" t="b">
        <v>0</v>
      </c>
      <c r="Z76" s="482" t="b">
        <v>0</v>
      </c>
      <c r="AA76" s="482" t="b">
        <v>0</v>
      </c>
      <c r="AB76" s="482" t="b">
        <v>0</v>
      </c>
      <c r="AC76" s="482" t="b">
        <v>0</v>
      </c>
      <c r="AD76" s="482" t="b">
        <v>0</v>
      </c>
      <c r="AE76" s="482" t="b">
        <v>0</v>
      </c>
      <c r="AF76" s="482" t="b">
        <v>0</v>
      </c>
      <c r="AG76" s="482" t="b">
        <v>0</v>
      </c>
      <c r="AH76" s="482" t="b">
        <v>0</v>
      </c>
      <c r="AI76" s="482" t="b">
        <v>0</v>
      </c>
      <c r="AJ76" s="482" t="b">
        <v>0</v>
      </c>
      <c r="AK76" s="482" t="b">
        <v>0</v>
      </c>
      <c r="AL76" s="482" t="b">
        <v>0</v>
      </c>
      <c r="AM76" s="482" t="b">
        <v>0</v>
      </c>
      <c r="AN76" s="482" t="b">
        <v>0</v>
      </c>
      <c r="AO76" s="482" t="b">
        <v>0</v>
      </c>
      <c r="AP76" s="482" t="b">
        <v>0</v>
      </c>
      <c r="AQ76" s="482" t="b">
        <v>0</v>
      </c>
      <c r="AR76" s="482" t="b">
        <v>0</v>
      </c>
      <c r="AS76" s="482" t="b">
        <v>0</v>
      </c>
      <c r="AT76" s="482" t="b">
        <v>0</v>
      </c>
      <c r="AU76" s="482" t="b">
        <v>0</v>
      </c>
      <c r="AV76" s="482" t="b">
        <v>0</v>
      </c>
      <c r="AW76" s="482" t="b">
        <v>0</v>
      </c>
      <c r="AX76" s="482" t="b">
        <v>0</v>
      </c>
      <c r="AY76" s="482" t="b">
        <v>0</v>
      </c>
      <c r="AZ76" s="482" t="b">
        <v>0</v>
      </c>
      <c r="BA76" s="482" t="b">
        <v>0</v>
      </c>
      <c r="BB76" s="482" t="b">
        <v>0</v>
      </c>
      <c r="BC76" s="482" t="b">
        <v>0</v>
      </c>
      <c r="BD76" s="482" t="b">
        <f>if(isna(vlookup(concatenate("ALL",BD$48,$C76),'Preference Lookup'!$D$3:$E$150,2,false)),false,vlookup(concatenate("ALL",BD$48,$C76),'Preference Lookup'!$D$3:$E$150,2,false))</f>
        <v>1</v>
      </c>
      <c r="BE76" s="482" t="b">
        <f>if(isna(vlookup(concatenate("ALL",BE$48,$C76),'Preference Lookup'!$D$3:$E$150,2,false)),false,vlookup(concatenate("ALL",BE$48,$C76),'Preference Lookup'!$D$3:$E$150,2,false))</f>
        <v>0</v>
      </c>
      <c r="BF76" s="482" t="b">
        <f>if(isna(vlookup(concatenate("ALL",BF$48,$C76),'Preference Lookup'!$D$3:$E$150,2,false)),false,vlookup(concatenate("ALL",BF$48,$C76),'Preference Lookup'!$D$3:$E$150,2,false))</f>
        <v>1</v>
      </c>
      <c r="BG76" s="482" t="b">
        <f>if(isna(vlookup(concatenate("ALL",BG$48,$C76),'Preference Lookup'!$D$3:$E$150,2,false)),false,vlookup(concatenate("ALL",BG$48,$C76),'Preference Lookup'!$D$3:$E$150,2,false))</f>
        <v>0</v>
      </c>
    </row>
    <row r="77" ht="14.25" customHeight="1">
      <c r="A77" s="305">
        <v>4.0</v>
      </c>
      <c r="B77" s="306"/>
      <c r="C77" s="307" t="s">
        <v>276</v>
      </c>
      <c r="H77" s="480" t="b">
        <f>if(isna(vlookup(concatenate("ALL",H$48,$C77),'Preference Lookup'!$D$3:$E$150,2,false)),false,vlookup(concatenate("ALL",H$48,$C77),'Preference Lookup'!$D$3:$E$150,2,false))</f>
        <v>1</v>
      </c>
      <c r="I77" s="480" t="b">
        <v>0</v>
      </c>
      <c r="J77" s="480" t="b">
        <f>if(isna(vlookup(concatenate("ALL",J$48,$C77),'Preference Lookup'!$D$3:$E$150,2,false)),false,vlookup(concatenate("ALL",J$48,$C77),'Preference Lookup'!$D$3:$E$150,2,false))</f>
        <v>0</v>
      </c>
      <c r="K77" s="480" t="b">
        <f>if(isna(vlookup(concatenate("ALL",K$48,$C77),'Preference Lookup'!$D$3:$E$150,2,false)),false,vlookup(concatenate("ALL",K$48,$C77),'Preference Lookup'!$D$3:$E$150,2,false))</f>
        <v>0</v>
      </c>
      <c r="L77" s="480" t="b">
        <f>if(isna(vlookup(concatenate("ALL",L$48,$C77),'Preference Lookup'!$D$3:$E$150,2,false)),false,vlookup(concatenate("ALL",L$48,$C77),'Preference Lookup'!$D$3:$E$150,2,false))</f>
        <v>0</v>
      </c>
      <c r="M77" s="480" t="b">
        <v>0</v>
      </c>
      <c r="N77" s="480" t="b">
        <v>0</v>
      </c>
      <c r="O77" s="480" t="b">
        <v>0</v>
      </c>
      <c r="P77" s="480" t="b">
        <v>0</v>
      </c>
      <c r="Q77" s="480" t="b">
        <v>0</v>
      </c>
      <c r="R77" s="480" t="b">
        <v>0</v>
      </c>
      <c r="S77" s="480" t="b">
        <v>0</v>
      </c>
      <c r="T77" s="480" t="b">
        <v>0</v>
      </c>
      <c r="U77" s="480" t="b">
        <v>0</v>
      </c>
      <c r="V77" s="480" t="b">
        <v>0</v>
      </c>
      <c r="W77" s="480" t="b">
        <v>0</v>
      </c>
      <c r="X77" s="480" t="b">
        <v>0</v>
      </c>
      <c r="Y77" s="480" t="b">
        <v>0</v>
      </c>
      <c r="Z77" s="480" t="b">
        <v>0</v>
      </c>
      <c r="AA77" s="480" t="b">
        <v>0</v>
      </c>
      <c r="AB77" s="480" t="b">
        <v>0</v>
      </c>
      <c r="AC77" s="480" t="b">
        <v>0</v>
      </c>
      <c r="AD77" s="480" t="b">
        <v>0</v>
      </c>
      <c r="AE77" s="480" t="b">
        <v>0</v>
      </c>
      <c r="AF77" s="480" t="b">
        <v>0</v>
      </c>
      <c r="AG77" s="480" t="b">
        <v>0</v>
      </c>
      <c r="AH77" s="480" t="b">
        <v>0</v>
      </c>
      <c r="AI77" s="480" t="b">
        <v>0</v>
      </c>
      <c r="AJ77" s="480" t="b">
        <v>0</v>
      </c>
      <c r="AK77" s="480" t="b">
        <v>0</v>
      </c>
      <c r="AL77" s="480" t="b">
        <v>0</v>
      </c>
      <c r="AM77" s="480" t="b">
        <v>0</v>
      </c>
      <c r="AN77" s="480" t="b">
        <v>0</v>
      </c>
      <c r="AO77" s="480" t="b">
        <v>0</v>
      </c>
      <c r="AP77" s="480" t="b">
        <v>0</v>
      </c>
      <c r="AQ77" s="480" t="b">
        <v>0</v>
      </c>
      <c r="AR77" s="480" t="b">
        <v>0</v>
      </c>
      <c r="AS77" s="480" t="b">
        <v>0</v>
      </c>
      <c r="AT77" s="480" t="b">
        <v>0</v>
      </c>
      <c r="AU77" s="480" t="b">
        <v>0</v>
      </c>
      <c r="AV77" s="480" t="b">
        <v>0</v>
      </c>
      <c r="AW77" s="480" t="b">
        <v>0</v>
      </c>
      <c r="AX77" s="480" t="b">
        <v>0</v>
      </c>
      <c r="AY77" s="480" t="b">
        <v>0</v>
      </c>
      <c r="AZ77" s="480" t="b">
        <v>0</v>
      </c>
      <c r="BA77" s="480" t="b">
        <v>0</v>
      </c>
      <c r="BB77" s="480" t="b">
        <v>0</v>
      </c>
      <c r="BC77" s="480" t="b">
        <v>0</v>
      </c>
      <c r="BD77" s="480" t="b">
        <f>if(isna(vlookup(concatenate("ALL",BD$48,$C77),'Preference Lookup'!$D$3:$E$150,2,false)),false,vlookup(concatenate("ALL",BD$48,$C77),'Preference Lookup'!$D$3:$E$150,2,false))</f>
        <v>1</v>
      </c>
      <c r="BE77" s="480" t="b">
        <f>if(isna(vlookup(concatenate("ALL",BE$48,$C77),'Preference Lookup'!$D$3:$E$150,2,false)),false,vlookup(concatenate("ALL",BE$48,$C77),'Preference Lookup'!$D$3:$E$150,2,false))</f>
        <v>0</v>
      </c>
      <c r="BF77" s="480" t="b">
        <f>if(isna(vlookup(concatenate("ALL",BF$48,$C77),'Preference Lookup'!$D$3:$E$150,2,false)),false,vlookup(concatenate("ALL",BF$48,$C77),'Preference Lookup'!$D$3:$E$150,2,false))</f>
        <v>0</v>
      </c>
      <c r="BG77" s="480" t="b">
        <f>if(isna(vlookup(concatenate("ALL",BG$48,$C77),'Preference Lookup'!$D$3:$E$150,2,false)),false,vlookup(concatenate("ALL",BG$48,$C77),'Preference Lookup'!$D$3:$E$150,2,false))</f>
        <v>0</v>
      </c>
    </row>
    <row r="78" ht="14.25" customHeight="1">
      <c r="A78" s="312">
        <f t="shared" ref="A78:A81" si="15">A77+1</f>
        <v>5</v>
      </c>
      <c r="B78" s="360"/>
      <c r="C78" s="337" t="s">
        <v>345</v>
      </c>
      <c r="H78" s="482" t="b">
        <f>if(isna(vlookup(concatenate("ALL",H$48,$C78),'Preference Lookup'!$D$3:$E$150,2,false)),false,vlookup(concatenate("ALL",H$48,$C78),'Preference Lookup'!$D$3:$E$150,2,false))</f>
        <v>0</v>
      </c>
      <c r="I78" s="482" t="b">
        <v>0</v>
      </c>
      <c r="J78" s="482" t="b">
        <f>if(isna(vlookup(concatenate("ALL",J$48,$C78),'Preference Lookup'!$D$3:$E$150,2,false)),false,vlookup(concatenate("ALL",J$48,$C78),'Preference Lookup'!$D$3:$E$150,2,false))</f>
        <v>0</v>
      </c>
      <c r="K78" s="482" t="b">
        <f>if(isna(vlookup(concatenate("ALL",K$48,$C78),'Preference Lookup'!$D$3:$E$150,2,false)),false,vlookup(concatenate("ALL",K$48,$C78),'Preference Lookup'!$D$3:$E$150,2,false))</f>
        <v>0</v>
      </c>
      <c r="L78" s="482" t="b">
        <f>if(isna(vlookup(concatenate("ALL",L$48,$C78),'Preference Lookup'!$D$3:$E$150,2,false)),false,vlookup(concatenate("ALL",L$48,$C78),'Preference Lookup'!$D$3:$E$150,2,false))</f>
        <v>0</v>
      </c>
      <c r="M78" s="482" t="b">
        <v>0</v>
      </c>
      <c r="N78" s="482" t="b">
        <v>0</v>
      </c>
      <c r="O78" s="482" t="b">
        <v>0</v>
      </c>
      <c r="P78" s="482" t="b">
        <v>0</v>
      </c>
      <c r="Q78" s="482" t="b">
        <v>0</v>
      </c>
      <c r="R78" s="482" t="b">
        <v>0</v>
      </c>
      <c r="S78" s="482" t="b">
        <v>0</v>
      </c>
      <c r="T78" s="482" t="b">
        <v>0</v>
      </c>
      <c r="U78" s="482" t="b">
        <v>0</v>
      </c>
      <c r="V78" s="482" t="b">
        <v>0</v>
      </c>
      <c r="W78" s="482" t="b">
        <v>0</v>
      </c>
      <c r="X78" s="482" t="b">
        <v>0</v>
      </c>
      <c r="Y78" s="482" t="b">
        <v>0</v>
      </c>
      <c r="Z78" s="482" t="b">
        <v>0</v>
      </c>
      <c r="AA78" s="482" t="b">
        <v>0</v>
      </c>
      <c r="AB78" s="482" t="b">
        <v>0</v>
      </c>
      <c r="AC78" s="482" t="b">
        <v>0</v>
      </c>
      <c r="AD78" s="482" t="b">
        <v>0</v>
      </c>
      <c r="AE78" s="482" t="b">
        <v>0</v>
      </c>
      <c r="AF78" s="482" t="b">
        <v>0</v>
      </c>
      <c r="AG78" s="482" t="b">
        <v>0</v>
      </c>
      <c r="AH78" s="482" t="b">
        <v>0</v>
      </c>
      <c r="AI78" s="482" t="b">
        <v>0</v>
      </c>
      <c r="AJ78" s="482" t="b">
        <v>0</v>
      </c>
      <c r="AK78" s="482" t="b">
        <v>0</v>
      </c>
      <c r="AL78" s="482" t="b">
        <v>0</v>
      </c>
      <c r="AM78" s="482" t="b">
        <v>0</v>
      </c>
      <c r="AN78" s="482" t="b">
        <v>0</v>
      </c>
      <c r="AO78" s="482" t="b">
        <v>0</v>
      </c>
      <c r="AP78" s="482" t="b">
        <v>0</v>
      </c>
      <c r="AQ78" s="482" t="b">
        <v>0</v>
      </c>
      <c r="AR78" s="482" t="b">
        <v>0</v>
      </c>
      <c r="AS78" s="482" t="b">
        <v>0</v>
      </c>
      <c r="AT78" s="482" t="b">
        <v>0</v>
      </c>
      <c r="AU78" s="482" t="b">
        <v>0</v>
      </c>
      <c r="AV78" s="482" t="b">
        <v>0</v>
      </c>
      <c r="AW78" s="482" t="b">
        <v>0</v>
      </c>
      <c r="AX78" s="482" t="b">
        <v>0</v>
      </c>
      <c r="AY78" s="482" t="b">
        <v>0</v>
      </c>
      <c r="AZ78" s="482" t="b">
        <v>0</v>
      </c>
      <c r="BA78" s="482" t="b">
        <v>0</v>
      </c>
      <c r="BB78" s="482" t="b">
        <v>0</v>
      </c>
      <c r="BC78" s="482" t="b">
        <v>0</v>
      </c>
      <c r="BD78" s="482" t="b">
        <f>if(isna(vlookup(concatenate("ALL",BD$48,$C78),'Preference Lookup'!$D$3:$E$150,2,false)),false,vlookup(concatenate("ALL",BD$48,$C78),'Preference Lookup'!$D$3:$E$150,2,false))</f>
        <v>0</v>
      </c>
      <c r="BE78" s="482" t="b">
        <f>if(isna(vlookup(concatenate("ALL",BE$48,$C78),'Preference Lookup'!$D$3:$E$150,2,false)),false,vlookup(concatenate("ALL",BE$48,$C78),'Preference Lookup'!$D$3:$E$150,2,false))</f>
        <v>0</v>
      </c>
      <c r="BF78" s="482" t="b">
        <f>if(isna(vlookup(concatenate("ALL",BF$48,$C78),'Preference Lookup'!$D$3:$E$150,2,false)),false,vlookup(concatenate("ALL",BF$48,$C78),'Preference Lookup'!$D$3:$E$150,2,false))</f>
        <v>0</v>
      </c>
      <c r="BG78" s="482" t="b">
        <f>if(isna(vlookup(concatenate("ALL",BG$48,$C78),'Preference Lookup'!$D$3:$E$150,2,false)),false,vlookup(concatenate("ALL",BG$48,$C78),'Preference Lookup'!$D$3:$E$150,2,false))</f>
        <v>0</v>
      </c>
    </row>
    <row r="79" ht="14.25" customHeight="1">
      <c r="A79" s="342">
        <f t="shared" si="15"/>
        <v>6</v>
      </c>
      <c r="B79" s="306"/>
      <c r="C79" s="374" t="str">
        <f>HYPERLINK("https://www.health.gov.au/health-topics/alcohol/about-alcohol/alcohol-laws-in-australia","Dry Postcodes (for Liquor Campaigns)")</f>
        <v>Dry Postcodes (for Liquor Campaigns)</v>
      </c>
      <c r="H79" s="480" t="str">
        <f>if(isna(vlookup(concatenate(Menu!$B$5,H$48,$C79),'Preference Lookup'!$D$3:$E$150,2,false)),false,vlookup(concatenate(Menu!$B$5,H$48,$C79),'Preference Lookup'!$D$3:$E$150,2,false))</f>
        <v>#REF!</v>
      </c>
      <c r="I79" s="480" t="b">
        <v>0</v>
      </c>
      <c r="J79" s="480" t="str">
        <f>if(isna(vlookup(concatenate(Menu!$B$5,J$48,$C79),'Preference Lookup'!$D$3:$E$150,2,false)),false,vlookup(concatenate(Menu!$B$5,J$48,$C79),'Preference Lookup'!$D$3:$E$150,2,false))</f>
        <v>#REF!</v>
      </c>
      <c r="K79" s="480" t="str">
        <f>if(isna(vlookup(concatenate(Menu!$B$5,K$48,$C79),'Preference Lookup'!$D$3:$E$150,2,false)),false,vlookup(concatenate(Menu!$B$5,K$48,$C79),'Preference Lookup'!$D$3:$E$150,2,false))</f>
        <v>#REF!</v>
      </c>
      <c r="L79" s="480" t="str">
        <f>if(isna(vlookup(concatenate(Menu!$B$5,L$48,$C79),'Preference Lookup'!$D$3:$E$150,2,false)),false,vlookup(concatenate(Menu!$B$5,L$48,$C79),'Preference Lookup'!$D$3:$E$150,2,false))</f>
        <v>#REF!</v>
      </c>
      <c r="M79" s="480" t="b">
        <v>0</v>
      </c>
      <c r="N79" s="480" t="b">
        <v>0</v>
      </c>
      <c r="O79" s="480" t="b">
        <v>0</v>
      </c>
      <c r="P79" s="480" t="b">
        <v>0</v>
      </c>
      <c r="Q79" s="480" t="b">
        <v>0</v>
      </c>
      <c r="R79" s="480" t="b">
        <v>0</v>
      </c>
      <c r="S79" s="480" t="b">
        <v>0</v>
      </c>
      <c r="T79" s="480" t="b">
        <v>0</v>
      </c>
      <c r="U79" s="480" t="b">
        <v>0</v>
      </c>
      <c r="V79" s="480" t="b">
        <v>0</v>
      </c>
      <c r="W79" s="480" t="b">
        <v>0</v>
      </c>
      <c r="X79" s="480" t="b">
        <v>0</v>
      </c>
      <c r="Y79" s="480" t="b">
        <v>0</v>
      </c>
      <c r="Z79" s="480" t="b">
        <v>0</v>
      </c>
      <c r="AA79" s="480" t="b">
        <v>0</v>
      </c>
      <c r="AB79" s="480" t="b">
        <v>0</v>
      </c>
      <c r="AC79" s="480" t="b">
        <v>0</v>
      </c>
      <c r="AD79" s="480" t="b">
        <v>0</v>
      </c>
      <c r="AE79" s="480" t="b">
        <v>0</v>
      </c>
      <c r="AF79" s="480" t="b">
        <v>0</v>
      </c>
      <c r="AG79" s="480" t="b">
        <v>0</v>
      </c>
      <c r="AH79" s="480" t="b">
        <v>0</v>
      </c>
      <c r="AI79" s="480" t="b">
        <v>0</v>
      </c>
      <c r="AJ79" s="480" t="b">
        <v>0</v>
      </c>
      <c r="AK79" s="480" t="b">
        <v>0</v>
      </c>
      <c r="AL79" s="480" t="b">
        <v>0</v>
      </c>
      <c r="AM79" s="480" t="b">
        <v>0</v>
      </c>
      <c r="AN79" s="480" t="b">
        <v>0</v>
      </c>
      <c r="AO79" s="480" t="b">
        <v>0</v>
      </c>
      <c r="AP79" s="480" t="b">
        <v>0</v>
      </c>
      <c r="AQ79" s="480" t="b">
        <v>0</v>
      </c>
      <c r="AR79" s="480" t="b">
        <v>0</v>
      </c>
      <c r="AS79" s="480" t="b">
        <v>0</v>
      </c>
      <c r="AT79" s="480" t="b">
        <v>0</v>
      </c>
      <c r="AU79" s="480" t="b">
        <v>0</v>
      </c>
      <c r="AV79" s="480" t="b">
        <v>0</v>
      </c>
      <c r="AW79" s="480" t="b">
        <v>0</v>
      </c>
      <c r="AX79" s="480" t="b">
        <v>0</v>
      </c>
      <c r="AY79" s="480" t="b">
        <v>0</v>
      </c>
      <c r="AZ79" s="480" t="b">
        <v>0</v>
      </c>
      <c r="BA79" s="480" t="b">
        <v>0</v>
      </c>
      <c r="BB79" s="480" t="b">
        <v>0</v>
      </c>
      <c r="BC79" s="480" t="b">
        <v>0</v>
      </c>
      <c r="BD79" s="480" t="str">
        <f>if(isna(vlookup(concatenate(Menu!$B$5,BD$48,$C79),'Preference Lookup'!$D$3:$E$150,2,false)),false,vlookup(concatenate(Menu!$B$5,BD$48,$C79),'Preference Lookup'!$D$3:$E$150,2,false))</f>
        <v>#REF!</v>
      </c>
      <c r="BE79" s="480" t="str">
        <f>if(isna(vlookup(concatenate(Menu!$B$5,BE$48,$C79),'Preference Lookup'!$D$3:$E$150,2,false)),false,vlookup(concatenate(Menu!$B$5,BE$48,$C79),'Preference Lookup'!$D$3:$E$150,2,false))</f>
        <v>#REF!</v>
      </c>
      <c r="BF79" s="480" t="str">
        <f>if(isna(vlookup(concatenate(Menu!$B$5,BF$48,$C79),'Preference Lookup'!$D$3:$E$150,2,false)),false,vlookup(concatenate(Menu!$B$5,BF$48,$C79),'Preference Lookup'!$D$3:$E$150,2,false))</f>
        <v>#REF!</v>
      </c>
      <c r="BG79" s="480" t="str">
        <f>if(isna(vlookup(concatenate(Menu!$B$5,BG$48,$C79),'Preference Lookup'!$D$3:$E$150,2,false)),false,vlookup(concatenate(Menu!$B$5,BG$48,$C79),'Preference Lookup'!$D$3:$E$150,2,false))</f>
        <v>#REF!</v>
      </c>
    </row>
    <row r="80" ht="14.25" customHeight="1">
      <c r="A80" s="312">
        <f t="shared" si="15"/>
        <v>7</v>
      </c>
      <c r="B80" s="360"/>
      <c r="C80" s="375" t="s">
        <v>278</v>
      </c>
      <c r="H80" s="482" t="b">
        <v>1</v>
      </c>
      <c r="I80" s="482" t="b">
        <v>1</v>
      </c>
      <c r="J80" s="482" t="b">
        <v>1</v>
      </c>
      <c r="K80" s="482" t="b">
        <f>if(isna(vlookup(concatenate("ALL",K$48,$C80),'Preference Lookup'!$D$3:$E$150,2,false)),false,vlookup(concatenate("ALL",K$48,$C80),'Preference Lookup'!$D$3:$E$150,2,false))</f>
        <v>0</v>
      </c>
      <c r="L80" s="482" t="b">
        <f>if(isna(vlookup(concatenate("ALL",L$48,$C80),'Preference Lookup'!$D$3:$E$150,2,false)),false,vlookup(concatenate("ALL",L$48,$C80),'Preference Lookup'!$D$3:$E$150,2,false))</f>
        <v>0</v>
      </c>
      <c r="M80" s="482" t="b">
        <v>0</v>
      </c>
      <c r="N80" s="482" t="b">
        <v>0</v>
      </c>
      <c r="O80" s="482" t="b">
        <v>0</v>
      </c>
      <c r="P80" s="482" t="b">
        <v>0</v>
      </c>
      <c r="Q80" s="482" t="b">
        <v>0</v>
      </c>
      <c r="R80" s="482" t="b">
        <v>0</v>
      </c>
      <c r="S80" s="482" t="b">
        <v>0</v>
      </c>
      <c r="T80" s="482" t="b">
        <v>0</v>
      </c>
      <c r="U80" s="482" t="b">
        <v>0</v>
      </c>
      <c r="V80" s="482" t="b">
        <v>0</v>
      </c>
      <c r="W80" s="482" t="b">
        <v>0</v>
      </c>
      <c r="X80" s="482" t="b">
        <v>0</v>
      </c>
      <c r="Y80" s="482" t="b">
        <v>0</v>
      </c>
      <c r="Z80" s="482" t="b">
        <v>0</v>
      </c>
      <c r="AA80" s="482" t="b">
        <v>0</v>
      </c>
      <c r="AB80" s="482" t="b">
        <v>0</v>
      </c>
      <c r="AC80" s="482" t="b">
        <v>0</v>
      </c>
      <c r="AD80" s="482" t="b">
        <v>0</v>
      </c>
      <c r="AE80" s="482" t="b">
        <v>0</v>
      </c>
      <c r="AF80" s="482" t="b">
        <v>0</v>
      </c>
      <c r="AG80" s="482" t="b">
        <v>0</v>
      </c>
      <c r="AH80" s="482" t="b">
        <v>0</v>
      </c>
      <c r="AI80" s="482" t="b">
        <v>0</v>
      </c>
      <c r="AJ80" s="482" t="b">
        <v>0</v>
      </c>
      <c r="AK80" s="482" t="b">
        <v>0</v>
      </c>
      <c r="AL80" s="482" t="b">
        <v>0</v>
      </c>
      <c r="AM80" s="482" t="b">
        <v>0</v>
      </c>
      <c r="AN80" s="482" t="b">
        <v>0</v>
      </c>
      <c r="AO80" s="482" t="b">
        <v>0</v>
      </c>
      <c r="AP80" s="482" t="b">
        <v>0</v>
      </c>
      <c r="AQ80" s="482" t="b">
        <v>0</v>
      </c>
      <c r="AR80" s="482" t="b">
        <v>0</v>
      </c>
      <c r="AS80" s="482" t="b">
        <v>0</v>
      </c>
      <c r="AT80" s="482" t="b">
        <v>0</v>
      </c>
      <c r="AU80" s="482" t="b">
        <v>0</v>
      </c>
      <c r="AV80" s="482" t="b">
        <v>0</v>
      </c>
      <c r="AW80" s="482" t="b">
        <v>0</v>
      </c>
      <c r="AX80" s="482" t="b">
        <v>0</v>
      </c>
      <c r="AY80" s="482" t="b">
        <v>0</v>
      </c>
      <c r="AZ80" s="482" t="b">
        <v>0</v>
      </c>
      <c r="BA80" s="482" t="b">
        <v>0</v>
      </c>
      <c r="BB80" s="482" t="b">
        <v>0</v>
      </c>
      <c r="BC80" s="482" t="b">
        <v>0</v>
      </c>
      <c r="BD80" s="482" t="b">
        <f>if(isna(vlookup(concatenate("ALL",BD$48,$C80),'Preference Lookup'!$D$3:$E$150,2,false)),false,vlookup(concatenate("ALL",BD$48,$C80),'Preference Lookup'!$D$3:$E$150,2,false))</f>
        <v>1</v>
      </c>
      <c r="BE80" s="482" t="b">
        <f>if(isna(vlookup(concatenate("ALL",BE$48,$C80),'Preference Lookup'!$D$3:$E$150,2,false)),false,vlookup(concatenate("ALL",BE$48,$C80),'Preference Lookup'!$D$3:$E$150,2,false))</f>
        <v>0</v>
      </c>
      <c r="BF80" s="482" t="b">
        <f>if(isna(vlookup(concatenate("ALL",BF$48,$C80),'Preference Lookup'!$D$3:$E$150,2,false)),false,vlookup(concatenate("ALL",BF$48,$C80),'Preference Lookup'!$D$3:$E$150,2,false))</f>
        <v>1</v>
      </c>
      <c r="BG80" s="482" t="b">
        <f>if(isna(vlookup(concatenate("ALL",BG$48,$C80),'Preference Lookup'!$D$3:$E$150,2,false)),false,vlookup(concatenate("ALL",BG$48,$C80),'Preference Lookup'!$D$3:$E$150,2,false))</f>
        <v>0</v>
      </c>
    </row>
    <row r="81" ht="14.25" customHeight="1">
      <c r="A81" s="342">
        <f t="shared" si="15"/>
        <v>8</v>
      </c>
      <c r="B81" s="306"/>
      <c r="C81" s="376" t="s">
        <v>279</v>
      </c>
      <c r="D81" s="376"/>
      <c r="E81" s="376"/>
      <c r="F81" s="376"/>
      <c r="G81" s="376"/>
      <c r="H81" s="480" t="b">
        <v>0</v>
      </c>
      <c r="I81" s="480" t="b">
        <v>0</v>
      </c>
      <c r="J81" s="480" t="b">
        <v>0</v>
      </c>
      <c r="K81" s="480" t="str">
        <f>if(isna(vlookup(concatenate(Menu!$B$5,K$48,$C81),'Preference Lookup'!$D$3:$E$150,2,false)),false,vlookup(concatenate(Menu!$B$5,K$48,$C81),'Preference Lookup'!$D$3:$E$150,2,false))</f>
        <v>#REF!</v>
      </c>
      <c r="L81" s="480" t="b">
        <f>if(isna(vlookup(concatenate("ALL",L$48,$C81),'Preference Lookup'!$D$3:$E$150,2,false)),false,vlookup(concatenate("ALL",L$48,$C81),'Preference Lookup'!$D$3:$E$150,2,false))</f>
        <v>0</v>
      </c>
      <c r="M81" s="480" t="b">
        <v>0</v>
      </c>
      <c r="N81" s="480" t="b">
        <v>0</v>
      </c>
      <c r="O81" s="480" t="b">
        <v>0</v>
      </c>
      <c r="P81" s="480" t="b">
        <v>0</v>
      </c>
      <c r="Q81" s="480" t="b">
        <v>0</v>
      </c>
      <c r="R81" s="480" t="b">
        <v>0</v>
      </c>
      <c r="S81" s="480" t="b">
        <v>0</v>
      </c>
      <c r="T81" s="480" t="b">
        <v>0</v>
      </c>
      <c r="U81" s="480" t="b">
        <v>0</v>
      </c>
      <c r="V81" s="480" t="b">
        <v>0</v>
      </c>
      <c r="W81" s="480" t="b">
        <v>0</v>
      </c>
      <c r="X81" s="480" t="b">
        <v>0</v>
      </c>
      <c r="Y81" s="480" t="b">
        <v>0</v>
      </c>
      <c r="Z81" s="480" t="b">
        <v>0</v>
      </c>
      <c r="AA81" s="480" t="b">
        <v>0</v>
      </c>
      <c r="AB81" s="480" t="b">
        <v>0</v>
      </c>
      <c r="AC81" s="480" t="b">
        <v>0</v>
      </c>
      <c r="AD81" s="480" t="b">
        <v>0</v>
      </c>
      <c r="AE81" s="480" t="b">
        <v>0</v>
      </c>
      <c r="AF81" s="480" t="b">
        <v>0</v>
      </c>
      <c r="AG81" s="480" t="b">
        <v>0</v>
      </c>
      <c r="AH81" s="480" t="b">
        <v>0</v>
      </c>
      <c r="AI81" s="480" t="b">
        <v>0</v>
      </c>
      <c r="AJ81" s="480" t="b">
        <v>0</v>
      </c>
      <c r="AK81" s="480" t="b">
        <v>0</v>
      </c>
      <c r="AL81" s="480" t="b">
        <v>0</v>
      </c>
      <c r="AM81" s="480" t="b">
        <v>0</v>
      </c>
      <c r="AN81" s="480" t="b">
        <v>0</v>
      </c>
      <c r="AO81" s="480" t="b">
        <v>0</v>
      </c>
      <c r="AP81" s="480" t="b">
        <v>0</v>
      </c>
      <c r="AQ81" s="480" t="b">
        <v>0</v>
      </c>
      <c r="AR81" s="480" t="b">
        <v>0</v>
      </c>
      <c r="AS81" s="480" t="b">
        <v>0</v>
      </c>
      <c r="AT81" s="480" t="b">
        <v>0</v>
      </c>
      <c r="AU81" s="480" t="b">
        <v>0</v>
      </c>
      <c r="AV81" s="480" t="b">
        <v>0</v>
      </c>
      <c r="AW81" s="480" t="b">
        <v>0</v>
      </c>
      <c r="AX81" s="480" t="b">
        <v>0</v>
      </c>
      <c r="AY81" s="480" t="b">
        <v>0</v>
      </c>
      <c r="AZ81" s="480" t="b">
        <v>0</v>
      </c>
      <c r="BA81" s="480" t="b">
        <v>0</v>
      </c>
      <c r="BB81" s="480" t="b">
        <v>0</v>
      </c>
      <c r="BC81" s="480" t="b">
        <v>0</v>
      </c>
      <c r="BD81" s="480" t="b">
        <f>if(isna(vlookup(concatenate("ALL",BD$48,$C81),'Preference Lookup'!$D$3:$E$150,2,false)),false,vlookup(concatenate("ALL",BD$48,$C81),'Preference Lookup'!$D$3:$E$150,2,false))</f>
        <v>1</v>
      </c>
      <c r="BE81" s="480" t="b">
        <f>if(isna(vlookup(concatenate("ALL",BE$48,$C81),'Preference Lookup'!$D$3:$E$150,2,false)),false,vlookup(concatenate("ALL",BE$48,$C81),'Preference Lookup'!$D$3:$E$150,2,false))</f>
        <v>0</v>
      </c>
      <c r="BF81" s="480" t="b">
        <f>if(isna(vlookup(concatenate("ALL",BF$48,$C81),'Preference Lookup'!$D$3:$E$150,2,false)),false,vlookup(concatenate("ALL",BF$48,$C81),'Preference Lookup'!$D$3:$E$150,2,false))</f>
        <v>1</v>
      </c>
      <c r="BG81" s="480" t="b">
        <f>if(isna(vlookup(concatenate("ALL",BG$48,$C81),'Preference Lookup'!$D$3:$E$150,2,false)),false,vlookup(concatenate("ALL",BG$48,$C81),'Preference Lookup'!$D$3:$E$150,2,false))</f>
        <v>0</v>
      </c>
    </row>
    <row r="82" ht="14.25" customHeight="1">
      <c r="A82" s="377"/>
      <c r="B82" s="349"/>
      <c r="C82" s="378"/>
      <c r="F82" s="337"/>
      <c r="G82" s="424"/>
      <c r="H82" s="496"/>
      <c r="I82" s="496"/>
      <c r="J82" s="496"/>
      <c r="K82" s="496"/>
      <c r="L82" s="496"/>
      <c r="M82" s="496"/>
      <c r="N82" s="496"/>
      <c r="O82" s="496"/>
      <c r="P82" s="496"/>
      <c r="Q82" s="496"/>
      <c r="R82" s="496"/>
      <c r="S82" s="496"/>
      <c r="T82" s="496"/>
      <c r="U82" s="496"/>
      <c r="V82" s="496"/>
      <c r="W82" s="496"/>
      <c r="X82" s="496"/>
      <c r="Y82" s="496"/>
      <c r="Z82" s="496"/>
      <c r="AA82" s="496"/>
      <c r="AB82" s="496"/>
      <c r="AC82" s="496"/>
      <c r="AD82" s="496"/>
      <c r="AE82" s="496"/>
      <c r="AF82" s="496"/>
      <c r="AG82" s="496"/>
      <c r="AH82" s="496"/>
      <c r="AI82" s="496"/>
      <c r="AJ82" s="496"/>
      <c r="AK82" s="496"/>
      <c r="AL82" s="496"/>
      <c r="AM82" s="496"/>
      <c r="AN82" s="496"/>
      <c r="AO82" s="496"/>
      <c r="AP82" s="496"/>
      <c r="AQ82" s="496"/>
      <c r="AR82" s="496"/>
      <c r="AS82" s="496"/>
      <c r="AT82" s="496"/>
      <c r="AU82" s="496"/>
      <c r="AV82" s="496"/>
      <c r="AW82" s="496"/>
      <c r="AX82" s="496"/>
      <c r="AY82" s="496"/>
      <c r="AZ82" s="496"/>
      <c r="BA82" s="496"/>
      <c r="BB82" s="496"/>
      <c r="BC82" s="496"/>
      <c r="BD82" s="496"/>
      <c r="BE82" s="496"/>
      <c r="BF82" s="496"/>
      <c r="BG82" s="496"/>
    </row>
    <row r="83" ht="14.25" customHeight="1">
      <c r="A83" s="379"/>
      <c r="B83" s="380"/>
      <c r="C83" s="329" t="s">
        <v>280</v>
      </c>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484"/>
      <c r="AH83" s="484"/>
      <c r="AI83" s="484"/>
      <c r="AJ83" s="484"/>
      <c r="AK83" s="484"/>
      <c r="AL83" s="484"/>
      <c r="AM83" s="484"/>
      <c r="AN83" s="484"/>
      <c r="AO83" s="484"/>
      <c r="AP83" s="484"/>
      <c r="AQ83" s="484"/>
      <c r="AR83" s="484"/>
      <c r="AS83" s="484"/>
      <c r="AT83" s="484"/>
      <c r="AU83" s="484"/>
      <c r="AV83" s="484"/>
      <c r="AW83" s="484"/>
      <c r="AX83" s="484"/>
      <c r="AY83" s="484"/>
      <c r="AZ83" s="484"/>
      <c r="BA83" s="484"/>
      <c r="BB83" s="484"/>
      <c r="BC83" s="484"/>
      <c r="BD83" s="484"/>
      <c r="BE83" s="484"/>
      <c r="BF83" s="484"/>
      <c r="BG83" s="484"/>
    </row>
    <row r="84" ht="14.25" customHeight="1">
      <c r="A84" s="369"/>
      <c r="B84" s="370"/>
      <c r="C84" s="371"/>
      <c r="D84" s="370"/>
      <c r="E84" s="370"/>
      <c r="F84" s="370"/>
      <c r="G84" s="494"/>
      <c r="H84" s="495" t="str">
        <f t="shared" ref="H84:L84" si="16">H$48</f>
        <v>Email</v>
      </c>
      <c r="I84" s="495" t="str">
        <f t="shared" si="16"/>
        <v>Push - Rewards App</v>
      </c>
      <c r="J84" s="495" t="str">
        <f t="shared" si="16"/>
        <v>Rewards App</v>
      </c>
      <c r="K84" s="495" t="str">
        <f t="shared" si="16"/>
        <v/>
      </c>
      <c r="L84" s="495" t="str">
        <f t="shared" si="16"/>
        <v/>
      </c>
      <c r="M84" s="495"/>
      <c r="N84" s="495"/>
      <c r="O84" s="495"/>
      <c r="P84" s="495"/>
      <c r="Q84" s="495"/>
      <c r="R84" s="495"/>
      <c r="S84" s="495"/>
      <c r="T84" s="495"/>
      <c r="U84" s="495"/>
      <c r="V84" s="495"/>
      <c r="W84" s="495"/>
      <c r="X84" s="495"/>
      <c r="Y84" s="495"/>
      <c r="Z84" s="495"/>
      <c r="AA84" s="495"/>
      <c r="AB84" s="495"/>
      <c r="AC84" s="495"/>
      <c r="AD84" s="495"/>
      <c r="AE84" s="495"/>
      <c r="AF84" s="495"/>
      <c r="AG84" s="495"/>
      <c r="AH84" s="495"/>
      <c r="AI84" s="495"/>
      <c r="AJ84" s="495"/>
      <c r="AK84" s="495"/>
      <c r="AL84" s="495"/>
      <c r="AM84" s="495"/>
      <c r="AN84" s="495"/>
      <c r="AO84" s="495"/>
      <c r="AP84" s="495"/>
      <c r="AQ84" s="495"/>
      <c r="AR84" s="495"/>
      <c r="AS84" s="495"/>
      <c r="AT84" s="495"/>
      <c r="AU84" s="495"/>
      <c r="AV84" s="495"/>
      <c r="AW84" s="495"/>
      <c r="AX84" s="495"/>
      <c r="AY84" s="495"/>
      <c r="AZ84" s="495"/>
      <c r="BA84" s="495"/>
      <c r="BB84" s="495"/>
      <c r="BC84" s="495"/>
      <c r="BD84" s="495"/>
      <c r="BE84" s="495"/>
      <c r="BF84" s="495"/>
      <c r="BG84" s="495"/>
    </row>
    <row r="85" ht="14.25" customHeight="1">
      <c r="A85" s="359">
        <v>1.0</v>
      </c>
      <c r="B85" s="360"/>
      <c r="C85" s="337" t="s">
        <v>346</v>
      </c>
      <c r="H85" s="482" t="b">
        <v>0</v>
      </c>
      <c r="I85" s="482" t="b">
        <v>0</v>
      </c>
      <c r="J85" s="482" t="b">
        <v>0</v>
      </c>
      <c r="K85" s="482" t="b">
        <v>0</v>
      </c>
      <c r="L85" s="482" t="b">
        <v>0</v>
      </c>
      <c r="M85" s="482" t="b">
        <v>0</v>
      </c>
      <c r="N85" s="482" t="b">
        <v>0</v>
      </c>
      <c r="O85" s="482" t="b">
        <v>0</v>
      </c>
      <c r="P85" s="482" t="b">
        <v>0</v>
      </c>
      <c r="Q85" s="482" t="b">
        <v>0</v>
      </c>
      <c r="R85" s="482" t="b">
        <v>0</v>
      </c>
      <c r="S85" s="482" t="b">
        <v>0</v>
      </c>
      <c r="T85" s="482" t="b">
        <v>0</v>
      </c>
      <c r="U85" s="482" t="b">
        <v>0</v>
      </c>
      <c r="V85" s="482" t="b">
        <v>0</v>
      </c>
      <c r="W85" s="482" t="b">
        <v>0</v>
      </c>
      <c r="X85" s="482" t="b">
        <v>0</v>
      </c>
      <c r="Y85" s="482" t="b">
        <v>0</v>
      </c>
      <c r="Z85" s="482" t="b">
        <v>0</v>
      </c>
      <c r="AA85" s="482" t="b">
        <v>0</v>
      </c>
      <c r="AB85" s="482" t="b">
        <v>0</v>
      </c>
      <c r="AC85" s="482" t="b">
        <v>0</v>
      </c>
      <c r="AD85" s="482" t="b">
        <v>0</v>
      </c>
      <c r="AE85" s="482" t="b">
        <v>0</v>
      </c>
      <c r="AF85" s="482" t="b">
        <v>0</v>
      </c>
      <c r="AG85" s="482" t="b">
        <v>0</v>
      </c>
      <c r="AH85" s="482" t="b">
        <v>0</v>
      </c>
      <c r="AI85" s="482" t="b">
        <v>0</v>
      </c>
      <c r="AJ85" s="482" t="b">
        <v>0</v>
      </c>
      <c r="AK85" s="482" t="b">
        <v>0</v>
      </c>
      <c r="AL85" s="482" t="b">
        <v>0</v>
      </c>
      <c r="AM85" s="482" t="b">
        <v>0</v>
      </c>
      <c r="AN85" s="482" t="b">
        <v>0</v>
      </c>
      <c r="AO85" s="482" t="b">
        <v>0</v>
      </c>
      <c r="AP85" s="482" t="b">
        <v>0</v>
      </c>
      <c r="AQ85" s="482" t="b">
        <v>0</v>
      </c>
      <c r="AR85" s="482" t="b">
        <v>0</v>
      </c>
      <c r="AS85" s="482" t="b">
        <v>0</v>
      </c>
      <c r="AT85" s="482" t="b">
        <v>0</v>
      </c>
      <c r="AU85" s="482" t="b">
        <v>0</v>
      </c>
      <c r="AV85" s="482" t="b">
        <v>0</v>
      </c>
      <c r="AW85" s="482" t="b">
        <v>0</v>
      </c>
      <c r="AX85" s="482" t="b">
        <v>0</v>
      </c>
      <c r="AY85" s="482" t="b">
        <v>0</v>
      </c>
      <c r="AZ85" s="482" t="b">
        <v>0</v>
      </c>
      <c r="BA85" s="482" t="b">
        <v>0</v>
      </c>
      <c r="BB85" s="482" t="b">
        <v>0</v>
      </c>
      <c r="BC85" s="482" t="b">
        <v>0</v>
      </c>
      <c r="BD85" s="482"/>
      <c r="BE85" s="482"/>
      <c r="BF85" s="482"/>
      <c r="BG85" s="482"/>
    </row>
    <row r="86" ht="14.25" customHeight="1">
      <c r="A86" s="342">
        <f>A85+1</f>
        <v>2</v>
      </c>
      <c r="B86" s="306"/>
      <c r="C86" s="497" t="s">
        <v>347</v>
      </c>
      <c r="H86" s="480" t="b">
        <v>1</v>
      </c>
      <c r="I86" s="480" t="b">
        <v>0</v>
      </c>
      <c r="J86" s="480" t="b">
        <v>0</v>
      </c>
      <c r="K86" s="480" t="b">
        <v>0</v>
      </c>
      <c r="L86" s="480" t="b">
        <v>0</v>
      </c>
      <c r="M86" s="480" t="b">
        <v>0</v>
      </c>
      <c r="N86" s="480" t="b">
        <v>0</v>
      </c>
      <c r="O86" s="480" t="b">
        <v>0</v>
      </c>
      <c r="P86" s="480" t="b">
        <v>0</v>
      </c>
      <c r="Q86" s="480" t="b">
        <v>0</v>
      </c>
      <c r="R86" s="480" t="b">
        <v>0</v>
      </c>
      <c r="S86" s="480" t="b">
        <v>0</v>
      </c>
      <c r="T86" s="480" t="b">
        <v>0</v>
      </c>
      <c r="U86" s="480" t="b">
        <v>0</v>
      </c>
      <c r="V86" s="480" t="b">
        <v>0</v>
      </c>
      <c r="W86" s="480" t="b">
        <v>0</v>
      </c>
      <c r="X86" s="480" t="b">
        <v>0</v>
      </c>
      <c r="Y86" s="480" t="b">
        <v>0</v>
      </c>
      <c r="Z86" s="480" t="b">
        <v>0</v>
      </c>
      <c r="AA86" s="480" t="b">
        <v>0</v>
      </c>
      <c r="AB86" s="480" t="b">
        <v>0</v>
      </c>
      <c r="AC86" s="480" t="b">
        <v>0</v>
      </c>
      <c r="AD86" s="480" t="b">
        <v>0</v>
      </c>
      <c r="AE86" s="480" t="b">
        <v>0</v>
      </c>
      <c r="AF86" s="480" t="b">
        <v>0</v>
      </c>
      <c r="AG86" s="480" t="b">
        <v>0</v>
      </c>
      <c r="AH86" s="480" t="b">
        <v>0</v>
      </c>
      <c r="AI86" s="480" t="b">
        <v>0</v>
      </c>
      <c r="AJ86" s="480" t="b">
        <v>0</v>
      </c>
      <c r="AK86" s="480" t="b">
        <v>0</v>
      </c>
      <c r="AL86" s="480" t="b">
        <v>0</v>
      </c>
      <c r="AM86" s="480" t="b">
        <v>0</v>
      </c>
      <c r="AN86" s="480" t="b">
        <v>0</v>
      </c>
      <c r="AO86" s="480" t="b">
        <v>0</v>
      </c>
      <c r="AP86" s="480" t="b">
        <v>0</v>
      </c>
      <c r="AQ86" s="480" t="b">
        <v>0</v>
      </c>
      <c r="AR86" s="480" t="b">
        <v>0</v>
      </c>
      <c r="AS86" s="480" t="b">
        <v>0</v>
      </c>
      <c r="AT86" s="480" t="b">
        <v>0</v>
      </c>
      <c r="AU86" s="480" t="b">
        <v>0</v>
      </c>
      <c r="AV86" s="480" t="b">
        <v>0</v>
      </c>
      <c r="AW86" s="480" t="b">
        <v>0</v>
      </c>
      <c r="AX86" s="480" t="b">
        <v>0</v>
      </c>
      <c r="AY86" s="480" t="b">
        <v>0</v>
      </c>
      <c r="AZ86" s="480" t="b">
        <v>0</v>
      </c>
      <c r="BA86" s="480" t="b">
        <v>0</v>
      </c>
      <c r="BB86" s="480" t="b">
        <v>0</v>
      </c>
      <c r="BC86" s="480" t="b">
        <v>0</v>
      </c>
      <c r="BD86" s="480"/>
      <c r="BE86" s="480"/>
      <c r="BF86" s="480"/>
      <c r="BG86" s="480"/>
    </row>
    <row r="87" ht="14.25" customHeight="1">
      <c r="A87" s="359">
        <v>3.0</v>
      </c>
      <c r="B87" s="360"/>
      <c r="C87" s="337" t="s">
        <v>348</v>
      </c>
      <c r="H87" s="482" t="b">
        <f>if(isna(vlookup(concatenate("ALL",H$48,$C87),'Preference Lookup'!$D$3:$E$154,2,false)),false,vlookup(concatenate("ALL",H$48,$C87),'Preference Lookup'!$D$3:$E$154,2,false))</f>
        <v>1</v>
      </c>
      <c r="I87" s="482" t="b">
        <f>if(isna(vlookup(concatenate("ALL",I$48,$C87),'Preference Lookup'!$D$3:$E$154,2,false)),false,vlookup(concatenate("ALL",I$48,$C87),'Preference Lookup'!$D$3:$E$154,2,false))</f>
        <v>0</v>
      </c>
      <c r="J87" s="482" t="b">
        <f>if(isna(vlookup(concatenate("ALL",J$48,$C87),'Preference Lookup'!$D$3:$E$154,2,false)),false,vlookup(concatenate("ALL",J$48,$C87),'Preference Lookup'!$D$3:$E$154,2,false))</f>
        <v>0</v>
      </c>
      <c r="K87" s="482" t="b">
        <f>if(isna(vlookup(concatenate("ALL",K$48,$C87),'Preference Lookup'!$D$3:$E$154,2,false)),false,vlookup(concatenate("ALL",K$48,$C87),'Preference Lookup'!$D$3:$E$154,2,false))</f>
        <v>0</v>
      </c>
      <c r="L87" s="482" t="b">
        <f>if(isna(vlookup(concatenate("ALL",L$48,$C87),'Preference Lookup'!$D$3:$E$154,2,false)),false,vlookup(concatenate("ALL",L$48,$C87),'Preference Lookup'!$D$3:$E$154,2,false))</f>
        <v>0</v>
      </c>
      <c r="M87" s="482" t="b">
        <v>0</v>
      </c>
      <c r="N87" s="482" t="b">
        <v>0</v>
      </c>
      <c r="O87" s="482" t="b">
        <v>0</v>
      </c>
      <c r="P87" s="482" t="b">
        <v>0</v>
      </c>
      <c r="Q87" s="482" t="b">
        <v>0</v>
      </c>
      <c r="R87" s="482" t="b">
        <v>0</v>
      </c>
      <c r="S87" s="482" t="b">
        <v>0</v>
      </c>
      <c r="T87" s="482" t="b">
        <v>0</v>
      </c>
      <c r="U87" s="482" t="b">
        <v>0</v>
      </c>
      <c r="V87" s="482" t="b">
        <v>0</v>
      </c>
      <c r="W87" s="482" t="b">
        <v>0</v>
      </c>
      <c r="X87" s="482" t="b">
        <v>0</v>
      </c>
      <c r="Y87" s="482" t="b">
        <v>0</v>
      </c>
      <c r="Z87" s="482" t="b">
        <v>0</v>
      </c>
      <c r="AA87" s="482" t="b">
        <v>0</v>
      </c>
      <c r="AB87" s="482" t="b">
        <v>0</v>
      </c>
      <c r="AC87" s="482" t="b">
        <v>0</v>
      </c>
      <c r="AD87" s="482" t="b">
        <v>0</v>
      </c>
      <c r="AE87" s="482" t="b">
        <v>0</v>
      </c>
      <c r="AF87" s="482" t="b">
        <v>0</v>
      </c>
      <c r="AG87" s="482" t="b">
        <v>0</v>
      </c>
      <c r="AH87" s="482" t="b">
        <v>0</v>
      </c>
      <c r="AI87" s="482" t="b">
        <v>0</v>
      </c>
      <c r="AJ87" s="482" t="b">
        <v>0</v>
      </c>
      <c r="AK87" s="482" t="b">
        <v>0</v>
      </c>
      <c r="AL87" s="482" t="b">
        <v>0</v>
      </c>
      <c r="AM87" s="482" t="b">
        <v>0</v>
      </c>
      <c r="AN87" s="482" t="b">
        <v>0</v>
      </c>
      <c r="AO87" s="482" t="b">
        <v>0</v>
      </c>
      <c r="AP87" s="482" t="b">
        <v>0</v>
      </c>
      <c r="AQ87" s="482" t="b">
        <v>0</v>
      </c>
      <c r="AR87" s="482" t="b">
        <v>0</v>
      </c>
      <c r="AS87" s="482" t="b">
        <v>0</v>
      </c>
      <c r="AT87" s="482" t="b">
        <v>0</v>
      </c>
      <c r="AU87" s="482" t="b">
        <v>0</v>
      </c>
      <c r="AV87" s="482" t="b">
        <v>0</v>
      </c>
      <c r="AW87" s="482" t="b">
        <v>0</v>
      </c>
      <c r="AX87" s="482" t="b">
        <v>0</v>
      </c>
      <c r="AY87" s="482" t="b">
        <v>0</v>
      </c>
      <c r="AZ87" s="482" t="b">
        <v>0</v>
      </c>
      <c r="BA87" s="482" t="b">
        <v>0</v>
      </c>
      <c r="BB87" s="482" t="b">
        <v>0</v>
      </c>
      <c r="BC87" s="482" t="b">
        <v>0</v>
      </c>
      <c r="BD87" s="482"/>
      <c r="BE87" s="482"/>
      <c r="BF87" s="482"/>
      <c r="BG87" s="482"/>
    </row>
    <row r="88" ht="14.25" customHeight="1">
      <c r="A88" s="498"/>
      <c r="B88" s="347"/>
      <c r="C88" s="307"/>
      <c r="H88" s="499"/>
      <c r="I88" s="499"/>
      <c r="J88" s="499"/>
      <c r="K88" s="499"/>
      <c r="L88" s="499"/>
      <c r="M88" s="499"/>
      <c r="N88" s="499"/>
      <c r="O88" s="499"/>
      <c r="P88" s="499"/>
      <c r="Q88" s="499"/>
      <c r="R88" s="499"/>
      <c r="S88" s="499"/>
      <c r="T88" s="499"/>
      <c r="U88" s="499"/>
      <c r="V88" s="499"/>
      <c r="W88" s="499"/>
      <c r="X88" s="499"/>
      <c r="Y88" s="499"/>
      <c r="Z88" s="499"/>
      <c r="AA88" s="499"/>
      <c r="AB88" s="499"/>
      <c r="AC88" s="499"/>
      <c r="AD88" s="499"/>
      <c r="AE88" s="499"/>
      <c r="AF88" s="499"/>
      <c r="AG88" s="499"/>
      <c r="AH88" s="499"/>
      <c r="AI88" s="499"/>
      <c r="AJ88" s="499"/>
      <c r="AK88" s="499"/>
      <c r="AL88" s="499"/>
      <c r="AM88" s="499"/>
      <c r="AN88" s="499"/>
      <c r="AO88" s="499"/>
      <c r="AP88" s="499"/>
      <c r="AQ88" s="499"/>
      <c r="AR88" s="499"/>
      <c r="AS88" s="499"/>
      <c r="AT88" s="499"/>
      <c r="AU88" s="499"/>
      <c r="AV88" s="499"/>
      <c r="AW88" s="499"/>
      <c r="AX88" s="499"/>
      <c r="AY88" s="499"/>
      <c r="AZ88" s="499"/>
      <c r="BA88" s="499"/>
      <c r="BB88" s="499"/>
      <c r="BC88" s="499"/>
      <c r="BD88" s="499"/>
      <c r="BE88" s="499"/>
      <c r="BF88" s="499"/>
      <c r="BG88" s="499"/>
    </row>
    <row r="89" ht="14.25" customHeight="1">
      <c r="A89" s="379"/>
      <c r="B89" s="380"/>
      <c r="C89" s="329" t="s">
        <v>349</v>
      </c>
      <c r="H89" s="484"/>
      <c r="I89" s="484"/>
      <c r="J89" s="484"/>
      <c r="K89" s="484"/>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c r="AY89" s="484"/>
      <c r="AZ89" s="484"/>
      <c r="BA89" s="484"/>
      <c r="BB89" s="484"/>
      <c r="BC89" s="484"/>
      <c r="BD89" s="484"/>
      <c r="BE89" s="484"/>
      <c r="BF89" s="484"/>
      <c r="BG89" s="484"/>
    </row>
    <row r="90" ht="14.25" customHeight="1">
      <c r="A90" s="369"/>
      <c r="B90" s="370"/>
      <c r="C90" s="371"/>
      <c r="D90" s="370"/>
      <c r="E90" s="370"/>
      <c r="F90" s="370"/>
      <c r="G90" s="494"/>
      <c r="H90" s="495" t="str">
        <f t="shared" ref="H90:J90" si="17">H$48</f>
        <v>Email</v>
      </c>
      <c r="I90" s="495" t="str">
        <f t="shared" si="17"/>
        <v>Push - Rewards App</v>
      </c>
      <c r="J90" s="495" t="str">
        <f t="shared" si="17"/>
        <v>Rewards App</v>
      </c>
      <c r="K90" s="495"/>
      <c r="L90" s="495" t="str">
        <f>L$48</f>
        <v/>
      </c>
      <c r="M90" s="495"/>
      <c r="N90" s="495"/>
      <c r="O90" s="495"/>
      <c r="P90" s="495"/>
      <c r="Q90" s="495"/>
      <c r="R90" s="495"/>
      <c r="S90" s="495"/>
      <c r="T90" s="495"/>
      <c r="U90" s="495"/>
      <c r="V90" s="495"/>
      <c r="W90" s="495"/>
      <c r="X90" s="495"/>
      <c r="Y90" s="495"/>
      <c r="Z90" s="495"/>
      <c r="AA90" s="495"/>
      <c r="AB90" s="495"/>
      <c r="AC90" s="495"/>
      <c r="AD90" s="495"/>
      <c r="AE90" s="495"/>
      <c r="AF90" s="495"/>
      <c r="AG90" s="495"/>
      <c r="AH90" s="495"/>
      <c r="AI90" s="495"/>
      <c r="AJ90" s="495"/>
      <c r="AK90" s="495"/>
      <c r="AL90" s="495"/>
      <c r="AM90" s="495"/>
      <c r="AN90" s="495"/>
      <c r="AO90" s="495"/>
      <c r="AP90" s="495"/>
      <c r="AQ90" s="495"/>
      <c r="AR90" s="495"/>
      <c r="AS90" s="495"/>
      <c r="AT90" s="495"/>
      <c r="AU90" s="495"/>
      <c r="AV90" s="495"/>
      <c r="AW90" s="495"/>
      <c r="AX90" s="495"/>
      <c r="AY90" s="495"/>
      <c r="AZ90" s="495"/>
      <c r="BA90" s="495"/>
      <c r="BB90" s="495"/>
      <c r="BC90" s="495"/>
      <c r="BD90" s="495"/>
      <c r="BE90" s="495"/>
      <c r="BF90" s="495"/>
      <c r="BG90" s="495"/>
    </row>
    <row r="91" ht="14.25" customHeight="1">
      <c r="A91" s="359">
        <v>1.0</v>
      </c>
      <c r="B91" s="360"/>
      <c r="C91" s="337" t="s">
        <v>350</v>
      </c>
      <c r="H91" s="482" t="b">
        <v>0</v>
      </c>
      <c r="I91" s="482" t="b">
        <v>0</v>
      </c>
      <c r="J91" s="482" t="b">
        <v>0</v>
      </c>
      <c r="K91" s="482" t="b">
        <v>0</v>
      </c>
      <c r="L91" s="482" t="b">
        <v>0</v>
      </c>
      <c r="M91" s="482" t="b">
        <v>0</v>
      </c>
      <c r="N91" s="482" t="b">
        <v>0</v>
      </c>
      <c r="O91" s="482" t="b">
        <v>0</v>
      </c>
      <c r="P91" s="482" t="b">
        <v>0</v>
      </c>
      <c r="Q91" s="482" t="b">
        <v>0</v>
      </c>
      <c r="R91" s="482" t="b">
        <v>0</v>
      </c>
      <c r="S91" s="482" t="b">
        <v>0</v>
      </c>
      <c r="T91" s="482" t="b">
        <v>0</v>
      </c>
      <c r="U91" s="482" t="b">
        <v>0</v>
      </c>
      <c r="V91" s="482" t="b">
        <v>0</v>
      </c>
      <c r="W91" s="482" t="b">
        <v>0</v>
      </c>
      <c r="X91" s="482" t="b">
        <v>0</v>
      </c>
      <c r="Y91" s="482" t="b">
        <v>0</v>
      </c>
      <c r="Z91" s="482" t="b">
        <v>0</v>
      </c>
      <c r="AA91" s="482" t="b">
        <v>0</v>
      </c>
      <c r="AB91" s="482" t="b">
        <v>0</v>
      </c>
      <c r="AC91" s="482" t="b">
        <v>0</v>
      </c>
      <c r="AD91" s="482" t="b">
        <v>0</v>
      </c>
      <c r="AE91" s="482" t="b">
        <v>0</v>
      </c>
      <c r="AF91" s="482" t="b">
        <v>0</v>
      </c>
      <c r="AG91" s="482" t="b">
        <v>0</v>
      </c>
      <c r="AH91" s="482" t="b">
        <v>0</v>
      </c>
      <c r="AI91" s="482" t="b">
        <v>0</v>
      </c>
      <c r="AJ91" s="482" t="b">
        <v>0</v>
      </c>
      <c r="AK91" s="482" t="b">
        <v>0</v>
      </c>
      <c r="AL91" s="482" t="b">
        <v>0</v>
      </c>
      <c r="AM91" s="482" t="b">
        <v>0</v>
      </c>
      <c r="AN91" s="482" t="b">
        <v>0</v>
      </c>
      <c r="AO91" s="482" t="b">
        <v>0</v>
      </c>
      <c r="AP91" s="482" t="b">
        <v>0</v>
      </c>
      <c r="AQ91" s="482" t="b">
        <v>0</v>
      </c>
      <c r="AR91" s="482" t="b">
        <v>0</v>
      </c>
      <c r="AS91" s="482" t="b">
        <v>0</v>
      </c>
      <c r="AT91" s="482" t="b">
        <v>0</v>
      </c>
      <c r="AU91" s="482" t="b">
        <v>0</v>
      </c>
      <c r="AV91" s="482" t="b">
        <v>0</v>
      </c>
      <c r="AW91" s="482" t="b">
        <v>0</v>
      </c>
      <c r="AX91" s="482" t="b">
        <v>0</v>
      </c>
      <c r="AY91" s="482" t="b">
        <v>0</v>
      </c>
      <c r="AZ91" s="482" t="b">
        <v>0</v>
      </c>
      <c r="BA91" s="482" t="b">
        <v>0</v>
      </c>
      <c r="BB91" s="482" t="b">
        <v>0</v>
      </c>
      <c r="BC91" s="482" t="b">
        <v>0</v>
      </c>
      <c r="BD91" s="482"/>
      <c r="BE91" s="482"/>
      <c r="BF91" s="482"/>
      <c r="BG91" s="482"/>
    </row>
    <row r="92" ht="14.25" customHeight="1">
      <c r="A92" s="342">
        <f t="shared" ref="A92:A93" si="18">A91+1</f>
        <v>2</v>
      </c>
      <c r="B92" s="306"/>
      <c r="C92" s="307" t="s">
        <v>351</v>
      </c>
      <c r="H92" s="480" t="b">
        <v>0</v>
      </c>
      <c r="I92" s="480" t="b">
        <v>0</v>
      </c>
      <c r="J92" s="480" t="b">
        <v>0</v>
      </c>
      <c r="K92" s="480" t="b">
        <v>0</v>
      </c>
      <c r="L92" s="480" t="b">
        <v>0</v>
      </c>
      <c r="M92" s="480" t="b">
        <v>0</v>
      </c>
      <c r="N92" s="480" t="b">
        <v>0</v>
      </c>
      <c r="O92" s="480" t="b">
        <v>0</v>
      </c>
      <c r="P92" s="480" t="b">
        <v>0</v>
      </c>
      <c r="Q92" s="480" t="b">
        <v>0</v>
      </c>
      <c r="R92" s="480" t="b">
        <v>0</v>
      </c>
      <c r="S92" s="480" t="b">
        <v>0</v>
      </c>
      <c r="T92" s="480" t="b">
        <v>0</v>
      </c>
      <c r="U92" s="480" t="b">
        <v>0</v>
      </c>
      <c r="V92" s="480" t="b">
        <v>0</v>
      </c>
      <c r="W92" s="480" t="b">
        <v>0</v>
      </c>
      <c r="X92" s="480" t="b">
        <v>0</v>
      </c>
      <c r="Y92" s="480" t="b">
        <v>0</v>
      </c>
      <c r="Z92" s="480" t="b">
        <v>0</v>
      </c>
      <c r="AA92" s="480" t="b">
        <v>0</v>
      </c>
      <c r="AB92" s="480" t="b">
        <v>0</v>
      </c>
      <c r="AC92" s="480" t="b">
        <v>0</v>
      </c>
      <c r="AD92" s="480" t="b">
        <v>0</v>
      </c>
      <c r="AE92" s="480" t="b">
        <v>0</v>
      </c>
      <c r="AF92" s="480" t="b">
        <v>0</v>
      </c>
      <c r="AG92" s="480" t="b">
        <v>0</v>
      </c>
      <c r="AH92" s="480" t="b">
        <v>0</v>
      </c>
      <c r="AI92" s="480" t="b">
        <v>0</v>
      </c>
      <c r="AJ92" s="480" t="b">
        <v>0</v>
      </c>
      <c r="AK92" s="480" t="b">
        <v>0</v>
      </c>
      <c r="AL92" s="480" t="b">
        <v>0</v>
      </c>
      <c r="AM92" s="480" t="b">
        <v>0</v>
      </c>
      <c r="AN92" s="480" t="b">
        <v>0</v>
      </c>
      <c r="AO92" s="480" t="b">
        <v>0</v>
      </c>
      <c r="AP92" s="480" t="b">
        <v>0</v>
      </c>
      <c r="AQ92" s="480" t="b">
        <v>0</v>
      </c>
      <c r="AR92" s="480" t="b">
        <v>0</v>
      </c>
      <c r="AS92" s="480" t="b">
        <v>0</v>
      </c>
      <c r="AT92" s="480" t="b">
        <v>0</v>
      </c>
      <c r="AU92" s="480" t="b">
        <v>0</v>
      </c>
      <c r="AV92" s="480" t="b">
        <v>0</v>
      </c>
      <c r="AW92" s="480" t="b">
        <v>0</v>
      </c>
      <c r="AX92" s="480" t="b">
        <v>0</v>
      </c>
      <c r="AY92" s="480" t="b">
        <v>0</v>
      </c>
      <c r="AZ92" s="480" t="b">
        <v>0</v>
      </c>
      <c r="BA92" s="480" t="b">
        <v>0</v>
      </c>
      <c r="BB92" s="480" t="b">
        <v>0</v>
      </c>
      <c r="BC92" s="480" t="b">
        <v>0</v>
      </c>
      <c r="BD92" s="480"/>
      <c r="BE92" s="480"/>
      <c r="BF92" s="480"/>
      <c r="BG92" s="480"/>
    </row>
    <row r="93" ht="14.25" customHeight="1">
      <c r="A93" s="312">
        <f t="shared" si="18"/>
        <v>3</v>
      </c>
      <c r="B93" s="360"/>
      <c r="C93" s="337" t="s">
        <v>352</v>
      </c>
      <c r="H93" s="482" t="b">
        <v>0</v>
      </c>
      <c r="I93" s="482" t="b">
        <v>0</v>
      </c>
      <c r="J93" s="482" t="b">
        <v>0</v>
      </c>
      <c r="K93" s="482" t="b">
        <v>0</v>
      </c>
      <c r="L93" s="482" t="b">
        <v>0</v>
      </c>
      <c r="M93" s="482" t="b">
        <v>0</v>
      </c>
      <c r="N93" s="482" t="b">
        <v>0</v>
      </c>
      <c r="O93" s="482" t="b">
        <v>0</v>
      </c>
      <c r="P93" s="482" t="b">
        <v>0</v>
      </c>
      <c r="Q93" s="482" t="b">
        <v>0</v>
      </c>
      <c r="R93" s="482" t="b">
        <v>0</v>
      </c>
      <c r="S93" s="482" t="b">
        <v>0</v>
      </c>
      <c r="T93" s="482" t="b">
        <v>0</v>
      </c>
      <c r="U93" s="482" t="b">
        <v>0</v>
      </c>
      <c r="V93" s="482" t="b">
        <v>0</v>
      </c>
      <c r="W93" s="482" t="b">
        <v>0</v>
      </c>
      <c r="X93" s="482" t="b">
        <v>0</v>
      </c>
      <c r="Y93" s="482" t="b">
        <v>0</v>
      </c>
      <c r="Z93" s="482" t="b">
        <v>0</v>
      </c>
      <c r="AA93" s="482" t="b">
        <v>0</v>
      </c>
      <c r="AB93" s="482" t="b">
        <v>0</v>
      </c>
      <c r="AC93" s="482" t="b">
        <v>0</v>
      </c>
      <c r="AD93" s="482" t="b">
        <v>0</v>
      </c>
      <c r="AE93" s="482" t="b">
        <v>0</v>
      </c>
      <c r="AF93" s="482" t="b">
        <v>0</v>
      </c>
      <c r="AG93" s="482" t="b">
        <v>0</v>
      </c>
      <c r="AH93" s="482" t="b">
        <v>0</v>
      </c>
      <c r="AI93" s="482" t="b">
        <v>0</v>
      </c>
      <c r="AJ93" s="482" t="b">
        <v>0</v>
      </c>
      <c r="AK93" s="482" t="b">
        <v>0</v>
      </c>
      <c r="AL93" s="482" t="b">
        <v>0</v>
      </c>
      <c r="AM93" s="482" t="b">
        <v>0</v>
      </c>
      <c r="AN93" s="482" t="b">
        <v>0</v>
      </c>
      <c r="AO93" s="482" t="b">
        <v>0</v>
      </c>
      <c r="AP93" s="482" t="b">
        <v>0</v>
      </c>
      <c r="AQ93" s="482" t="b">
        <v>0</v>
      </c>
      <c r="AR93" s="482" t="b">
        <v>0</v>
      </c>
      <c r="AS93" s="482" t="b">
        <v>0</v>
      </c>
      <c r="AT93" s="482" t="b">
        <v>0</v>
      </c>
      <c r="AU93" s="482" t="b">
        <v>0</v>
      </c>
      <c r="AV93" s="482" t="b">
        <v>0</v>
      </c>
      <c r="AW93" s="482" t="b">
        <v>0</v>
      </c>
      <c r="AX93" s="482" t="b">
        <v>0</v>
      </c>
      <c r="AY93" s="482" t="b">
        <v>0</v>
      </c>
      <c r="AZ93" s="482" t="b">
        <v>0</v>
      </c>
      <c r="BA93" s="482" t="b">
        <v>0</v>
      </c>
      <c r="BB93" s="482" t="b">
        <v>0</v>
      </c>
      <c r="BC93" s="482" t="b">
        <v>0</v>
      </c>
      <c r="BD93" s="482"/>
      <c r="BE93" s="482"/>
      <c r="BF93" s="482"/>
      <c r="BG93" s="482"/>
    </row>
    <row r="94" ht="14.25" customHeight="1">
      <c r="A94" s="408"/>
      <c r="B94" s="500"/>
      <c r="C94" s="413"/>
      <c r="H94" s="501"/>
      <c r="I94" s="501"/>
      <c r="J94" s="501"/>
      <c r="K94" s="501"/>
      <c r="L94" s="501"/>
      <c r="M94" s="501"/>
      <c r="N94" s="501"/>
      <c r="O94" s="501"/>
      <c r="P94" s="501"/>
      <c r="Q94" s="501"/>
      <c r="R94" s="501"/>
      <c r="S94" s="501"/>
      <c r="T94" s="501"/>
      <c r="U94" s="501"/>
      <c r="V94" s="501"/>
      <c r="W94" s="501"/>
      <c r="X94" s="501"/>
      <c r="Y94" s="501"/>
      <c r="Z94" s="501"/>
      <c r="AA94" s="501"/>
      <c r="AB94" s="501"/>
      <c r="AC94" s="501"/>
      <c r="AD94" s="501"/>
      <c r="AE94" s="501"/>
      <c r="AF94" s="501"/>
      <c r="AG94" s="501"/>
      <c r="AH94" s="501"/>
      <c r="AI94" s="501"/>
      <c r="AJ94" s="501"/>
      <c r="AK94" s="501"/>
      <c r="AL94" s="501"/>
      <c r="AM94" s="501"/>
      <c r="AN94" s="501"/>
      <c r="AO94" s="501"/>
      <c r="AP94" s="501"/>
      <c r="AQ94" s="501"/>
      <c r="AR94" s="501"/>
      <c r="AS94" s="501"/>
      <c r="AT94" s="501"/>
      <c r="AU94" s="501"/>
      <c r="AV94" s="501"/>
      <c r="AW94" s="501"/>
      <c r="AX94" s="501"/>
      <c r="AY94" s="501"/>
      <c r="AZ94" s="501"/>
      <c r="BA94" s="501"/>
      <c r="BB94" s="501"/>
      <c r="BC94" s="501"/>
      <c r="BD94" s="501"/>
      <c r="BE94" s="501"/>
      <c r="BF94" s="501"/>
      <c r="BG94" s="501"/>
    </row>
    <row r="95" ht="14.25" customHeight="1">
      <c r="A95" s="298"/>
      <c r="B95" s="380"/>
      <c r="C95" s="329" t="s">
        <v>353</v>
      </c>
      <c r="H95" s="328"/>
      <c r="I95" s="328"/>
      <c r="J95" s="328"/>
      <c r="K95" s="328"/>
      <c r="L95" s="328"/>
      <c r="M95" s="328"/>
      <c r="N95" s="328"/>
      <c r="O95" s="328"/>
      <c r="P95" s="328"/>
      <c r="Q95" s="328"/>
      <c r="R95" s="328"/>
      <c r="S95" s="328"/>
      <c r="T95" s="328"/>
      <c r="U95" s="328"/>
      <c r="V95" s="328"/>
      <c r="W95" s="32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c r="AV95" s="328"/>
      <c r="AW95" s="328"/>
      <c r="AX95" s="328"/>
      <c r="AY95" s="328"/>
      <c r="AZ95" s="328"/>
      <c r="BA95" s="328"/>
      <c r="BB95" s="328"/>
      <c r="BC95" s="328"/>
      <c r="BD95" s="328"/>
      <c r="BE95" s="328"/>
      <c r="BF95" s="328"/>
      <c r="BG95" s="328"/>
    </row>
    <row r="96" ht="14.25" customHeight="1">
      <c r="A96" s="369"/>
      <c r="B96" s="370"/>
      <c r="C96" s="371"/>
      <c r="D96" s="370"/>
      <c r="E96" s="370"/>
      <c r="F96" s="370"/>
      <c r="G96" s="494"/>
      <c r="H96" s="495" t="str">
        <f t="shared" ref="H96:J96" si="19">H$48</f>
        <v>Email</v>
      </c>
      <c r="I96" s="495" t="str">
        <f t="shared" si="19"/>
        <v>Push - Rewards App</v>
      </c>
      <c r="J96" s="495" t="str">
        <f t="shared" si="19"/>
        <v>Rewards App</v>
      </c>
      <c r="K96" s="495"/>
      <c r="L96" s="495" t="str">
        <f>L$48</f>
        <v/>
      </c>
      <c r="M96" s="495"/>
      <c r="N96" s="495"/>
      <c r="O96" s="495"/>
      <c r="P96" s="495"/>
      <c r="Q96" s="495"/>
      <c r="R96" s="495"/>
      <c r="S96" s="495"/>
      <c r="T96" s="495"/>
      <c r="U96" s="495"/>
      <c r="V96" s="495"/>
      <c r="W96" s="495"/>
      <c r="X96" s="495"/>
      <c r="Y96" s="495"/>
      <c r="Z96" s="495"/>
      <c r="AA96" s="495"/>
      <c r="AB96" s="495"/>
      <c r="AC96" s="495"/>
      <c r="AD96" s="495"/>
      <c r="AE96" s="495"/>
      <c r="AF96" s="495"/>
      <c r="AG96" s="495"/>
      <c r="AH96" s="495"/>
      <c r="AI96" s="495"/>
      <c r="AJ96" s="495"/>
      <c r="AK96" s="495"/>
      <c r="AL96" s="495"/>
      <c r="AM96" s="495"/>
      <c r="AN96" s="495"/>
      <c r="AO96" s="495"/>
      <c r="AP96" s="495"/>
      <c r="AQ96" s="495"/>
      <c r="AR96" s="495"/>
      <c r="AS96" s="495"/>
      <c r="AT96" s="495"/>
      <c r="AU96" s="495"/>
      <c r="AV96" s="495"/>
      <c r="AW96" s="495"/>
      <c r="AX96" s="495"/>
      <c r="AY96" s="495"/>
      <c r="AZ96" s="495"/>
      <c r="BA96" s="495"/>
      <c r="BB96" s="495"/>
      <c r="BC96" s="495"/>
      <c r="BD96" s="495"/>
      <c r="BE96" s="495"/>
      <c r="BF96" s="495"/>
      <c r="BG96" s="495"/>
    </row>
    <row r="97" ht="14.25" customHeight="1">
      <c r="A97" s="359">
        <v>1.0</v>
      </c>
      <c r="B97" s="360"/>
      <c r="C97" s="337" t="s">
        <v>354</v>
      </c>
      <c r="H97" s="482" t="b">
        <v>0</v>
      </c>
      <c r="I97" s="482" t="b">
        <v>0</v>
      </c>
      <c r="J97" s="482" t="b">
        <v>0</v>
      </c>
      <c r="K97" s="482" t="b">
        <v>0</v>
      </c>
      <c r="L97" s="482" t="b">
        <v>0</v>
      </c>
      <c r="M97" s="482" t="b">
        <v>0</v>
      </c>
      <c r="N97" s="482" t="b">
        <v>0</v>
      </c>
      <c r="O97" s="482" t="b">
        <v>0</v>
      </c>
      <c r="P97" s="482" t="b">
        <v>0</v>
      </c>
      <c r="Q97" s="482" t="b">
        <v>0</v>
      </c>
      <c r="R97" s="482" t="b">
        <v>0</v>
      </c>
      <c r="S97" s="482" t="b">
        <v>0</v>
      </c>
      <c r="T97" s="482" t="b">
        <v>0</v>
      </c>
      <c r="U97" s="482" t="b">
        <v>0</v>
      </c>
      <c r="V97" s="482" t="b">
        <v>0</v>
      </c>
      <c r="W97" s="482" t="b">
        <v>0</v>
      </c>
      <c r="X97" s="482" t="b">
        <v>0</v>
      </c>
      <c r="Y97" s="482" t="b">
        <v>0</v>
      </c>
      <c r="Z97" s="482" t="b">
        <v>0</v>
      </c>
      <c r="AA97" s="482" t="b">
        <v>0</v>
      </c>
      <c r="AB97" s="482" t="b">
        <v>0</v>
      </c>
      <c r="AC97" s="482" t="b">
        <v>0</v>
      </c>
      <c r="AD97" s="482" t="b">
        <v>0</v>
      </c>
      <c r="AE97" s="482" t="b">
        <v>0</v>
      </c>
      <c r="AF97" s="482" t="b">
        <v>0</v>
      </c>
      <c r="AG97" s="482" t="b">
        <v>0</v>
      </c>
      <c r="AH97" s="482" t="b">
        <v>0</v>
      </c>
      <c r="AI97" s="482" t="b">
        <v>0</v>
      </c>
      <c r="AJ97" s="482" t="b">
        <v>0</v>
      </c>
      <c r="AK97" s="482" t="b">
        <v>0</v>
      </c>
      <c r="AL97" s="482" t="b">
        <v>0</v>
      </c>
      <c r="AM97" s="482" t="b">
        <v>0</v>
      </c>
      <c r="AN97" s="482" t="b">
        <v>0</v>
      </c>
      <c r="AO97" s="482" t="b">
        <v>0</v>
      </c>
      <c r="AP97" s="482" t="b">
        <v>0</v>
      </c>
      <c r="AQ97" s="482" t="b">
        <v>0</v>
      </c>
      <c r="AR97" s="482" t="b">
        <v>0</v>
      </c>
      <c r="AS97" s="482" t="b">
        <v>0</v>
      </c>
      <c r="AT97" s="482" t="b">
        <v>0</v>
      </c>
      <c r="AU97" s="482" t="b">
        <v>0</v>
      </c>
      <c r="AV97" s="482" t="b">
        <v>0</v>
      </c>
      <c r="AW97" s="482" t="b">
        <v>0</v>
      </c>
      <c r="AX97" s="482" t="b">
        <v>0</v>
      </c>
      <c r="AY97" s="482" t="b">
        <v>0</v>
      </c>
      <c r="AZ97" s="482" t="b">
        <v>0</v>
      </c>
      <c r="BA97" s="482" t="b">
        <v>0</v>
      </c>
      <c r="BB97" s="482" t="b">
        <v>0</v>
      </c>
      <c r="BC97" s="482" t="b">
        <v>0</v>
      </c>
      <c r="BD97" s="482"/>
      <c r="BE97" s="482"/>
      <c r="BF97" s="482"/>
      <c r="BG97" s="482"/>
    </row>
    <row r="98" ht="14.25" customHeight="1">
      <c r="A98" s="305">
        <v>2.0</v>
      </c>
      <c r="B98" s="502"/>
      <c r="C98" s="307" t="s">
        <v>355</v>
      </c>
      <c r="F98" s="503" t="s">
        <v>356</v>
      </c>
      <c r="G98" s="353"/>
      <c r="H98" s="480" t="b">
        <v>0</v>
      </c>
      <c r="I98" s="480" t="b">
        <v>0</v>
      </c>
      <c r="J98" s="480" t="b">
        <v>0</v>
      </c>
      <c r="K98" s="480" t="b">
        <v>0</v>
      </c>
      <c r="L98" s="480" t="b">
        <v>0</v>
      </c>
      <c r="M98" s="480" t="b">
        <v>0</v>
      </c>
      <c r="N98" s="480" t="b">
        <v>0</v>
      </c>
      <c r="O98" s="480" t="b">
        <v>0</v>
      </c>
      <c r="P98" s="480" t="b">
        <v>0</v>
      </c>
      <c r="Q98" s="480" t="b">
        <v>0</v>
      </c>
      <c r="R98" s="480" t="b">
        <v>0</v>
      </c>
      <c r="S98" s="480" t="b">
        <v>0</v>
      </c>
      <c r="T98" s="480" t="b">
        <v>0</v>
      </c>
      <c r="U98" s="480" t="b">
        <v>0</v>
      </c>
      <c r="V98" s="480" t="b">
        <v>0</v>
      </c>
      <c r="W98" s="480" t="b">
        <v>0</v>
      </c>
      <c r="X98" s="480" t="b">
        <v>0</v>
      </c>
      <c r="Y98" s="480" t="b">
        <v>0</v>
      </c>
      <c r="Z98" s="480" t="b">
        <v>0</v>
      </c>
      <c r="AA98" s="480" t="b">
        <v>0</v>
      </c>
      <c r="AB98" s="480" t="b">
        <v>0</v>
      </c>
      <c r="AC98" s="480" t="b">
        <v>0</v>
      </c>
      <c r="AD98" s="480" t="b">
        <v>0</v>
      </c>
      <c r="AE98" s="480" t="b">
        <v>0</v>
      </c>
      <c r="AF98" s="480" t="b">
        <v>0</v>
      </c>
      <c r="AG98" s="480" t="b">
        <v>0</v>
      </c>
      <c r="AH98" s="480" t="b">
        <v>0</v>
      </c>
      <c r="AI98" s="480" t="b">
        <v>0</v>
      </c>
      <c r="AJ98" s="480" t="b">
        <v>0</v>
      </c>
      <c r="AK98" s="480" t="b">
        <v>0</v>
      </c>
      <c r="AL98" s="480" t="b">
        <v>0</v>
      </c>
      <c r="AM98" s="480" t="b">
        <v>0</v>
      </c>
      <c r="AN98" s="480" t="b">
        <v>0</v>
      </c>
      <c r="AO98" s="480" t="b">
        <v>0</v>
      </c>
      <c r="AP98" s="480" t="b">
        <v>0</v>
      </c>
      <c r="AQ98" s="480" t="b">
        <v>0</v>
      </c>
      <c r="AR98" s="480" t="b">
        <v>0</v>
      </c>
      <c r="AS98" s="480" t="b">
        <v>0</v>
      </c>
      <c r="AT98" s="480" t="b">
        <v>0</v>
      </c>
      <c r="AU98" s="480" t="b">
        <v>0</v>
      </c>
      <c r="AV98" s="480" t="b">
        <v>0</v>
      </c>
      <c r="AW98" s="480" t="b">
        <v>0</v>
      </c>
      <c r="AX98" s="480" t="b">
        <v>0</v>
      </c>
      <c r="AY98" s="480" t="b">
        <v>0</v>
      </c>
      <c r="AZ98" s="480" t="b">
        <v>0</v>
      </c>
      <c r="BA98" s="480" t="b">
        <v>0</v>
      </c>
      <c r="BB98" s="480" t="b">
        <v>0</v>
      </c>
      <c r="BC98" s="480" t="b">
        <v>0</v>
      </c>
      <c r="BD98" s="480"/>
      <c r="BE98" s="480"/>
      <c r="BF98" s="480"/>
      <c r="BG98" s="480"/>
    </row>
    <row r="99" ht="14.25" customHeight="1">
      <c r="A99" s="312"/>
      <c r="B99" s="313"/>
      <c r="C99" s="337"/>
      <c r="D99" s="337"/>
      <c r="E99" s="337"/>
      <c r="F99" s="504"/>
      <c r="G99" s="505"/>
      <c r="H99" s="506"/>
      <c r="I99" s="506"/>
      <c r="J99" s="506"/>
      <c r="K99" s="506"/>
      <c r="L99" s="506"/>
      <c r="M99" s="506"/>
      <c r="N99" s="506"/>
      <c r="O99" s="506"/>
      <c r="P99" s="506"/>
      <c r="Q99" s="506"/>
      <c r="R99" s="506"/>
      <c r="S99" s="506"/>
      <c r="T99" s="506"/>
      <c r="U99" s="506"/>
      <c r="V99" s="506"/>
      <c r="W99" s="506"/>
      <c r="X99" s="506"/>
      <c r="Y99" s="506"/>
      <c r="Z99" s="506"/>
      <c r="AA99" s="506"/>
      <c r="AB99" s="506"/>
      <c r="AC99" s="506"/>
      <c r="AD99" s="506"/>
      <c r="AE99" s="506"/>
      <c r="AF99" s="506"/>
      <c r="AG99" s="506"/>
      <c r="AH99" s="506"/>
      <c r="AI99" s="506"/>
      <c r="AJ99" s="506"/>
      <c r="AK99" s="506"/>
      <c r="AL99" s="506"/>
      <c r="AM99" s="506"/>
      <c r="AN99" s="506"/>
      <c r="AO99" s="506"/>
      <c r="AP99" s="506"/>
      <c r="AQ99" s="506"/>
      <c r="AR99" s="506"/>
      <c r="AS99" s="506"/>
      <c r="AT99" s="506"/>
      <c r="AU99" s="506"/>
      <c r="AV99" s="506"/>
      <c r="AW99" s="506"/>
      <c r="AX99" s="506"/>
      <c r="AY99" s="506"/>
      <c r="AZ99" s="506"/>
      <c r="BA99" s="506"/>
      <c r="BB99" s="506"/>
      <c r="BC99" s="506"/>
      <c r="BD99" s="506"/>
      <c r="BE99" s="506"/>
      <c r="BF99" s="506"/>
      <c r="BG99" s="506"/>
    </row>
    <row r="100" ht="14.25" customHeight="1">
      <c r="A100" s="507"/>
      <c r="B100" s="508"/>
      <c r="C100" s="329" t="s">
        <v>357</v>
      </c>
      <c r="H100" s="509"/>
      <c r="I100" s="509"/>
      <c r="J100" s="509"/>
      <c r="K100" s="509"/>
      <c r="L100" s="509"/>
      <c r="M100" s="509"/>
      <c r="N100" s="509"/>
      <c r="O100" s="509"/>
      <c r="P100" s="509"/>
      <c r="Q100" s="509"/>
      <c r="R100" s="509"/>
      <c r="S100" s="509"/>
      <c r="T100" s="509"/>
      <c r="U100" s="509"/>
      <c r="V100" s="509"/>
      <c r="W100" s="509"/>
      <c r="X100" s="509"/>
      <c r="Y100" s="509"/>
      <c r="Z100" s="509"/>
      <c r="AA100" s="509"/>
      <c r="AB100" s="509"/>
      <c r="AC100" s="509"/>
      <c r="AD100" s="509"/>
      <c r="AE100" s="509"/>
      <c r="AF100" s="509"/>
      <c r="AG100" s="509"/>
      <c r="AH100" s="509"/>
      <c r="AI100" s="509"/>
      <c r="AJ100" s="509"/>
      <c r="AK100" s="509"/>
      <c r="AL100" s="509"/>
      <c r="AM100" s="509"/>
      <c r="AN100" s="509"/>
      <c r="AO100" s="509"/>
      <c r="AP100" s="509"/>
      <c r="AQ100" s="509"/>
      <c r="AR100" s="509"/>
      <c r="AS100" s="509"/>
      <c r="AT100" s="509"/>
      <c r="AU100" s="509"/>
      <c r="AV100" s="509"/>
      <c r="AW100" s="509"/>
      <c r="AX100" s="509"/>
      <c r="AY100" s="509"/>
      <c r="AZ100" s="509"/>
      <c r="BA100" s="509"/>
      <c r="BB100" s="509"/>
      <c r="BC100" s="509"/>
      <c r="BD100" s="509"/>
      <c r="BE100" s="509"/>
      <c r="BF100" s="509"/>
      <c r="BG100" s="509"/>
    </row>
    <row r="101" ht="14.25" customHeight="1">
      <c r="A101" s="305">
        <v>1.0</v>
      </c>
      <c r="B101" s="502"/>
      <c r="C101" s="503"/>
      <c r="E101" s="465"/>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row>
    <row r="102" ht="14.25" customHeight="1">
      <c r="A102" s="359">
        <f t="shared" ref="A102:A105" si="20">A101+1</f>
        <v>2</v>
      </c>
      <c r="B102" s="420"/>
      <c r="C102" s="504"/>
      <c r="E102" s="510"/>
      <c r="H102" s="505"/>
      <c r="I102" s="505"/>
      <c r="J102" s="505"/>
      <c r="K102" s="505"/>
      <c r="L102" s="505"/>
      <c r="M102" s="505"/>
      <c r="N102" s="505"/>
      <c r="O102" s="505"/>
      <c r="P102" s="505"/>
      <c r="Q102" s="505"/>
      <c r="R102" s="505"/>
      <c r="S102" s="505"/>
      <c r="T102" s="505"/>
      <c r="U102" s="505"/>
      <c r="V102" s="505"/>
      <c r="W102" s="505"/>
      <c r="X102" s="505"/>
      <c r="Y102" s="505"/>
      <c r="Z102" s="505"/>
      <c r="AA102" s="505"/>
      <c r="AB102" s="505"/>
      <c r="AC102" s="505"/>
      <c r="AD102" s="505"/>
      <c r="AE102" s="505"/>
      <c r="AF102" s="505"/>
      <c r="AG102" s="505"/>
      <c r="AH102" s="505"/>
      <c r="AI102" s="505"/>
      <c r="AJ102" s="505"/>
      <c r="AK102" s="505"/>
      <c r="AL102" s="505"/>
      <c r="AM102" s="505"/>
      <c r="AN102" s="505"/>
      <c r="AO102" s="505"/>
      <c r="AP102" s="505"/>
      <c r="AQ102" s="505"/>
      <c r="AR102" s="505"/>
      <c r="AS102" s="505"/>
      <c r="AT102" s="505"/>
      <c r="AU102" s="505"/>
      <c r="AV102" s="505"/>
      <c r="AW102" s="505"/>
      <c r="AX102" s="505"/>
      <c r="AY102" s="505"/>
      <c r="AZ102" s="505"/>
      <c r="BA102" s="505"/>
      <c r="BB102" s="505"/>
      <c r="BC102" s="505"/>
      <c r="BD102" s="505"/>
      <c r="BE102" s="505"/>
      <c r="BF102" s="505"/>
      <c r="BG102" s="505"/>
    </row>
    <row r="103" ht="14.25" customHeight="1">
      <c r="A103" s="305">
        <f t="shared" si="20"/>
        <v>3</v>
      </c>
      <c r="B103" s="351"/>
      <c r="C103" s="503"/>
      <c r="E103" s="465"/>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c r="BB103" s="353"/>
      <c r="BC103" s="353"/>
      <c r="BD103" s="353"/>
      <c r="BE103" s="353"/>
      <c r="BF103" s="353"/>
      <c r="BG103" s="353"/>
    </row>
    <row r="104" ht="14.25" customHeight="1">
      <c r="A104" s="359">
        <f t="shared" si="20"/>
        <v>4</v>
      </c>
      <c r="B104" s="420"/>
      <c r="C104" s="504"/>
      <c r="E104" s="510"/>
      <c r="H104" s="505"/>
      <c r="I104" s="505"/>
      <c r="J104" s="505"/>
      <c r="K104" s="505"/>
      <c r="L104" s="505"/>
      <c r="M104" s="505"/>
      <c r="N104" s="505"/>
      <c r="O104" s="505"/>
      <c r="P104" s="505"/>
      <c r="Q104" s="505"/>
      <c r="R104" s="505"/>
      <c r="S104" s="505"/>
      <c r="T104" s="505"/>
      <c r="U104" s="505"/>
      <c r="V104" s="505"/>
      <c r="W104" s="505"/>
      <c r="X104" s="505"/>
      <c r="Y104" s="505"/>
      <c r="Z104" s="505"/>
      <c r="AA104" s="505"/>
      <c r="AB104" s="505"/>
      <c r="AC104" s="505"/>
      <c r="AD104" s="505"/>
      <c r="AE104" s="505"/>
      <c r="AF104" s="505"/>
      <c r="AG104" s="505"/>
      <c r="AH104" s="505"/>
      <c r="AI104" s="505"/>
      <c r="AJ104" s="505"/>
      <c r="AK104" s="505"/>
      <c r="AL104" s="505"/>
      <c r="AM104" s="505"/>
      <c r="AN104" s="505"/>
      <c r="AO104" s="505"/>
      <c r="AP104" s="505"/>
      <c r="AQ104" s="505"/>
      <c r="AR104" s="505"/>
      <c r="AS104" s="505"/>
      <c r="AT104" s="505"/>
      <c r="AU104" s="505"/>
      <c r="AV104" s="505"/>
      <c r="AW104" s="505"/>
      <c r="AX104" s="505"/>
      <c r="AY104" s="505"/>
      <c r="AZ104" s="505"/>
      <c r="BA104" s="505"/>
      <c r="BB104" s="505"/>
      <c r="BC104" s="505"/>
      <c r="BD104" s="505"/>
      <c r="BE104" s="505"/>
      <c r="BF104" s="505"/>
      <c r="BG104" s="505"/>
    </row>
    <row r="105" ht="14.25" customHeight="1">
      <c r="A105" s="305">
        <f t="shared" si="20"/>
        <v>5</v>
      </c>
      <c r="B105" s="351"/>
      <c r="C105" s="503"/>
      <c r="E105" s="465"/>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c r="BB105" s="353"/>
      <c r="BC105" s="353"/>
      <c r="BD105" s="353"/>
      <c r="BE105" s="353"/>
      <c r="BF105" s="353"/>
      <c r="BG105" s="353"/>
    </row>
    <row r="106" ht="14.25" customHeight="1">
      <c r="A106" s="511"/>
      <c r="B106" s="512"/>
      <c r="C106" s="513"/>
      <c r="D106" s="514"/>
      <c r="E106" s="514"/>
      <c r="F106" s="514"/>
      <c r="G106" s="515"/>
      <c r="H106" s="424"/>
      <c r="I106" s="424"/>
      <c r="J106" s="424"/>
      <c r="K106" s="424"/>
      <c r="L106" s="424"/>
      <c r="M106" s="424"/>
      <c r="N106" s="424"/>
      <c r="O106" s="424"/>
      <c r="P106" s="424"/>
      <c r="Q106" s="424"/>
      <c r="R106" s="424"/>
      <c r="S106" s="424"/>
      <c r="T106" s="424"/>
      <c r="U106" s="424"/>
      <c r="V106" s="424"/>
      <c r="W106" s="424"/>
      <c r="X106" s="424"/>
      <c r="Y106" s="424"/>
      <c r="Z106" s="424"/>
      <c r="AA106" s="424"/>
      <c r="AB106" s="424"/>
      <c r="AC106" s="424"/>
      <c r="AD106" s="424"/>
      <c r="AE106" s="424"/>
      <c r="AF106" s="424"/>
      <c r="AG106" s="424"/>
      <c r="AH106" s="424"/>
      <c r="AI106" s="424"/>
      <c r="AJ106" s="424"/>
      <c r="AK106" s="424"/>
      <c r="AL106" s="424"/>
      <c r="AM106" s="424"/>
      <c r="AN106" s="424"/>
      <c r="AO106" s="424"/>
      <c r="AP106" s="424"/>
      <c r="AQ106" s="424"/>
      <c r="AR106" s="424"/>
      <c r="AS106" s="424"/>
      <c r="AT106" s="424"/>
      <c r="AU106" s="424"/>
      <c r="AV106" s="424"/>
      <c r="AW106" s="424"/>
      <c r="AX106" s="424"/>
      <c r="AY106" s="424"/>
      <c r="AZ106" s="424"/>
      <c r="BA106" s="424"/>
      <c r="BB106" s="424"/>
      <c r="BC106" s="424"/>
      <c r="BD106" s="424"/>
      <c r="BE106" s="424"/>
      <c r="BF106" s="424"/>
      <c r="BG106" s="424"/>
    </row>
    <row r="107" ht="14.25" customHeight="1">
      <c r="A107" s="290"/>
      <c r="B107" s="291"/>
      <c r="C107" s="319" t="s">
        <v>358</v>
      </c>
      <c r="D107" s="293"/>
      <c r="E107" s="293"/>
      <c r="F107" s="293"/>
      <c r="G107" s="406"/>
      <c r="H107" s="407"/>
      <c r="I107" s="407"/>
      <c r="J107" s="407"/>
      <c r="K107" s="407"/>
      <c r="L107" s="407"/>
      <c r="M107" s="407"/>
      <c r="N107" s="407"/>
      <c r="O107" s="407"/>
      <c r="P107" s="407"/>
      <c r="Q107" s="407"/>
      <c r="R107" s="407"/>
      <c r="S107" s="407"/>
      <c r="T107" s="407"/>
      <c r="U107" s="407"/>
      <c r="V107" s="407"/>
      <c r="W107" s="407"/>
      <c r="X107" s="407"/>
      <c r="Y107" s="407"/>
      <c r="Z107" s="407"/>
      <c r="AA107" s="407"/>
      <c r="AB107" s="407"/>
      <c r="AC107" s="407"/>
      <c r="AD107" s="407"/>
      <c r="AE107" s="407"/>
      <c r="AF107" s="407"/>
      <c r="AG107" s="407"/>
      <c r="AH107" s="407"/>
      <c r="AI107" s="407"/>
      <c r="AJ107" s="407"/>
      <c r="AK107" s="407"/>
      <c r="AL107" s="407"/>
      <c r="AM107" s="407"/>
      <c r="AN107" s="407"/>
      <c r="AO107" s="407"/>
      <c r="AP107" s="407"/>
      <c r="AQ107" s="407"/>
      <c r="AR107" s="407"/>
      <c r="AS107" s="407"/>
      <c r="AT107" s="407"/>
      <c r="AU107" s="407"/>
      <c r="AV107" s="407"/>
      <c r="AW107" s="407"/>
      <c r="AX107" s="407"/>
      <c r="AY107" s="407"/>
      <c r="AZ107" s="407"/>
      <c r="BA107" s="407"/>
      <c r="BB107" s="407"/>
      <c r="BC107" s="407"/>
      <c r="BD107" s="407"/>
      <c r="BE107" s="407"/>
      <c r="BF107" s="407"/>
      <c r="BG107" s="407"/>
    </row>
    <row r="108" ht="14.25" customHeight="1">
      <c r="A108" s="298"/>
      <c r="C108" s="329" t="s">
        <v>359</v>
      </c>
      <c r="BF108" s="328"/>
      <c r="BG108" s="328"/>
    </row>
    <row r="109" ht="14.25" customHeight="1">
      <c r="A109" s="305">
        <v>1.0</v>
      </c>
      <c r="B109" s="306" t="b">
        <v>1</v>
      </c>
      <c r="C109" s="516" t="str">
        <f>HYPERLINK("https://docs.google.com/spreadsheets/d/1Ua7P3R1P2QOKt7GLgi8PL3CBwpLonx3cTDT2pV9QdOQ/edit?ts=5eaf7985#gid=0","Production Test Accounts")</f>
        <v>Production Test Accounts</v>
      </c>
      <c r="H109" s="517"/>
      <c r="I109" s="517"/>
      <c r="J109" s="517"/>
      <c r="K109" s="517"/>
      <c r="L109" s="517"/>
      <c r="M109" s="517"/>
      <c r="N109" s="517"/>
      <c r="O109" s="517"/>
      <c r="P109" s="517"/>
      <c r="Q109" s="517"/>
      <c r="R109" s="517"/>
      <c r="S109" s="517"/>
      <c r="T109" s="517"/>
      <c r="U109" s="517"/>
      <c r="V109" s="517"/>
      <c r="W109" s="517"/>
      <c r="X109" s="517"/>
      <c r="Y109" s="517"/>
      <c r="Z109" s="517"/>
      <c r="AA109" s="517"/>
      <c r="AB109" s="517"/>
      <c r="AC109" s="517"/>
      <c r="AD109" s="517"/>
      <c r="AE109" s="517"/>
      <c r="AF109" s="517"/>
      <c r="AG109" s="517"/>
      <c r="AH109" s="517"/>
      <c r="AI109" s="517"/>
      <c r="AJ109" s="517"/>
      <c r="AK109" s="517"/>
      <c r="AL109" s="517"/>
      <c r="AM109" s="517"/>
      <c r="AN109" s="517"/>
      <c r="AO109" s="517"/>
      <c r="AP109" s="517"/>
      <c r="AQ109" s="517"/>
      <c r="AR109" s="517"/>
      <c r="AS109" s="517"/>
      <c r="AT109" s="517"/>
      <c r="AU109" s="517"/>
      <c r="AV109" s="517"/>
      <c r="AW109" s="517"/>
      <c r="AX109" s="517"/>
      <c r="AY109" s="517"/>
      <c r="AZ109" s="517"/>
      <c r="BA109" s="517"/>
      <c r="BB109" s="517"/>
      <c r="BC109" s="517"/>
      <c r="BD109" s="517"/>
      <c r="BE109" s="517"/>
      <c r="BF109" s="332"/>
      <c r="BG109" s="332"/>
    </row>
    <row r="110" ht="14.25" customHeight="1">
      <c r="A110" s="359"/>
      <c r="B110" s="365"/>
      <c r="C110" s="337"/>
      <c r="D110" s="337"/>
      <c r="E110" s="337"/>
      <c r="F110" s="366"/>
      <c r="G110" s="366"/>
      <c r="H110" s="366"/>
      <c r="I110" s="366"/>
      <c r="J110" s="366"/>
      <c r="K110" s="366"/>
      <c r="L110" s="366"/>
      <c r="M110" s="366"/>
      <c r="N110" s="366"/>
      <c r="O110" s="366"/>
      <c r="P110" s="366"/>
      <c r="Q110" s="366"/>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14"/>
      <c r="BG110" s="314"/>
    </row>
    <row r="111" ht="14.25" customHeight="1">
      <c r="A111" s="298"/>
      <c r="B111" s="518"/>
      <c r="C111" s="329" t="s">
        <v>360</v>
      </c>
      <c r="BF111" s="328"/>
      <c r="BG111" s="328"/>
    </row>
    <row r="112" ht="14.25" customHeight="1">
      <c r="A112" s="69"/>
      <c r="B112" s="306"/>
      <c r="C112" s="519" t="s">
        <v>361</v>
      </c>
      <c r="E112" s="520" t="s">
        <v>362</v>
      </c>
      <c r="G112" s="520"/>
      <c r="I112" s="332"/>
      <c r="J112" s="332"/>
      <c r="K112" s="332"/>
      <c r="L112" s="332"/>
      <c r="M112" s="332"/>
      <c r="N112" s="332"/>
      <c r="O112" s="332"/>
      <c r="P112" s="332"/>
      <c r="Q112" s="332"/>
      <c r="R112" s="332"/>
      <c r="S112" s="332"/>
      <c r="T112" s="332"/>
      <c r="U112" s="332"/>
      <c r="V112" s="332"/>
      <c r="W112" s="332"/>
      <c r="X112" s="332"/>
      <c r="Y112" s="332"/>
      <c r="Z112" s="332"/>
      <c r="AA112" s="332"/>
      <c r="AB112" s="332"/>
      <c r="AC112" s="332"/>
      <c r="AD112" s="332"/>
      <c r="AE112" s="332"/>
      <c r="AF112" s="332"/>
      <c r="AG112" s="332"/>
      <c r="AH112" s="332"/>
      <c r="AI112" s="332"/>
      <c r="AJ112" s="332"/>
      <c r="AK112" s="332"/>
      <c r="AL112" s="332"/>
      <c r="AM112" s="332"/>
      <c r="AN112" s="332"/>
      <c r="AO112" s="332"/>
      <c r="AP112" s="332"/>
      <c r="AQ112" s="332"/>
      <c r="AR112" s="332"/>
      <c r="AS112" s="332"/>
      <c r="AT112" s="332"/>
      <c r="AU112" s="332"/>
      <c r="AV112" s="332"/>
      <c r="AW112" s="332"/>
      <c r="AX112" s="332"/>
      <c r="AY112" s="332"/>
      <c r="AZ112" s="332"/>
      <c r="BA112" s="332"/>
      <c r="BB112" s="332"/>
      <c r="BC112" s="332"/>
      <c r="BD112" s="332"/>
      <c r="BE112" s="332"/>
      <c r="BF112" s="332"/>
      <c r="BG112" s="332"/>
    </row>
    <row r="113" ht="14.25" customHeight="1">
      <c r="A113" s="359"/>
      <c r="B113" s="360"/>
      <c r="C113" s="521" t="s">
        <v>363</v>
      </c>
      <c r="D113" s="522">
        <v>9.355160724206E12</v>
      </c>
      <c r="E113" s="523" t="s">
        <v>364</v>
      </c>
      <c r="BG113" s="314"/>
    </row>
    <row r="114" ht="14.25" customHeight="1">
      <c r="A114" s="342"/>
      <c r="B114" s="306"/>
      <c r="C114" s="524" t="s">
        <v>365</v>
      </c>
      <c r="D114" s="525">
        <v>9.355133451344E12</v>
      </c>
      <c r="E114" s="526" t="s">
        <v>366</v>
      </c>
      <c r="F114" s="527"/>
      <c r="G114" s="528"/>
      <c r="H114" s="436"/>
      <c r="J114" s="436"/>
      <c r="K114" s="436"/>
      <c r="L114" s="436"/>
      <c r="M114" s="436"/>
      <c r="N114" s="436"/>
      <c r="O114" s="436"/>
      <c r="P114" s="436"/>
      <c r="Q114" s="436"/>
      <c r="R114" s="436"/>
      <c r="S114" s="436"/>
      <c r="T114" s="436"/>
      <c r="U114" s="436"/>
      <c r="V114" s="436"/>
      <c r="W114" s="436"/>
      <c r="X114" s="436"/>
      <c r="Y114" s="436"/>
      <c r="Z114" s="436"/>
      <c r="AA114" s="436"/>
      <c r="AB114" s="436"/>
      <c r="AC114" s="436"/>
      <c r="AD114" s="436"/>
      <c r="AE114" s="436"/>
      <c r="AF114" s="436"/>
      <c r="AG114" s="436"/>
      <c r="AH114" s="436"/>
      <c r="AI114" s="436"/>
      <c r="AJ114" s="436"/>
      <c r="AK114" s="436"/>
      <c r="AL114" s="436"/>
      <c r="AM114" s="436"/>
      <c r="AN114" s="436"/>
      <c r="AO114" s="436"/>
      <c r="AP114" s="436"/>
      <c r="AQ114" s="436"/>
      <c r="AR114" s="436"/>
      <c r="AS114" s="436"/>
      <c r="AT114" s="436"/>
      <c r="AU114" s="436"/>
      <c r="AV114" s="436"/>
      <c r="AW114" s="436"/>
      <c r="AX114" s="436"/>
      <c r="AY114" s="436"/>
      <c r="AZ114" s="436"/>
      <c r="BA114" s="436"/>
      <c r="BB114" s="436"/>
      <c r="BC114" s="436"/>
      <c r="BD114" s="436"/>
      <c r="BE114" s="436"/>
      <c r="BF114" s="436"/>
      <c r="BG114" s="332"/>
    </row>
    <row r="115" ht="14.25" customHeight="1">
      <c r="A115" s="312"/>
      <c r="B115" s="360"/>
      <c r="C115" s="524" t="s">
        <v>367</v>
      </c>
      <c r="D115" s="529">
        <v>9.355163651172E12</v>
      </c>
      <c r="E115" s="530" t="s">
        <v>368</v>
      </c>
      <c r="F115" s="531"/>
      <c r="G115" s="531"/>
      <c r="H115" s="532"/>
      <c r="I115" s="532"/>
      <c r="J115" s="532"/>
      <c r="K115" s="532"/>
      <c r="L115" s="532"/>
      <c r="M115" s="532"/>
      <c r="N115" s="532"/>
      <c r="O115" s="532"/>
      <c r="P115" s="532"/>
      <c r="Q115" s="532"/>
      <c r="R115" s="532"/>
      <c r="S115" s="532"/>
      <c r="T115" s="532"/>
      <c r="U115" s="532"/>
      <c r="V115" s="532"/>
      <c r="W115" s="532"/>
      <c r="X115" s="532"/>
      <c r="Y115" s="532"/>
      <c r="Z115" s="532"/>
      <c r="AA115" s="532"/>
      <c r="AB115" s="532"/>
      <c r="AC115" s="532"/>
      <c r="AD115" s="532"/>
      <c r="AE115" s="532"/>
      <c r="AF115" s="532"/>
      <c r="AG115" s="532"/>
      <c r="AH115" s="532"/>
      <c r="AI115" s="532"/>
      <c r="AJ115" s="532"/>
      <c r="AK115" s="532"/>
      <c r="AL115" s="532"/>
      <c r="AM115" s="532"/>
      <c r="AN115" s="532"/>
      <c r="AO115" s="532"/>
      <c r="AP115" s="532"/>
      <c r="AQ115" s="532"/>
      <c r="AR115" s="532"/>
      <c r="AS115" s="532"/>
      <c r="AT115" s="532"/>
      <c r="AU115" s="532"/>
      <c r="AV115" s="532"/>
      <c r="AW115" s="532"/>
      <c r="AX115" s="532"/>
      <c r="AY115" s="532"/>
      <c r="AZ115" s="532"/>
      <c r="BA115" s="532"/>
      <c r="BB115" s="532"/>
      <c r="BC115" s="532"/>
      <c r="BD115" s="532"/>
      <c r="BE115" s="532"/>
      <c r="BF115" s="532"/>
      <c r="BG115" s="314"/>
    </row>
    <row r="116" ht="14.25" customHeight="1">
      <c r="A116" s="342"/>
      <c r="B116" s="306"/>
      <c r="C116" s="533" t="s">
        <v>369</v>
      </c>
      <c r="D116" s="534">
        <v>9.344773578726E12</v>
      </c>
      <c r="E116" s="535" t="s">
        <v>370</v>
      </c>
      <c r="F116" s="536"/>
      <c r="G116" s="536"/>
      <c r="H116" s="537"/>
      <c r="I116" s="537"/>
      <c r="J116" s="537"/>
      <c r="K116" s="537"/>
      <c r="L116" s="537"/>
      <c r="M116" s="537"/>
      <c r="N116" s="537"/>
      <c r="O116" s="537"/>
      <c r="P116" s="537"/>
      <c r="Q116" s="537"/>
      <c r="R116" s="537"/>
      <c r="S116" s="537"/>
      <c r="T116" s="537"/>
      <c r="U116" s="537"/>
      <c r="V116" s="537"/>
      <c r="W116" s="537"/>
      <c r="X116" s="537"/>
      <c r="Y116" s="537"/>
      <c r="Z116" s="537"/>
      <c r="AA116" s="537"/>
      <c r="AB116" s="537"/>
      <c r="AC116" s="537"/>
      <c r="AD116" s="537"/>
      <c r="AE116" s="537"/>
      <c r="AF116" s="537"/>
      <c r="AG116" s="537"/>
      <c r="AH116" s="537"/>
      <c r="AI116" s="537"/>
      <c r="AJ116" s="537"/>
      <c r="AK116" s="537"/>
      <c r="AL116" s="537"/>
      <c r="AM116" s="537"/>
      <c r="AN116" s="537"/>
      <c r="AO116" s="537"/>
      <c r="AP116" s="537"/>
      <c r="AQ116" s="537"/>
      <c r="AR116" s="537"/>
      <c r="AS116" s="537"/>
      <c r="AT116" s="537"/>
      <c r="AU116" s="537"/>
      <c r="AV116" s="537"/>
      <c r="AW116" s="537"/>
      <c r="AX116" s="537"/>
      <c r="AY116" s="537"/>
      <c r="AZ116" s="537"/>
      <c r="BA116" s="537"/>
      <c r="BB116" s="537"/>
      <c r="BC116" s="537"/>
      <c r="BD116" s="537"/>
      <c r="BE116" s="537"/>
      <c r="BF116" s="537"/>
      <c r="BG116" s="332"/>
    </row>
    <row r="117" ht="14.25" customHeight="1">
      <c r="A117" s="312"/>
      <c r="B117" s="360"/>
      <c r="C117" s="538" t="s">
        <v>371</v>
      </c>
      <c r="D117" s="539">
        <v>9.355160627538E12</v>
      </c>
      <c r="E117" s="540" t="s">
        <v>372</v>
      </c>
      <c r="F117" s="531"/>
      <c r="G117" s="531"/>
      <c r="H117" s="532"/>
      <c r="I117" s="532"/>
      <c r="J117" s="532"/>
      <c r="K117" s="532"/>
      <c r="L117" s="532"/>
      <c r="M117" s="532"/>
      <c r="N117" s="532"/>
      <c r="O117" s="532"/>
      <c r="P117" s="532"/>
      <c r="Q117" s="532"/>
      <c r="R117" s="532"/>
      <c r="S117" s="532"/>
      <c r="T117" s="532"/>
      <c r="U117" s="532"/>
      <c r="V117" s="532"/>
      <c r="W117" s="532"/>
      <c r="X117" s="532"/>
      <c r="Y117" s="532"/>
      <c r="Z117" s="532"/>
      <c r="AA117" s="532"/>
      <c r="AB117" s="532"/>
      <c r="AC117" s="532"/>
      <c r="AD117" s="532"/>
      <c r="AE117" s="532"/>
      <c r="AF117" s="532"/>
      <c r="AG117" s="532"/>
      <c r="AH117" s="532"/>
      <c r="AI117" s="532"/>
      <c r="AJ117" s="532"/>
      <c r="AK117" s="532"/>
      <c r="AL117" s="532"/>
      <c r="AM117" s="532"/>
      <c r="AN117" s="532"/>
      <c r="AO117" s="532"/>
      <c r="AP117" s="532"/>
      <c r="AQ117" s="532"/>
      <c r="AR117" s="532"/>
      <c r="AS117" s="532"/>
      <c r="AT117" s="532"/>
      <c r="AU117" s="532"/>
      <c r="AV117" s="532"/>
      <c r="AW117" s="532"/>
      <c r="AX117" s="532"/>
      <c r="AY117" s="532"/>
      <c r="AZ117" s="532"/>
      <c r="BA117" s="532"/>
      <c r="BB117" s="532"/>
      <c r="BC117" s="532"/>
      <c r="BD117" s="532"/>
      <c r="BE117" s="532"/>
      <c r="BF117" s="532"/>
      <c r="BG117" s="314"/>
    </row>
    <row r="118" ht="14.25" customHeight="1">
      <c r="A118" s="298"/>
      <c r="B118" s="518"/>
      <c r="C118" s="329" t="s">
        <v>373</v>
      </c>
      <c r="H118" s="328"/>
      <c r="I118" s="328"/>
      <c r="J118" s="328"/>
      <c r="K118" s="328"/>
      <c r="L118" s="328"/>
      <c r="M118" s="328"/>
      <c r="N118" s="328"/>
      <c r="O118" s="328"/>
      <c r="P118" s="328"/>
      <c r="Q118" s="328"/>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8"/>
      <c r="AW118" s="328"/>
      <c r="AX118" s="328"/>
      <c r="AY118" s="328"/>
      <c r="AZ118" s="328"/>
      <c r="BA118" s="328"/>
      <c r="BB118" s="328"/>
      <c r="BC118" s="328"/>
      <c r="BD118" s="328"/>
      <c r="BE118" s="328"/>
      <c r="BF118" s="328"/>
      <c r="BG118" s="328"/>
    </row>
    <row r="119" ht="14.25" customHeight="1">
      <c r="A119" s="305">
        <v>1.0</v>
      </c>
      <c r="B119" s="306" t="b">
        <v>0</v>
      </c>
      <c r="C119" s="541" t="s">
        <v>374</v>
      </c>
      <c r="H119" s="542"/>
      <c r="I119" s="332"/>
      <c r="J119" s="332"/>
      <c r="K119" s="332"/>
      <c r="L119" s="332"/>
      <c r="M119" s="332"/>
      <c r="N119" s="332"/>
      <c r="O119" s="332"/>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2"/>
      <c r="BF119" s="332"/>
      <c r="BG119" s="332"/>
    </row>
    <row r="120" ht="14.25" customHeight="1">
      <c r="A120" s="359">
        <v>2.0</v>
      </c>
      <c r="B120" s="360" t="b">
        <v>0</v>
      </c>
      <c r="C120" s="543" t="s">
        <v>143</v>
      </c>
      <c r="H120" s="314"/>
      <c r="I120" s="314"/>
      <c r="J120" s="314"/>
      <c r="K120" s="314"/>
      <c r="L120" s="314"/>
      <c r="M120" s="314"/>
      <c r="N120" s="314"/>
      <c r="O120" s="314"/>
      <c r="P120" s="314"/>
      <c r="Q120" s="314"/>
      <c r="R120" s="314"/>
      <c r="S120" s="314"/>
      <c r="T120" s="314"/>
      <c r="U120" s="314"/>
      <c r="V120" s="314"/>
      <c r="W120" s="314"/>
      <c r="X120" s="314"/>
      <c r="Y120" s="314"/>
      <c r="Z120" s="314"/>
      <c r="AA120" s="314"/>
      <c r="AB120" s="314"/>
      <c r="AC120" s="314"/>
      <c r="AD120" s="314"/>
      <c r="AE120" s="314"/>
      <c r="AF120" s="314"/>
      <c r="AG120" s="314"/>
      <c r="AH120" s="314"/>
      <c r="AI120" s="314"/>
      <c r="AJ120" s="314"/>
      <c r="AK120" s="314"/>
      <c r="AL120" s="314"/>
      <c r="AM120" s="314"/>
      <c r="AN120" s="314"/>
      <c r="AO120" s="314"/>
      <c r="AP120" s="314"/>
      <c r="AQ120" s="314"/>
      <c r="AR120" s="314"/>
      <c r="AS120" s="314"/>
      <c r="AT120" s="314"/>
      <c r="AU120" s="314"/>
      <c r="AV120" s="314"/>
      <c r="AW120" s="314"/>
      <c r="AX120" s="314"/>
      <c r="AY120" s="314"/>
      <c r="AZ120" s="314"/>
      <c r="BA120" s="314"/>
      <c r="BB120" s="314"/>
      <c r="BC120" s="314"/>
      <c r="BD120" s="314"/>
      <c r="BE120" s="314"/>
      <c r="BF120" s="314"/>
      <c r="BG120" s="314"/>
    </row>
    <row r="121" ht="14.25" customHeight="1">
      <c r="A121" s="342">
        <f t="shared" ref="A121:A122" si="21">A120+1</f>
        <v>3</v>
      </c>
      <c r="B121" s="306" t="b">
        <v>0</v>
      </c>
      <c r="C121" s="544"/>
      <c r="H121" s="332"/>
      <c r="I121" s="332"/>
      <c r="J121" s="332"/>
      <c r="K121" s="332"/>
      <c r="L121" s="332"/>
      <c r="M121" s="332"/>
      <c r="N121" s="332"/>
      <c r="O121" s="332"/>
      <c r="P121" s="332"/>
      <c r="Q121" s="332"/>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row>
    <row r="122" ht="14.25" customHeight="1">
      <c r="A122" s="312">
        <f t="shared" si="21"/>
        <v>4</v>
      </c>
      <c r="B122" s="360" t="b">
        <v>0</v>
      </c>
      <c r="C122" s="545"/>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314"/>
      <c r="AD122" s="314"/>
      <c r="AE122" s="314"/>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row>
    <row r="123" ht="14.25" customHeight="1">
      <c r="A123" s="342"/>
      <c r="B123" s="502"/>
      <c r="C123" s="502"/>
      <c r="D123" s="332"/>
      <c r="E123" s="546"/>
      <c r="F123" s="332"/>
      <c r="G123" s="332"/>
      <c r="H123" s="547"/>
      <c r="I123" s="332"/>
      <c r="J123" s="332"/>
      <c r="K123" s="332"/>
      <c r="L123" s="332"/>
      <c r="M123" s="332"/>
      <c r="N123" s="332"/>
      <c r="O123" s="332"/>
      <c r="P123" s="332"/>
      <c r="Q123" s="332"/>
      <c r="R123" s="332"/>
      <c r="S123" s="332"/>
      <c r="T123" s="332"/>
      <c r="U123" s="332"/>
      <c r="V123" s="332"/>
      <c r="W123" s="332"/>
      <c r="X123" s="332"/>
      <c r="Y123" s="332"/>
      <c r="Z123" s="332"/>
      <c r="AA123" s="332"/>
      <c r="AB123" s="332"/>
      <c r="AC123" s="332"/>
      <c r="AD123" s="332"/>
      <c r="AE123" s="332"/>
      <c r="AF123" s="332"/>
      <c r="AG123" s="332"/>
      <c r="AH123" s="332"/>
      <c r="AI123" s="332"/>
      <c r="AJ123" s="332"/>
      <c r="AK123" s="332"/>
      <c r="AL123" s="332"/>
      <c r="AM123" s="332"/>
      <c r="AN123" s="332"/>
      <c r="AO123" s="332"/>
      <c r="AP123" s="332"/>
      <c r="AQ123" s="332"/>
      <c r="AR123" s="332"/>
      <c r="AS123" s="332"/>
      <c r="AT123" s="332"/>
      <c r="AU123" s="332"/>
      <c r="AV123" s="332"/>
      <c r="AW123" s="332"/>
      <c r="AX123" s="332"/>
      <c r="AY123" s="332"/>
      <c r="AZ123" s="332"/>
      <c r="BA123" s="332"/>
      <c r="BB123" s="332"/>
      <c r="BC123" s="332"/>
      <c r="BD123" s="332"/>
      <c r="BE123" s="332"/>
      <c r="BF123" s="332"/>
      <c r="BG123" s="332"/>
    </row>
    <row r="124" ht="14.25" customHeight="1">
      <c r="A124" s="298"/>
      <c r="B124" s="343"/>
      <c r="C124" s="329" t="s">
        <v>375</v>
      </c>
      <c r="E124" s="329"/>
      <c r="F124" s="329"/>
      <c r="G124" s="329"/>
      <c r="H124" s="329"/>
      <c r="I124" s="329"/>
      <c r="J124" s="329"/>
      <c r="K124" s="478"/>
      <c r="L124" s="478"/>
      <c r="M124" s="478"/>
      <c r="N124" s="478"/>
      <c r="O124" s="478"/>
      <c r="P124" s="478"/>
      <c r="Q124" s="478"/>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8"/>
      <c r="AN124" s="478"/>
      <c r="AO124" s="478"/>
      <c r="AP124" s="478"/>
      <c r="AQ124" s="478"/>
      <c r="AR124" s="478"/>
      <c r="AS124" s="478"/>
      <c r="AT124" s="478"/>
      <c r="AU124" s="478"/>
      <c r="AV124" s="478"/>
      <c r="AW124" s="478"/>
      <c r="AX124" s="478"/>
      <c r="AY124" s="478"/>
      <c r="AZ124" s="478"/>
      <c r="BA124" s="478"/>
      <c r="BB124" s="478"/>
      <c r="BC124" s="478"/>
      <c r="BD124" s="478"/>
      <c r="BE124" s="478"/>
      <c r="BF124" s="478"/>
      <c r="BG124" s="478"/>
    </row>
    <row r="125" ht="14.25" customHeight="1">
      <c r="A125" s="305">
        <v>1.0</v>
      </c>
      <c r="B125" s="548"/>
      <c r="C125" s="549" t="s">
        <v>376</v>
      </c>
      <c r="BG125" s="549"/>
    </row>
    <row r="126" ht="14.25" customHeight="1">
      <c r="A126" s="312">
        <f t="shared" ref="A126:A131" si="22">A125+1</f>
        <v>2</v>
      </c>
      <c r="B126" s="550"/>
      <c r="C126" s="551" t="s">
        <v>377</v>
      </c>
      <c r="E126" s="551" t="s">
        <v>378</v>
      </c>
      <c r="F126" s="551"/>
      <c r="G126" s="551"/>
      <c r="H126" s="551"/>
      <c r="K126" s="552"/>
      <c r="L126" s="552"/>
      <c r="M126" s="552"/>
      <c r="N126" s="552"/>
      <c r="O126" s="552"/>
      <c r="P126" s="552"/>
      <c r="Q126" s="552"/>
      <c r="R126" s="552"/>
      <c r="S126" s="552"/>
      <c r="T126" s="552"/>
      <c r="U126" s="552"/>
      <c r="V126" s="552"/>
      <c r="W126" s="552"/>
      <c r="X126" s="552"/>
      <c r="Y126" s="552"/>
      <c r="Z126" s="552"/>
      <c r="AA126" s="552"/>
      <c r="AB126" s="552"/>
      <c r="AC126" s="552"/>
      <c r="AD126" s="552"/>
      <c r="AE126" s="552"/>
      <c r="AF126" s="552"/>
      <c r="AG126" s="552"/>
      <c r="AH126" s="552"/>
      <c r="AI126" s="552"/>
      <c r="AJ126" s="552"/>
      <c r="AK126" s="552"/>
      <c r="AL126" s="552"/>
      <c r="AM126" s="552"/>
      <c r="AN126" s="552"/>
      <c r="AO126" s="552"/>
      <c r="AP126" s="552"/>
      <c r="AQ126" s="552"/>
      <c r="AR126" s="552"/>
      <c r="AS126" s="552"/>
      <c r="AT126" s="552"/>
      <c r="AU126" s="552"/>
      <c r="AV126" s="552"/>
      <c r="AW126" s="552"/>
      <c r="AX126" s="552"/>
      <c r="AY126" s="552"/>
      <c r="AZ126" s="552"/>
      <c r="BA126" s="552"/>
      <c r="BB126" s="552"/>
      <c r="BC126" s="552"/>
      <c r="BD126" s="552"/>
      <c r="BE126" s="552"/>
      <c r="BF126" s="552"/>
      <c r="BG126" s="552"/>
    </row>
    <row r="127" ht="14.25" customHeight="1">
      <c r="A127" s="342">
        <f t="shared" si="22"/>
        <v>3</v>
      </c>
      <c r="B127" s="553"/>
      <c r="C127" s="554" t="s">
        <v>379</v>
      </c>
      <c r="E127" s="555" t="s">
        <v>380</v>
      </c>
      <c r="F127" s="555"/>
      <c r="G127" s="555"/>
      <c r="H127" s="555"/>
      <c r="I127" s="555"/>
      <c r="J127" s="555"/>
      <c r="K127" s="555"/>
      <c r="L127" s="555"/>
      <c r="M127" s="555"/>
      <c r="N127" s="555"/>
      <c r="O127" s="556"/>
      <c r="P127" s="556"/>
      <c r="Q127" s="556"/>
      <c r="R127" s="556"/>
      <c r="S127" s="556"/>
      <c r="T127" s="556"/>
      <c r="U127" s="556"/>
      <c r="V127" s="556"/>
      <c r="W127" s="556"/>
      <c r="X127" s="556"/>
      <c r="Y127" s="556"/>
      <c r="Z127" s="556"/>
      <c r="AA127" s="556"/>
      <c r="AB127" s="556"/>
      <c r="AC127" s="556"/>
      <c r="AD127" s="556"/>
      <c r="AE127" s="556"/>
      <c r="AF127" s="556"/>
      <c r="AG127" s="556"/>
      <c r="AH127" s="556"/>
      <c r="AI127" s="556"/>
      <c r="AJ127" s="556"/>
      <c r="AK127" s="556"/>
      <c r="AL127" s="556"/>
      <c r="AM127" s="556"/>
      <c r="AN127" s="556"/>
      <c r="AO127" s="556"/>
      <c r="AP127" s="556"/>
      <c r="AQ127" s="556"/>
      <c r="AR127" s="556"/>
      <c r="AS127" s="556"/>
      <c r="AT127" s="556"/>
      <c r="AU127" s="556"/>
      <c r="AV127" s="556"/>
      <c r="AW127" s="556"/>
      <c r="AX127" s="556"/>
      <c r="AY127" s="556"/>
      <c r="AZ127" s="556"/>
      <c r="BA127" s="556"/>
      <c r="BB127" s="556"/>
      <c r="BC127" s="556"/>
      <c r="BD127" s="556"/>
      <c r="BE127" s="556"/>
      <c r="BF127" s="549"/>
      <c r="BG127" s="549"/>
    </row>
    <row r="128" ht="14.25" customHeight="1">
      <c r="A128" s="312">
        <f t="shared" si="22"/>
        <v>4</v>
      </c>
      <c r="B128" s="550"/>
      <c r="C128" s="527"/>
      <c r="E128" s="557" t="s">
        <v>381</v>
      </c>
      <c r="F128" s="461"/>
      <c r="G128" s="461"/>
      <c r="H128" s="461"/>
      <c r="I128" s="461"/>
      <c r="J128" s="461"/>
      <c r="K128" s="461"/>
      <c r="L128" s="461"/>
      <c r="M128" s="461"/>
      <c r="N128" s="461"/>
      <c r="O128" s="558"/>
      <c r="P128" s="558"/>
      <c r="Q128" s="558"/>
      <c r="R128" s="558"/>
      <c r="S128" s="558"/>
      <c r="T128" s="558"/>
      <c r="U128" s="558"/>
      <c r="V128" s="558"/>
      <c r="W128" s="558"/>
      <c r="X128" s="558"/>
      <c r="Y128" s="558"/>
      <c r="Z128" s="558"/>
      <c r="AA128" s="558"/>
      <c r="AB128" s="558"/>
      <c r="AC128" s="558"/>
      <c r="AD128" s="558"/>
      <c r="AE128" s="558"/>
      <c r="AF128" s="558"/>
      <c r="AG128" s="558"/>
      <c r="AH128" s="558"/>
      <c r="AI128" s="558"/>
      <c r="AJ128" s="558"/>
      <c r="AK128" s="558"/>
      <c r="AL128" s="558"/>
      <c r="AM128" s="558"/>
      <c r="AN128" s="558"/>
      <c r="AO128" s="558"/>
      <c r="AP128" s="558"/>
      <c r="AQ128" s="558"/>
      <c r="AR128" s="558"/>
      <c r="AS128" s="558"/>
      <c r="AT128" s="558"/>
      <c r="AU128" s="558"/>
      <c r="AV128" s="558"/>
      <c r="AW128" s="558"/>
      <c r="AX128" s="558"/>
      <c r="AY128" s="558"/>
      <c r="AZ128" s="558"/>
      <c r="BA128" s="558"/>
      <c r="BB128" s="558"/>
      <c r="BC128" s="558"/>
      <c r="BD128" s="558"/>
      <c r="BE128" s="558"/>
      <c r="BF128" s="552"/>
      <c r="BG128" s="552"/>
    </row>
    <row r="129" ht="14.25" customHeight="1">
      <c r="A129" s="342">
        <f t="shared" si="22"/>
        <v>5</v>
      </c>
      <c r="B129" s="553"/>
      <c r="C129" s="559"/>
      <c r="E129" s="560" t="s">
        <v>382</v>
      </c>
      <c r="F129" s="555"/>
      <c r="G129" s="555"/>
      <c r="H129" s="555"/>
      <c r="I129" s="555"/>
      <c r="J129" s="555"/>
      <c r="K129" s="555"/>
      <c r="L129" s="555"/>
      <c r="M129" s="555"/>
      <c r="N129" s="555"/>
      <c r="O129" s="556"/>
      <c r="P129" s="556"/>
      <c r="Q129" s="556"/>
      <c r="R129" s="556"/>
      <c r="S129" s="556"/>
      <c r="T129" s="556"/>
      <c r="U129" s="556"/>
      <c r="V129" s="556"/>
      <c r="W129" s="556"/>
      <c r="X129" s="556"/>
      <c r="Y129" s="556"/>
      <c r="Z129" s="556"/>
      <c r="AA129" s="556"/>
      <c r="AB129" s="556"/>
      <c r="AC129" s="556"/>
      <c r="AD129" s="556"/>
      <c r="AE129" s="556"/>
      <c r="AF129" s="556"/>
      <c r="AG129" s="556"/>
      <c r="AH129" s="556"/>
      <c r="AI129" s="556"/>
      <c r="AJ129" s="556"/>
      <c r="AK129" s="556"/>
      <c r="AL129" s="556"/>
      <c r="AM129" s="556"/>
      <c r="AN129" s="556"/>
      <c r="AO129" s="556"/>
      <c r="AP129" s="556"/>
      <c r="AQ129" s="556"/>
      <c r="AR129" s="556"/>
      <c r="AS129" s="556"/>
      <c r="AT129" s="556"/>
      <c r="AU129" s="556"/>
      <c r="AV129" s="556"/>
      <c r="AW129" s="556"/>
      <c r="AX129" s="556"/>
      <c r="AY129" s="556"/>
      <c r="AZ129" s="556"/>
      <c r="BA129" s="556"/>
      <c r="BB129" s="556"/>
      <c r="BC129" s="556"/>
      <c r="BD129" s="556"/>
      <c r="BE129" s="556"/>
    </row>
    <row r="130" ht="14.25" customHeight="1">
      <c r="A130" s="312">
        <f t="shared" si="22"/>
        <v>6</v>
      </c>
      <c r="B130" s="550"/>
      <c r="C130" s="561"/>
      <c r="E130" s="562" t="s">
        <v>383</v>
      </c>
      <c r="F130" s="461"/>
      <c r="G130" s="527"/>
      <c r="I130" s="461"/>
      <c r="J130" s="461"/>
      <c r="K130" s="461"/>
      <c r="L130" s="461"/>
      <c r="M130" s="461"/>
      <c r="N130" s="461"/>
      <c r="O130" s="558"/>
      <c r="P130" s="558"/>
      <c r="Q130" s="558"/>
      <c r="R130" s="558"/>
      <c r="S130" s="558"/>
      <c r="T130" s="558"/>
      <c r="U130" s="558"/>
      <c r="V130" s="558"/>
      <c r="W130" s="558"/>
      <c r="X130" s="558"/>
      <c r="Y130" s="558"/>
      <c r="Z130" s="558"/>
      <c r="AA130" s="558"/>
      <c r="AB130" s="558"/>
      <c r="AC130" s="558"/>
      <c r="AD130" s="558"/>
      <c r="AE130" s="558"/>
      <c r="AF130" s="558"/>
      <c r="AG130" s="558"/>
      <c r="AH130" s="558"/>
      <c r="AI130" s="558"/>
      <c r="AJ130" s="558"/>
      <c r="AK130" s="558"/>
      <c r="AL130" s="558"/>
      <c r="AM130" s="558"/>
      <c r="AN130" s="558"/>
      <c r="AO130" s="558"/>
      <c r="AP130" s="558"/>
      <c r="AQ130" s="558"/>
      <c r="AR130" s="558"/>
      <c r="AS130" s="558"/>
      <c r="AT130" s="558"/>
      <c r="AU130" s="558"/>
      <c r="AV130" s="558"/>
      <c r="AW130" s="558"/>
      <c r="AX130" s="558"/>
      <c r="AY130" s="558"/>
      <c r="AZ130" s="558"/>
      <c r="BA130" s="558"/>
      <c r="BB130" s="558"/>
      <c r="BC130" s="558"/>
      <c r="BD130" s="558"/>
      <c r="BE130" s="558"/>
      <c r="BF130" s="552"/>
      <c r="BG130" s="552"/>
    </row>
    <row r="131" ht="14.25" customHeight="1">
      <c r="A131" s="342">
        <f t="shared" si="22"/>
        <v>7</v>
      </c>
      <c r="B131" s="553"/>
      <c r="C131" s="563"/>
      <c r="E131" s="564"/>
      <c r="G131" s="555"/>
      <c r="H131" s="555"/>
      <c r="I131" s="555"/>
      <c r="J131" s="555"/>
      <c r="K131" s="555"/>
      <c r="L131" s="555"/>
      <c r="M131" s="555"/>
      <c r="N131" s="555"/>
      <c r="O131" s="556"/>
      <c r="P131" s="556"/>
      <c r="Q131" s="556"/>
      <c r="R131" s="556"/>
      <c r="S131" s="556"/>
      <c r="T131" s="556"/>
      <c r="U131" s="556"/>
      <c r="V131" s="556"/>
      <c r="W131" s="556"/>
      <c r="X131" s="556"/>
      <c r="Y131" s="556"/>
      <c r="Z131" s="556"/>
      <c r="AA131" s="556"/>
      <c r="AB131" s="556"/>
      <c r="AC131" s="556"/>
      <c r="AD131" s="556"/>
      <c r="AE131" s="556"/>
      <c r="AF131" s="556"/>
      <c r="AG131" s="556"/>
      <c r="AH131" s="556"/>
      <c r="AI131" s="556"/>
      <c r="AJ131" s="556"/>
      <c r="AK131" s="556"/>
      <c r="AL131" s="556"/>
      <c r="AM131" s="556"/>
      <c r="AN131" s="556"/>
      <c r="AO131" s="556"/>
      <c r="AP131" s="556"/>
      <c r="AQ131" s="556"/>
      <c r="AR131" s="556"/>
      <c r="AS131" s="556"/>
      <c r="AT131" s="556"/>
      <c r="AU131" s="556"/>
      <c r="AV131" s="556"/>
      <c r="AW131" s="556"/>
      <c r="AX131" s="556"/>
      <c r="AY131" s="556"/>
      <c r="AZ131" s="556"/>
      <c r="BA131" s="556"/>
      <c r="BB131" s="556"/>
      <c r="BC131" s="556"/>
      <c r="BD131" s="556"/>
      <c r="BE131" s="556"/>
      <c r="BF131" s="549"/>
      <c r="BG131" s="549"/>
    </row>
    <row r="132" ht="14.25" customHeight="1">
      <c r="A132" s="312"/>
      <c r="B132" s="550"/>
      <c r="C132" s="565"/>
      <c r="E132" s="566"/>
      <c r="G132" s="567"/>
      <c r="I132" s="567"/>
      <c r="K132" s="567"/>
      <c r="M132" s="567"/>
      <c r="O132" s="567"/>
      <c r="Q132" s="567"/>
      <c r="S132" s="567"/>
      <c r="U132" s="567"/>
      <c r="W132" s="567"/>
      <c r="Y132" s="558"/>
      <c r="Z132" s="558"/>
      <c r="AA132" s="558"/>
      <c r="AB132" s="558"/>
      <c r="AC132" s="558"/>
      <c r="AD132" s="558"/>
      <c r="AE132" s="558"/>
      <c r="AF132" s="558"/>
      <c r="AG132" s="558"/>
      <c r="AH132" s="558"/>
      <c r="AI132" s="558"/>
      <c r="AJ132" s="558"/>
      <c r="AK132" s="558"/>
      <c r="AL132" s="558"/>
      <c r="AM132" s="558"/>
      <c r="AN132" s="558"/>
      <c r="AO132" s="558"/>
      <c r="AP132" s="558"/>
      <c r="AQ132" s="558"/>
      <c r="AR132" s="558"/>
      <c r="AS132" s="558"/>
      <c r="AT132" s="558"/>
      <c r="AU132" s="558"/>
      <c r="AV132" s="558"/>
      <c r="AW132" s="558"/>
      <c r="AX132" s="558"/>
      <c r="AY132" s="558"/>
      <c r="AZ132" s="558"/>
      <c r="BA132" s="558"/>
      <c r="BB132" s="558"/>
      <c r="BC132" s="558"/>
      <c r="BD132" s="558"/>
      <c r="BE132" s="558"/>
    </row>
    <row r="133" ht="14.25" customHeight="1">
      <c r="A133" s="342"/>
      <c r="B133" s="553"/>
      <c r="C133" s="568"/>
      <c r="E133" s="556"/>
      <c r="BF133" s="549"/>
      <c r="BG133" s="549"/>
    </row>
    <row r="134" ht="14.25" customHeight="1">
      <c r="A134" s="312"/>
      <c r="B134" s="420"/>
      <c r="C134" s="552"/>
      <c r="D134" s="552"/>
      <c r="E134" s="558"/>
      <c r="F134" s="558"/>
      <c r="G134" s="558"/>
      <c r="H134" s="558"/>
      <c r="I134" s="558"/>
      <c r="J134" s="558"/>
      <c r="K134" s="558"/>
      <c r="L134" s="558"/>
      <c r="M134" s="558"/>
      <c r="N134" s="558"/>
      <c r="O134" s="558"/>
      <c r="P134" s="558"/>
      <c r="Q134" s="558"/>
      <c r="R134" s="558"/>
      <c r="S134" s="558"/>
      <c r="T134" s="558"/>
      <c r="U134" s="558"/>
      <c r="V134" s="558"/>
      <c r="W134" s="558"/>
      <c r="X134" s="558"/>
      <c r="Y134" s="558"/>
      <c r="Z134" s="558"/>
      <c r="AA134" s="558"/>
      <c r="AB134" s="558"/>
      <c r="AC134" s="558"/>
      <c r="AD134" s="558"/>
      <c r="AE134" s="558"/>
      <c r="AF134" s="558"/>
      <c r="AG134" s="558"/>
      <c r="AH134" s="558"/>
      <c r="AI134" s="558"/>
      <c r="AJ134" s="558"/>
      <c r="AK134" s="558"/>
      <c r="AL134" s="558"/>
      <c r="AM134" s="558"/>
      <c r="AN134" s="558"/>
      <c r="AO134" s="558"/>
      <c r="AP134" s="558"/>
      <c r="AQ134" s="558"/>
      <c r="AR134" s="558"/>
      <c r="AS134" s="558"/>
      <c r="AT134" s="558"/>
      <c r="AU134" s="558"/>
      <c r="AV134" s="558"/>
      <c r="AW134" s="558"/>
      <c r="AX134" s="558"/>
      <c r="AY134" s="558"/>
      <c r="AZ134" s="558"/>
      <c r="BA134" s="558"/>
      <c r="BB134" s="558"/>
      <c r="BC134" s="558"/>
      <c r="BD134" s="558"/>
      <c r="BE134" s="558"/>
      <c r="BF134" s="552"/>
      <c r="BG134" s="552"/>
    </row>
    <row r="135" ht="14.25" customHeight="1">
      <c r="A135" s="290"/>
      <c r="B135" s="291"/>
      <c r="C135" s="319" t="s">
        <v>384</v>
      </c>
      <c r="BE135" s="407"/>
      <c r="BF135" s="407"/>
      <c r="BG135" s="407"/>
    </row>
    <row r="136" ht="14.25" customHeight="1">
      <c r="A136" s="569"/>
      <c r="B136" s="570"/>
      <c r="C136" s="571" t="s">
        <v>385</v>
      </c>
      <c r="D136" s="572"/>
      <c r="E136" s="573"/>
      <c r="F136" s="574" t="s">
        <v>386</v>
      </c>
      <c r="G136" s="575"/>
      <c r="H136" s="575"/>
      <c r="I136" s="575"/>
      <c r="J136" s="575"/>
      <c r="K136" s="576"/>
      <c r="L136" s="577"/>
      <c r="M136" s="578"/>
      <c r="N136" s="478"/>
      <c r="O136" s="478"/>
      <c r="P136" s="478"/>
      <c r="Q136" s="478"/>
      <c r="R136" s="478"/>
      <c r="S136" s="478"/>
      <c r="T136" s="478"/>
      <c r="U136" s="478"/>
      <c r="V136" s="478"/>
      <c r="W136" s="478"/>
      <c r="X136" s="478"/>
      <c r="Y136" s="478"/>
      <c r="Z136" s="478"/>
      <c r="AA136" s="478"/>
      <c r="AB136" s="478"/>
      <c r="AC136" s="478"/>
      <c r="AD136" s="478"/>
      <c r="AE136" s="478"/>
      <c r="AF136" s="478"/>
      <c r="AG136" s="478"/>
      <c r="AH136" s="478"/>
      <c r="AI136" s="478"/>
      <c r="AJ136" s="478"/>
      <c r="AK136" s="478"/>
      <c r="AL136" s="478"/>
      <c r="AM136" s="478"/>
      <c r="AN136" s="478"/>
      <c r="AO136" s="478"/>
      <c r="AP136" s="478"/>
      <c r="AQ136" s="478"/>
      <c r="AR136" s="478"/>
      <c r="AS136" s="478"/>
      <c r="AT136" s="478"/>
      <c r="AU136" s="478"/>
      <c r="AV136" s="478"/>
      <c r="AW136" s="478"/>
      <c r="AX136" s="478"/>
      <c r="AY136" s="478"/>
      <c r="AZ136" s="478"/>
      <c r="BA136" s="478"/>
      <c r="BB136" s="478"/>
      <c r="BC136" s="478"/>
      <c r="BD136" s="478"/>
      <c r="BE136" s="478"/>
      <c r="BF136" s="328"/>
      <c r="BG136" s="328"/>
    </row>
    <row r="137" ht="14.25" customHeight="1">
      <c r="A137" s="579">
        <f>1</f>
        <v>1</v>
      </c>
      <c r="B137" s="580"/>
      <c r="C137" s="581" t="s">
        <v>387</v>
      </c>
      <c r="E137" s="582"/>
      <c r="F137" s="583" t="s">
        <v>388</v>
      </c>
      <c r="M137" s="584"/>
      <c r="N137" s="425"/>
      <c r="O137" s="425"/>
      <c r="P137" s="425"/>
      <c r="Q137" s="417"/>
      <c r="R137" s="417"/>
      <c r="S137" s="417"/>
      <c r="T137" s="417"/>
      <c r="U137" s="417"/>
      <c r="V137" s="417"/>
      <c r="W137" s="417"/>
      <c r="X137" s="417"/>
      <c r="Y137" s="417"/>
      <c r="Z137" s="417"/>
      <c r="AA137" s="417"/>
      <c r="AB137" s="417"/>
      <c r="AC137" s="417"/>
      <c r="AD137" s="417"/>
      <c r="AE137" s="417"/>
      <c r="AF137" s="417"/>
      <c r="AG137" s="417"/>
      <c r="AH137" s="417"/>
      <c r="AI137" s="417"/>
      <c r="AJ137" s="41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row>
    <row r="138" ht="14.25" customHeight="1">
      <c r="A138" s="579">
        <f t="shared" ref="A138:A142" si="23">A137+1</f>
        <v>2</v>
      </c>
      <c r="B138" s="580"/>
      <c r="C138" s="585" t="s">
        <v>389</v>
      </c>
      <c r="F138" s="586" t="s">
        <v>390</v>
      </c>
      <c r="M138" s="587"/>
      <c r="N138" s="588"/>
      <c r="O138" s="588"/>
      <c r="P138" s="588"/>
      <c r="Q138" s="588"/>
      <c r="R138" s="588"/>
      <c r="S138" s="588"/>
      <c r="T138" s="588"/>
      <c r="U138" s="588"/>
      <c r="V138" s="588"/>
      <c r="W138" s="588"/>
      <c r="X138" s="588"/>
      <c r="Y138" s="588"/>
      <c r="Z138" s="588"/>
      <c r="AA138" s="588"/>
      <c r="AB138" s="588"/>
      <c r="AC138" s="588"/>
      <c r="AD138" s="588"/>
      <c r="AE138" s="588"/>
      <c r="AF138" s="588"/>
      <c r="AG138" s="588"/>
      <c r="AH138" s="588"/>
      <c r="AI138" s="588"/>
      <c r="AJ138" s="588"/>
      <c r="AK138" s="588"/>
      <c r="AL138" s="588"/>
      <c r="AM138" s="588"/>
      <c r="AN138" s="588"/>
      <c r="AO138" s="588"/>
      <c r="AP138" s="588"/>
      <c r="AQ138" s="588"/>
      <c r="AR138" s="588"/>
      <c r="AS138" s="588"/>
      <c r="AT138" s="588"/>
      <c r="AU138" s="588"/>
      <c r="AV138" s="588"/>
      <c r="AW138" s="588"/>
      <c r="AX138" s="588"/>
      <c r="AY138" s="588"/>
      <c r="AZ138" s="588"/>
      <c r="BA138" s="588"/>
      <c r="BB138" s="588"/>
      <c r="BC138" s="588"/>
      <c r="BD138" s="588"/>
      <c r="BE138" s="588"/>
      <c r="BF138" s="588"/>
      <c r="BG138" s="588"/>
    </row>
    <row r="139" ht="14.25" customHeight="1">
      <c r="A139" s="589">
        <f t="shared" si="23"/>
        <v>3</v>
      </c>
      <c r="B139" s="590"/>
      <c r="C139" s="591" t="s">
        <v>391</v>
      </c>
      <c r="D139" s="592"/>
      <c r="E139" s="592"/>
      <c r="F139" s="593" t="s">
        <v>392</v>
      </c>
      <c r="M139" s="584"/>
      <c r="N139" s="417"/>
      <c r="O139" s="417"/>
      <c r="P139" s="417"/>
      <c r="Q139" s="417"/>
      <c r="R139" s="417"/>
      <c r="S139" s="417"/>
      <c r="T139" s="417"/>
      <c r="U139" s="417"/>
      <c r="V139" s="417"/>
      <c r="W139" s="417"/>
      <c r="X139" s="417"/>
      <c r="Y139" s="417"/>
      <c r="Z139" s="417"/>
      <c r="AA139" s="417"/>
      <c r="AB139" s="417"/>
      <c r="AC139" s="417"/>
      <c r="AD139" s="417"/>
      <c r="AE139" s="417"/>
      <c r="AF139" s="417"/>
      <c r="AG139" s="417"/>
      <c r="AH139" s="417"/>
      <c r="AI139" s="417"/>
      <c r="AJ139" s="41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row>
    <row r="140" ht="41.25" customHeight="1">
      <c r="A140" s="594">
        <f t="shared" si="23"/>
        <v>4</v>
      </c>
      <c r="C140" s="595" t="s">
        <v>393</v>
      </c>
      <c r="E140" s="596"/>
      <c r="F140" s="583" t="s">
        <v>394</v>
      </c>
      <c r="M140" s="587"/>
      <c r="N140" s="597"/>
      <c r="O140" s="597"/>
      <c r="P140" s="421"/>
      <c r="Q140" s="421"/>
      <c r="R140" s="421"/>
      <c r="S140" s="421"/>
      <c r="T140" s="421"/>
      <c r="U140" s="421"/>
      <c r="V140" s="421"/>
      <c r="W140" s="421"/>
      <c r="X140" s="421"/>
      <c r="Y140" s="421"/>
      <c r="Z140" s="421"/>
      <c r="AA140" s="421"/>
      <c r="AB140" s="421"/>
      <c r="AC140" s="421"/>
      <c r="AD140" s="421"/>
      <c r="AE140" s="421"/>
      <c r="AF140" s="421"/>
      <c r="AG140" s="421"/>
      <c r="AH140" s="421"/>
      <c r="AI140" s="421"/>
      <c r="AJ140" s="421"/>
      <c r="AK140" s="421"/>
      <c r="AL140" s="421"/>
      <c r="AM140" s="421"/>
      <c r="AN140" s="421"/>
      <c r="AO140" s="421"/>
      <c r="AP140" s="421"/>
      <c r="AQ140" s="421"/>
      <c r="AR140" s="421"/>
      <c r="AS140" s="421"/>
      <c r="AT140" s="421"/>
      <c r="AU140" s="421"/>
      <c r="AV140" s="421"/>
      <c r="AW140" s="421"/>
      <c r="AX140" s="421"/>
      <c r="AY140" s="421"/>
      <c r="AZ140" s="421"/>
      <c r="BA140" s="421"/>
      <c r="BB140" s="421"/>
      <c r="BC140" s="421"/>
      <c r="BD140" s="421"/>
      <c r="BE140" s="421"/>
      <c r="BF140" s="421"/>
      <c r="BG140" s="421"/>
    </row>
    <row r="141" ht="14.25" customHeight="1">
      <c r="A141" s="598">
        <f t="shared" si="23"/>
        <v>5</v>
      </c>
      <c r="B141" s="599"/>
      <c r="C141" s="600" t="s">
        <v>395</v>
      </c>
      <c r="F141" s="586" t="s">
        <v>396</v>
      </c>
      <c r="M141" s="584"/>
      <c r="N141" s="417"/>
      <c r="O141" s="417"/>
      <c r="P141" s="417"/>
      <c r="Q141" s="417"/>
      <c r="R141" s="417"/>
      <c r="S141" s="417"/>
      <c r="T141" s="417"/>
      <c r="U141" s="417"/>
      <c r="V141" s="417"/>
      <c r="W141" s="417"/>
      <c r="X141" s="417"/>
      <c r="Y141" s="417"/>
      <c r="Z141" s="417"/>
      <c r="AA141" s="417"/>
      <c r="AB141" s="417"/>
      <c r="AC141" s="417"/>
      <c r="AD141" s="417"/>
      <c r="AE141" s="417"/>
      <c r="AF141" s="417"/>
      <c r="AG141" s="417"/>
      <c r="AH141" s="417"/>
      <c r="AI141" s="417"/>
      <c r="AJ141" s="41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row>
    <row r="142" ht="14.25" customHeight="1">
      <c r="A142" s="598">
        <f t="shared" si="23"/>
        <v>6</v>
      </c>
      <c r="B142" s="599"/>
      <c r="C142" s="595" t="s">
        <v>397</v>
      </c>
      <c r="E142" s="601"/>
      <c r="F142" s="602" t="s">
        <v>398</v>
      </c>
      <c r="G142" s="601"/>
      <c r="H142" s="601"/>
      <c r="I142" s="601"/>
      <c r="J142" s="601"/>
      <c r="K142" s="601"/>
      <c r="L142" s="601"/>
      <c r="M142" s="603"/>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c r="AJ142" s="421"/>
      <c r="AK142" s="421"/>
      <c r="AL142" s="421"/>
      <c r="AM142" s="421"/>
      <c r="AN142" s="421"/>
      <c r="AO142" s="421"/>
      <c r="AP142" s="421"/>
      <c r="AQ142" s="421"/>
      <c r="AR142" s="421"/>
      <c r="AS142" s="421"/>
      <c r="AT142" s="421"/>
      <c r="AU142" s="421"/>
      <c r="AV142" s="421"/>
      <c r="AW142" s="421"/>
      <c r="AX142" s="421"/>
      <c r="AY142" s="421"/>
      <c r="AZ142" s="421"/>
      <c r="BA142" s="421"/>
      <c r="BB142" s="421"/>
      <c r="BC142" s="421"/>
      <c r="BD142" s="421"/>
      <c r="BE142" s="421"/>
      <c r="BF142" s="421"/>
      <c r="BG142" s="421"/>
    </row>
    <row r="143" ht="14.25" customHeight="1">
      <c r="A143" s="604"/>
      <c r="B143" s="605"/>
      <c r="C143" s="605"/>
      <c r="D143" s="605"/>
      <c r="E143" s="606"/>
      <c r="F143" s="607"/>
      <c r="I143" s="606"/>
      <c r="J143" s="606"/>
      <c r="K143" s="606"/>
      <c r="L143" s="605"/>
      <c r="M143" s="605"/>
      <c r="N143" s="417"/>
      <c r="O143" s="417"/>
      <c r="P143" s="417"/>
      <c r="Q143" s="417"/>
      <c r="R143" s="417"/>
      <c r="S143" s="417"/>
      <c r="T143" s="417"/>
      <c r="U143" s="417"/>
      <c r="V143" s="417"/>
      <c r="W143" s="417"/>
      <c r="X143" s="417"/>
      <c r="Y143" s="417"/>
      <c r="Z143" s="417"/>
      <c r="AA143" s="417"/>
      <c r="AB143" s="417"/>
      <c r="AC143" s="417"/>
      <c r="AD143" s="417"/>
      <c r="AE143" s="417"/>
      <c r="AF143" s="417"/>
      <c r="AG143" s="417"/>
      <c r="AH143" s="417"/>
      <c r="AI143" s="417"/>
      <c r="AJ143" s="41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row>
    <row r="144" ht="14.25" customHeight="1">
      <c r="A144" s="608"/>
      <c r="B144" s="461"/>
      <c r="C144" s="461"/>
      <c r="D144" s="461"/>
      <c r="E144" s="609"/>
      <c r="F144" s="610" t="s">
        <v>399</v>
      </c>
      <c r="K144" s="609"/>
      <c r="L144" s="461"/>
      <c r="M144" s="46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c r="AJ144" s="421"/>
      <c r="AK144" s="421"/>
      <c r="AL144" s="421"/>
      <c r="AM144" s="421"/>
      <c r="AN144" s="421"/>
      <c r="AO144" s="421"/>
      <c r="AP144" s="421"/>
      <c r="AQ144" s="421"/>
      <c r="AR144" s="421"/>
      <c r="AS144" s="421"/>
      <c r="AT144" s="421"/>
      <c r="AU144" s="421"/>
      <c r="AV144" s="421"/>
      <c r="AW144" s="421"/>
      <c r="AX144" s="421"/>
      <c r="AY144" s="421"/>
      <c r="AZ144" s="421"/>
      <c r="BA144" s="421"/>
      <c r="BB144" s="421"/>
      <c r="BC144" s="421"/>
      <c r="BD144" s="421"/>
      <c r="BE144" s="421"/>
      <c r="BF144" s="421"/>
      <c r="BG144" s="421"/>
    </row>
    <row r="145" ht="14.25" customHeight="1">
      <c r="A145" s="604"/>
      <c r="B145" s="605"/>
      <c r="C145" s="605"/>
      <c r="D145" s="605"/>
      <c r="E145" s="606"/>
      <c r="F145" s="606"/>
      <c r="G145" s="606"/>
      <c r="H145" s="606"/>
      <c r="I145" s="606"/>
      <c r="J145" s="606"/>
      <c r="K145" s="606"/>
      <c r="L145" s="605"/>
      <c r="M145" s="605"/>
      <c r="N145" s="417"/>
      <c r="O145" s="417"/>
      <c r="P145" s="417"/>
      <c r="Q145" s="417"/>
      <c r="R145" s="417"/>
      <c r="S145" s="417"/>
      <c r="T145" s="417"/>
      <c r="U145" s="417"/>
      <c r="V145" s="417"/>
      <c r="W145" s="417"/>
      <c r="X145" s="417"/>
      <c r="Y145" s="417"/>
      <c r="Z145" s="417"/>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row>
    <row r="146" ht="14.25" customHeight="1">
      <c r="A146" s="608"/>
      <c r="B146" s="461"/>
      <c r="C146" s="461"/>
      <c r="D146" s="461"/>
      <c r="E146" s="609"/>
      <c r="F146" s="611"/>
      <c r="I146" s="609"/>
      <c r="J146" s="609"/>
      <c r="K146" s="609"/>
      <c r="L146" s="461"/>
      <c r="M146" s="46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c r="AJ146" s="421"/>
      <c r="AK146" s="421"/>
      <c r="AL146" s="421"/>
      <c r="AM146" s="421"/>
      <c r="AN146" s="421"/>
      <c r="AO146" s="421"/>
      <c r="AP146" s="421"/>
      <c r="AQ146" s="421"/>
      <c r="AR146" s="421"/>
      <c r="AS146" s="421"/>
      <c r="AT146" s="421"/>
      <c r="AU146" s="421"/>
      <c r="AV146" s="421"/>
      <c r="AW146" s="421"/>
      <c r="AX146" s="421"/>
      <c r="AY146" s="421"/>
      <c r="AZ146" s="421"/>
      <c r="BA146" s="421"/>
      <c r="BB146" s="421"/>
      <c r="BC146" s="421"/>
      <c r="BD146" s="421"/>
      <c r="BE146" s="421"/>
      <c r="BF146" s="421"/>
      <c r="BG146" s="421"/>
    </row>
    <row r="147" ht="15.0" customHeight="1">
      <c r="A147" s="290"/>
      <c r="B147" s="291"/>
      <c r="C147" s="319" t="s">
        <v>400</v>
      </c>
      <c r="D147" s="293"/>
      <c r="E147" s="293"/>
      <c r="F147" s="293"/>
      <c r="G147" s="406"/>
      <c r="H147" s="407"/>
      <c r="I147" s="407"/>
      <c r="J147" s="407"/>
      <c r="K147" s="407"/>
      <c r="L147" s="407"/>
      <c r="M147" s="407"/>
      <c r="N147" s="407"/>
      <c r="O147" s="407"/>
      <c r="P147" s="407"/>
      <c r="Q147" s="407"/>
      <c r="R147" s="407"/>
      <c r="S147" s="407"/>
      <c r="T147" s="407"/>
      <c r="U147" s="407"/>
      <c r="V147" s="407"/>
      <c r="W147" s="407"/>
      <c r="X147" s="407"/>
      <c r="Y147" s="407"/>
      <c r="Z147" s="407"/>
      <c r="AA147" s="407"/>
      <c r="AB147" s="407"/>
      <c r="AC147" s="407"/>
      <c r="AD147" s="407"/>
      <c r="AE147" s="407"/>
      <c r="AF147" s="407"/>
      <c r="AG147" s="407"/>
      <c r="AH147" s="407"/>
      <c r="AI147" s="407"/>
      <c r="AJ147" s="407"/>
      <c r="AK147" s="407"/>
      <c r="AL147" s="407"/>
      <c r="AM147" s="407"/>
      <c r="AN147" s="407"/>
      <c r="AO147" s="407"/>
      <c r="AP147" s="407"/>
      <c r="AQ147" s="407"/>
      <c r="AR147" s="407"/>
      <c r="AS147" s="407"/>
      <c r="AT147" s="407"/>
      <c r="AU147" s="407"/>
      <c r="AV147" s="407"/>
      <c r="AW147" s="407"/>
      <c r="AX147" s="407"/>
      <c r="AY147" s="407"/>
      <c r="AZ147" s="407"/>
      <c r="BA147" s="407"/>
      <c r="BB147" s="407"/>
      <c r="BC147" s="407"/>
      <c r="BD147" s="407"/>
      <c r="BE147" s="407"/>
      <c r="BF147" s="407"/>
      <c r="BG147" s="407"/>
    </row>
    <row r="148">
      <c r="A148" s="612"/>
      <c r="B148" s="613"/>
      <c r="C148" s="614" t="s">
        <v>401</v>
      </c>
      <c r="D148" s="615"/>
      <c r="E148" s="615"/>
      <c r="F148" s="616"/>
      <c r="G148" s="616"/>
      <c r="H148" s="616"/>
      <c r="I148" s="616"/>
      <c r="J148" s="616"/>
      <c r="K148" s="616"/>
      <c r="L148" s="616"/>
      <c r="M148" s="616"/>
      <c r="N148" s="616"/>
      <c r="O148" s="616"/>
      <c r="P148" s="616"/>
      <c r="Q148" s="616"/>
      <c r="R148" s="616"/>
      <c r="S148" s="616"/>
      <c r="T148" s="616"/>
      <c r="U148" s="616"/>
      <c r="V148" s="616"/>
      <c r="W148" s="616"/>
      <c r="X148" s="616"/>
      <c r="Y148" s="616"/>
      <c r="Z148" s="616"/>
      <c r="AA148" s="616"/>
      <c r="AB148" s="616"/>
      <c r="AC148" s="616"/>
      <c r="AD148" s="616"/>
      <c r="AE148" s="616"/>
      <c r="AF148" s="616"/>
      <c r="AG148" s="616"/>
      <c r="AH148" s="616"/>
      <c r="AI148" s="616"/>
      <c r="AJ148" s="616"/>
      <c r="AK148" s="616"/>
      <c r="AL148" s="616"/>
      <c r="AM148" s="616"/>
      <c r="AN148" s="616"/>
      <c r="AO148" s="616"/>
      <c r="AP148" s="616"/>
      <c r="AQ148" s="616"/>
      <c r="AR148" s="616"/>
      <c r="AS148" s="616"/>
      <c r="AT148" s="616"/>
      <c r="AU148" s="616"/>
      <c r="AV148" s="616"/>
      <c r="AW148" s="616"/>
      <c r="AX148" s="616"/>
      <c r="AY148" s="616"/>
      <c r="AZ148" s="616"/>
      <c r="BA148" s="616"/>
      <c r="BB148" s="616"/>
      <c r="BC148" s="616"/>
      <c r="BD148" s="617"/>
      <c r="BE148" s="617"/>
      <c r="BF148" s="618"/>
      <c r="BG148" s="618"/>
    </row>
    <row r="149">
      <c r="A149" s="342"/>
      <c r="B149" s="619"/>
      <c r="C149" s="620" t="s">
        <v>402</v>
      </c>
      <c r="D149" s="620" t="s">
        <v>403</v>
      </c>
      <c r="E149" s="620" t="s">
        <v>404</v>
      </c>
      <c r="F149" s="342"/>
      <c r="G149" s="342"/>
      <c r="H149" s="342"/>
      <c r="I149" s="342"/>
      <c r="J149" s="342"/>
      <c r="K149" s="342"/>
      <c r="L149" s="342"/>
      <c r="M149" s="342"/>
      <c r="N149" s="342"/>
      <c r="O149" s="342"/>
      <c r="P149" s="342"/>
      <c r="Q149" s="342"/>
      <c r="R149" s="342"/>
      <c r="S149" s="342"/>
      <c r="T149" s="342"/>
      <c r="U149" s="342"/>
      <c r="V149" s="342"/>
      <c r="W149" s="342"/>
      <c r="X149" s="342"/>
      <c r="Y149" s="342"/>
      <c r="Z149" s="342"/>
      <c r="AA149" s="342"/>
      <c r="AB149" s="342"/>
      <c r="AC149" s="342"/>
      <c r="AD149" s="342"/>
      <c r="AE149" s="342"/>
      <c r="AF149" s="342"/>
      <c r="AG149" s="342"/>
      <c r="AH149" s="342"/>
      <c r="AI149" s="342"/>
      <c r="AJ149" s="342"/>
      <c r="AK149" s="342"/>
      <c r="AL149" s="342"/>
      <c r="AM149" s="342"/>
      <c r="AN149" s="342"/>
      <c r="AO149" s="342"/>
      <c r="AP149" s="342"/>
      <c r="AQ149" s="342"/>
      <c r="AR149" s="342"/>
      <c r="AS149" s="342"/>
      <c r="AT149" s="342"/>
      <c r="AU149" s="342"/>
      <c r="AV149" s="342"/>
      <c r="AW149" s="342"/>
      <c r="AX149" s="342"/>
      <c r="AY149" s="342"/>
      <c r="AZ149" s="342"/>
      <c r="BA149" s="342"/>
      <c r="BB149" s="342"/>
      <c r="BC149" s="342"/>
      <c r="BD149" s="342"/>
      <c r="BE149" s="342"/>
      <c r="BF149" s="342"/>
      <c r="BG149" s="342"/>
    </row>
    <row r="150" ht="14.25" customHeight="1">
      <c r="A150" s="312"/>
      <c r="B150" s="365"/>
      <c r="C150" s="621"/>
      <c r="D150" s="622"/>
      <c r="E150" s="623"/>
      <c r="F150" s="624"/>
      <c r="AH150" s="423"/>
      <c r="AI150" s="423"/>
      <c r="AJ150" s="423"/>
      <c r="AK150" s="423"/>
      <c r="AL150" s="423"/>
      <c r="AM150" s="423"/>
      <c r="AN150" s="423"/>
      <c r="AO150" s="423"/>
      <c r="AP150" s="423"/>
      <c r="AQ150" s="423"/>
      <c r="AR150" s="423"/>
      <c r="AS150" s="423"/>
      <c r="AT150" s="423"/>
      <c r="AU150" s="423"/>
      <c r="AV150" s="423"/>
      <c r="AW150" s="423"/>
      <c r="AX150" s="423"/>
      <c r="AY150" s="423"/>
      <c r="AZ150" s="423"/>
      <c r="BA150" s="423"/>
      <c r="BB150" s="423"/>
      <c r="BC150" s="423"/>
      <c r="BD150" s="424"/>
      <c r="BE150" s="424"/>
      <c r="BF150" s="314"/>
      <c r="BG150" s="314"/>
    </row>
    <row r="151" ht="14.25" customHeight="1">
      <c r="A151" s="342"/>
      <c r="B151" s="619"/>
      <c r="C151" s="625"/>
      <c r="D151" s="626"/>
      <c r="E151" s="627"/>
      <c r="G151" s="628"/>
      <c r="H151" s="418"/>
      <c r="I151" s="418"/>
      <c r="J151" s="418"/>
      <c r="K151" s="418"/>
      <c r="L151" s="418"/>
      <c r="M151" s="418"/>
      <c r="N151" s="418"/>
      <c r="O151" s="418"/>
      <c r="P151" s="418"/>
      <c r="Q151" s="418"/>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9"/>
      <c r="BE151" s="419"/>
      <c r="BF151" s="332"/>
      <c r="BG151" s="332"/>
    </row>
    <row r="152" ht="14.25" customHeight="1">
      <c r="A152" s="312"/>
      <c r="B152" s="365"/>
      <c r="C152" s="629"/>
      <c r="D152" s="630"/>
      <c r="E152" s="631"/>
      <c r="BD152" s="424"/>
      <c r="BE152" s="424"/>
      <c r="BF152" s="314"/>
      <c r="BG152" s="314"/>
    </row>
    <row r="153" ht="14.25" customHeight="1">
      <c r="A153" s="342"/>
      <c r="B153" s="619"/>
      <c r="C153" s="632"/>
      <c r="D153" s="632"/>
      <c r="E153" s="633"/>
      <c r="F153" s="634"/>
      <c r="G153" s="628"/>
      <c r="H153" s="418"/>
      <c r="I153" s="418"/>
      <c r="J153" s="418"/>
      <c r="K153" s="418"/>
      <c r="L153" s="418"/>
      <c r="M153" s="418"/>
      <c r="N153" s="418"/>
      <c r="O153" s="418"/>
      <c r="P153" s="418"/>
      <c r="Q153" s="418"/>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9"/>
      <c r="BE153" s="419"/>
      <c r="BF153" s="332"/>
      <c r="BG153" s="332"/>
    </row>
    <row r="154" ht="14.25" customHeight="1">
      <c r="A154" s="312"/>
      <c r="B154" s="365"/>
      <c r="C154" s="635"/>
      <c r="D154" s="635"/>
      <c r="E154" s="636"/>
      <c r="F154" s="637"/>
      <c r="G154" s="638"/>
      <c r="H154" s="423"/>
      <c r="I154" s="423"/>
      <c r="J154" s="423"/>
      <c r="K154" s="423"/>
      <c r="L154" s="423"/>
      <c r="M154" s="423"/>
      <c r="N154" s="423"/>
      <c r="O154" s="423"/>
      <c r="P154" s="423"/>
      <c r="Q154" s="423"/>
      <c r="R154" s="423"/>
      <c r="S154" s="423"/>
      <c r="T154" s="423"/>
      <c r="U154" s="423"/>
      <c r="V154" s="423"/>
      <c r="W154" s="423"/>
      <c r="X154" s="423"/>
      <c r="Y154" s="423"/>
      <c r="Z154" s="423"/>
      <c r="AA154" s="423"/>
      <c r="AB154" s="423"/>
      <c r="AC154" s="423"/>
      <c r="AD154" s="423"/>
      <c r="AE154" s="423"/>
      <c r="AF154" s="423"/>
      <c r="AG154" s="423"/>
      <c r="AH154" s="423"/>
      <c r="AI154" s="423"/>
      <c r="AJ154" s="423"/>
      <c r="AK154" s="423"/>
      <c r="AL154" s="423"/>
      <c r="AM154" s="423"/>
      <c r="AN154" s="423"/>
      <c r="AO154" s="423"/>
      <c r="AP154" s="423"/>
      <c r="AQ154" s="423"/>
      <c r="AR154" s="423"/>
      <c r="AS154" s="423"/>
      <c r="AT154" s="423"/>
      <c r="AU154" s="423"/>
      <c r="AV154" s="423"/>
      <c r="AW154" s="423"/>
      <c r="AX154" s="423"/>
      <c r="AY154" s="423"/>
      <c r="AZ154" s="423"/>
      <c r="BA154" s="423"/>
      <c r="BB154" s="423"/>
      <c r="BC154" s="423"/>
      <c r="BD154" s="424"/>
      <c r="BE154" s="424"/>
      <c r="BF154" s="314"/>
      <c r="BG154" s="314"/>
    </row>
    <row r="155" ht="14.25" customHeight="1">
      <c r="A155" s="342"/>
      <c r="B155" s="619"/>
      <c r="C155" s="632"/>
      <c r="D155" s="632"/>
      <c r="E155" s="633"/>
      <c r="F155" s="634"/>
      <c r="G155" s="628"/>
      <c r="H155" s="418"/>
      <c r="I155" s="418"/>
      <c r="J155" s="418"/>
      <c r="K155" s="418"/>
      <c r="L155" s="418"/>
      <c r="M155" s="418"/>
      <c r="N155" s="418"/>
      <c r="O155" s="418"/>
      <c r="P155" s="418"/>
      <c r="Q155" s="418"/>
      <c r="R155" s="418"/>
      <c r="S155" s="418"/>
      <c r="T155" s="418"/>
      <c r="U155" s="418"/>
      <c r="V155" s="418"/>
      <c r="W155" s="418"/>
      <c r="X155" s="418"/>
      <c r="Y155" s="418"/>
      <c r="Z155" s="418"/>
      <c r="AA155" s="418"/>
      <c r="AB155" s="418"/>
      <c r="AC155" s="418"/>
      <c r="AD155" s="418"/>
      <c r="AE155" s="418"/>
      <c r="AF155" s="418"/>
      <c r="AG155" s="418"/>
      <c r="AH155" s="418"/>
      <c r="AI155" s="418"/>
      <c r="AJ155" s="418"/>
      <c r="AK155" s="418"/>
      <c r="AL155" s="418"/>
      <c r="AM155" s="418"/>
      <c r="AN155" s="418"/>
      <c r="AO155" s="418"/>
      <c r="AP155" s="418"/>
      <c r="AQ155" s="418"/>
      <c r="AR155" s="418"/>
      <c r="AS155" s="418"/>
      <c r="AT155" s="418"/>
      <c r="AU155" s="418"/>
      <c r="AV155" s="418"/>
      <c r="AW155" s="418"/>
      <c r="AX155" s="418"/>
      <c r="AY155" s="418"/>
      <c r="AZ155" s="418"/>
      <c r="BA155" s="418"/>
      <c r="BB155" s="418"/>
      <c r="BC155" s="418"/>
      <c r="BD155" s="419"/>
      <c r="BE155" s="419"/>
      <c r="BF155" s="332"/>
      <c r="BG155" s="332"/>
    </row>
    <row r="156" ht="14.25" customHeight="1">
      <c r="A156" s="312"/>
      <c r="B156" s="365"/>
      <c r="C156" s="635"/>
      <c r="D156" s="635"/>
      <c r="E156" s="636"/>
      <c r="F156" s="637"/>
      <c r="G156" s="638"/>
      <c r="H156" s="423"/>
      <c r="I156" s="423"/>
      <c r="J156" s="423"/>
      <c r="K156" s="423"/>
      <c r="L156" s="423"/>
      <c r="M156" s="423"/>
      <c r="N156" s="423"/>
      <c r="O156" s="423"/>
      <c r="P156" s="423"/>
      <c r="Q156" s="423"/>
      <c r="R156" s="423"/>
      <c r="S156" s="423"/>
      <c r="T156" s="423"/>
      <c r="U156" s="423"/>
      <c r="V156" s="423"/>
      <c r="W156" s="423"/>
      <c r="X156" s="423"/>
      <c r="Y156" s="423"/>
      <c r="Z156" s="423"/>
      <c r="AA156" s="423"/>
      <c r="AB156" s="423"/>
      <c r="AC156" s="423"/>
      <c r="AD156" s="423"/>
      <c r="AE156" s="423"/>
      <c r="AF156" s="423"/>
      <c r="AG156" s="423"/>
      <c r="AH156" s="423"/>
      <c r="AI156" s="423"/>
      <c r="AJ156" s="423"/>
      <c r="AK156" s="423"/>
      <c r="AL156" s="423"/>
      <c r="AM156" s="423"/>
      <c r="AN156" s="423"/>
      <c r="AO156" s="423"/>
      <c r="AP156" s="423"/>
      <c r="AQ156" s="423"/>
      <c r="AR156" s="423"/>
      <c r="AS156" s="423"/>
      <c r="AT156" s="423"/>
      <c r="AU156" s="423"/>
      <c r="AV156" s="423"/>
      <c r="AW156" s="423"/>
      <c r="AX156" s="423"/>
      <c r="AY156" s="423"/>
      <c r="AZ156" s="423"/>
      <c r="BA156" s="423"/>
      <c r="BB156" s="423"/>
      <c r="BC156" s="423"/>
      <c r="BD156" s="424"/>
      <c r="BE156" s="424"/>
      <c r="BF156" s="314"/>
      <c r="BG156" s="314"/>
    </row>
    <row r="157" ht="14.25" customHeight="1">
      <c r="A157" s="342"/>
      <c r="B157" s="619"/>
      <c r="C157" s="632"/>
      <c r="D157" s="632"/>
      <c r="E157" s="633"/>
      <c r="F157" s="634"/>
      <c r="G157" s="628"/>
      <c r="H157" s="418"/>
      <c r="I157" s="418"/>
      <c r="J157" s="418"/>
      <c r="K157" s="418"/>
      <c r="L157" s="418"/>
      <c r="M157" s="418"/>
      <c r="N157" s="418"/>
      <c r="O157" s="418"/>
      <c r="P157" s="418"/>
      <c r="Q157" s="418"/>
      <c r="R157" s="418"/>
      <c r="S157" s="418"/>
      <c r="T157" s="418"/>
      <c r="U157" s="418"/>
      <c r="V157" s="418"/>
      <c r="W157" s="418"/>
      <c r="X157" s="418"/>
      <c r="Y157" s="418"/>
      <c r="Z157" s="418"/>
      <c r="AA157" s="418"/>
      <c r="AB157" s="418"/>
      <c r="AC157" s="418"/>
      <c r="AD157" s="418"/>
      <c r="AE157" s="418"/>
      <c r="AF157" s="418"/>
      <c r="AG157" s="418"/>
      <c r="AH157" s="418"/>
      <c r="AI157" s="418"/>
      <c r="AJ157" s="418"/>
      <c r="AK157" s="418"/>
      <c r="AL157" s="418"/>
      <c r="AM157" s="418"/>
      <c r="AN157" s="418"/>
      <c r="AO157" s="418"/>
      <c r="AP157" s="418"/>
      <c r="AQ157" s="418"/>
      <c r="AR157" s="418"/>
      <c r="AS157" s="418"/>
      <c r="AT157" s="418"/>
      <c r="AU157" s="418"/>
      <c r="AV157" s="418"/>
      <c r="AW157" s="418"/>
      <c r="AX157" s="418"/>
      <c r="AY157" s="418"/>
      <c r="AZ157" s="418"/>
      <c r="BA157" s="418"/>
      <c r="BB157" s="418"/>
      <c r="BC157" s="418"/>
      <c r="BD157" s="419"/>
      <c r="BE157" s="419"/>
      <c r="BF157" s="332"/>
      <c r="BG157" s="332"/>
    </row>
    <row r="158" ht="14.25" customHeight="1">
      <c r="A158" s="312"/>
      <c r="B158" s="365"/>
      <c r="C158" s="635"/>
      <c r="D158" s="635"/>
      <c r="E158" s="636"/>
      <c r="F158" s="637"/>
      <c r="G158" s="638"/>
      <c r="H158" s="423"/>
      <c r="I158" s="423"/>
      <c r="J158" s="423"/>
      <c r="K158" s="423"/>
      <c r="L158" s="423"/>
      <c r="M158" s="423"/>
      <c r="N158" s="423"/>
      <c r="O158" s="423"/>
      <c r="P158" s="423"/>
      <c r="Q158" s="423"/>
      <c r="R158" s="423"/>
      <c r="S158" s="423"/>
      <c r="T158" s="423"/>
      <c r="U158" s="423"/>
      <c r="V158" s="423"/>
      <c r="W158" s="423"/>
      <c r="X158" s="423"/>
      <c r="Y158" s="423"/>
      <c r="Z158" s="423"/>
      <c r="AA158" s="423"/>
      <c r="AB158" s="423"/>
      <c r="AC158" s="423"/>
      <c r="AD158" s="423"/>
      <c r="AE158" s="423"/>
      <c r="AF158" s="423"/>
      <c r="AG158" s="423"/>
      <c r="AH158" s="423"/>
      <c r="AI158" s="423"/>
      <c r="AJ158" s="423"/>
      <c r="AK158" s="423"/>
      <c r="AL158" s="423"/>
      <c r="AM158" s="423"/>
      <c r="AN158" s="423"/>
      <c r="AO158" s="423"/>
      <c r="AP158" s="423"/>
      <c r="AQ158" s="423"/>
      <c r="AR158" s="423"/>
      <c r="AS158" s="423"/>
      <c r="AT158" s="423"/>
      <c r="AU158" s="423"/>
      <c r="AV158" s="423"/>
      <c r="AW158" s="423"/>
      <c r="AX158" s="423"/>
      <c r="AY158" s="423"/>
      <c r="AZ158" s="423"/>
      <c r="BA158" s="423"/>
      <c r="BB158" s="423"/>
      <c r="BC158" s="423"/>
      <c r="BD158" s="424"/>
      <c r="BE158" s="424"/>
      <c r="BF158" s="314"/>
      <c r="BG158" s="314"/>
    </row>
    <row r="159" ht="14.25" customHeight="1">
      <c r="A159" s="320"/>
      <c r="B159" s="321"/>
      <c r="C159" s="639"/>
      <c r="D159" s="640"/>
      <c r="E159" s="640"/>
      <c r="F159" s="640"/>
      <c r="G159" s="641"/>
      <c r="H159" s="410"/>
      <c r="I159" s="410"/>
      <c r="J159" s="410"/>
      <c r="K159" s="410"/>
      <c r="L159" s="410"/>
      <c r="M159" s="410"/>
      <c r="N159" s="410"/>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0"/>
      <c r="AK159" s="410"/>
      <c r="AL159" s="410"/>
      <c r="AM159" s="410"/>
      <c r="AN159" s="410"/>
      <c r="AO159" s="410"/>
      <c r="AP159" s="410"/>
      <c r="AQ159" s="410"/>
      <c r="AR159" s="410"/>
      <c r="AS159" s="410"/>
      <c r="AT159" s="410"/>
      <c r="AU159" s="410"/>
      <c r="AV159" s="410"/>
      <c r="AW159" s="410"/>
      <c r="AX159" s="410"/>
      <c r="AY159" s="410"/>
      <c r="AZ159" s="410"/>
      <c r="BA159" s="410"/>
      <c r="BB159" s="410"/>
      <c r="BC159" s="410"/>
      <c r="BD159" s="410"/>
      <c r="BE159" s="410"/>
      <c r="BF159" s="410"/>
      <c r="BG159" s="410"/>
    </row>
    <row r="160" ht="14.25" customHeight="1">
      <c r="A160" s="642"/>
      <c r="B160" s="618"/>
      <c r="C160" s="614" t="s">
        <v>405</v>
      </c>
      <c r="D160" s="643"/>
      <c r="E160" s="643"/>
      <c r="F160" s="615"/>
      <c r="G160" s="643"/>
      <c r="H160" s="643"/>
      <c r="I160" s="643"/>
      <c r="J160" s="643"/>
      <c r="K160" s="643"/>
      <c r="L160" s="643"/>
      <c r="M160" s="643"/>
      <c r="N160" s="643"/>
      <c r="O160" s="643"/>
      <c r="P160" s="643"/>
      <c r="Q160" s="643"/>
      <c r="R160" s="643"/>
      <c r="S160" s="643"/>
      <c r="T160" s="643"/>
      <c r="U160" s="643"/>
      <c r="V160" s="643"/>
      <c r="W160" s="643"/>
      <c r="X160" s="643"/>
      <c r="Y160" s="643"/>
      <c r="Z160" s="643"/>
      <c r="AA160" s="643"/>
      <c r="AB160" s="643"/>
      <c r="AC160" s="643"/>
      <c r="AD160" s="643"/>
      <c r="AE160" s="643"/>
      <c r="AF160" s="643"/>
      <c r="AG160" s="643"/>
      <c r="AH160" s="643"/>
      <c r="AI160" s="643"/>
      <c r="AJ160" s="643"/>
      <c r="AK160" s="643"/>
      <c r="AL160" s="643"/>
      <c r="AM160" s="643"/>
      <c r="AN160" s="643"/>
      <c r="AO160" s="643"/>
      <c r="AP160" s="643"/>
      <c r="AQ160" s="643"/>
      <c r="AR160" s="643"/>
      <c r="AS160" s="643"/>
      <c r="AT160" s="643"/>
      <c r="AU160" s="643"/>
      <c r="AV160" s="643"/>
      <c r="AW160" s="643"/>
      <c r="AX160" s="643"/>
      <c r="AY160" s="643"/>
      <c r="AZ160" s="643"/>
      <c r="BA160" s="643"/>
      <c r="BB160" s="643"/>
      <c r="BC160" s="643"/>
      <c r="BD160" s="644"/>
      <c r="BE160" s="644"/>
      <c r="BF160" s="644"/>
      <c r="BG160" s="644"/>
    </row>
    <row r="161" ht="14.25" customHeight="1">
      <c r="A161" s="342"/>
      <c r="B161" s="619"/>
      <c r="C161" s="645" t="s">
        <v>167</v>
      </c>
      <c r="D161" s="645" t="s">
        <v>168</v>
      </c>
      <c r="E161" s="645" t="s">
        <v>169</v>
      </c>
      <c r="F161" s="620" t="s">
        <v>406</v>
      </c>
      <c r="G161" s="645" t="s">
        <v>170</v>
      </c>
      <c r="H161" s="646" t="s">
        <v>171</v>
      </c>
      <c r="I161" s="647"/>
      <c r="J161" s="647"/>
      <c r="K161" s="647"/>
      <c r="L161" s="648"/>
      <c r="M161" s="645"/>
      <c r="N161" s="645"/>
      <c r="O161" s="645"/>
      <c r="P161" s="645"/>
      <c r="Q161" s="645"/>
      <c r="R161" s="645"/>
      <c r="S161" s="645"/>
      <c r="T161" s="645"/>
      <c r="U161" s="645"/>
      <c r="V161" s="645"/>
      <c r="W161" s="645"/>
      <c r="X161" s="645"/>
      <c r="Y161" s="645"/>
      <c r="Z161" s="645"/>
      <c r="AA161" s="645"/>
      <c r="AB161" s="645"/>
      <c r="AC161" s="645"/>
      <c r="AD161" s="645"/>
      <c r="AE161" s="645"/>
      <c r="AF161" s="645"/>
      <c r="AG161" s="645"/>
      <c r="AH161" s="645"/>
      <c r="AI161" s="645"/>
      <c r="AJ161" s="645"/>
      <c r="AK161" s="645"/>
      <c r="AL161" s="645"/>
      <c r="AM161" s="645"/>
      <c r="AN161" s="645"/>
      <c r="AO161" s="645"/>
      <c r="AP161" s="645"/>
      <c r="AQ161" s="645"/>
      <c r="AR161" s="645"/>
      <c r="AS161" s="645"/>
      <c r="AT161" s="645"/>
      <c r="AU161" s="645"/>
      <c r="AV161" s="645"/>
      <c r="AW161" s="645"/>
      <c r="AX161" s="645"/>
      <c r="AY161" s="645"/>
      <c r="AZ161" s="645"/>
      <c r="BA161" s="645"/>
      <c r="BB161" s="645"/>
      <c r="BC161" s="645"/>
      <c r="BD161" s="649" t="s">
        <v>172</v>
      </c>
      <c r="BE161" s="647"/>
      <c r="BF161" s="648"/>
      <c r="BG161" s="644"/>
    </row>
    <row r="162" ht="14.25" customHeight="1">
      <c r="A162" s="359"/>
      <c r="B162" s="314"/>
      <c r="C162" s="650" t="s">
        <v>181</v>
      </c>
      <c r="D162" s="636">
        <v>45922.0</v>
      </c>
      <c r="E162" s="650" t="s">
        <v>86</v>
      </c>
      <c r="F162" s="650" t="s">
        <v>407</v>
      </c>
      <c r="G162" s="651" t="s">
        <v>408</v>
      </c>
      <c r="H162" s="652"/>
      <c r="I162" s="653"/>
      <c r="J162" s="653"/>
      <c r="K162" s="653"/>
      <c r="L162" s="654"/>
      <c r="M162" s="655"/>
      <c r="N162" s="655"/>
      <c r="O162" s="655"/>
      <c r="P162" s="655"/>
      <c r="Q162" s="655"/>
      <c r="R162" s="655"/>
      <c r="S162" s="655"/>
      <c r="T162" s="655"/>
      <c r="U162" s="655"/>
      <c r="V162" s="655"/>
      <c r="W162" s="655"/>
      <c r="X162" s="655"/>
      <c r="Y162" s="655"/>
      <c r="Z162" s="655"/>
      <c r="AA162" s="655"/>
      <c r="AB162" s="655"/>
      <c r="AC162" s="655"/>
      <c r="AD162" s="655"/>
      <c r="AE162" s="655"/>
      <c r="AF162" s="655"/>
      <c r="AG162" s="655"/>
      <c r="AH162" s="655"/>
      <c r="AI162" s="655"/>
      <c r="AJ162" s="655"/>
      <c r="AK162" s="655"/>
      <c r="AL162" s="655"/>
      <c r="AM162" s="655"/>
      <c r="AN162" s="655"/>
      <c r="AO162" s="655"/>
      <c r="AP162" s="655"/>
      <c r="AQ162" s="655"/>
      <c r="AR162" s="655"/>
      <c r="AS162" s="655"/>
      <c r="AT162" s="655"/>
      <c r="AU162" s="655"/>
      <c r="AV162" s="655"/>
      <c r="AW162" s="655"/>
      <c r="AX162" s="655"/>
      <c r="AY162" s="655"/>
      <c r="AZ162" s="655"/>
      <c r="BA162" s="655"/>
      <c r="BB162" s="655"/>
      <c r="BC162" s="655"/>
      <c r="BD162" s="635"/>
      <c r="BE162" s="656"/>
      <c r="BF162" s="657"/>
      <c r="BG162" s="658"/>
    </row>
    <row r="163" ht="14.25" customHeight="1">
      <c r="A163" s="342"/>
      <c r="B163" s="332"/>
      <c r="C163" s="659" t="s">
        <v>183</v>
      </c>
      <c r="D163" s="633">
        <v>45924.0</v>
      </c>
      <c r="E163" s="659" t="s">
        <v>339</v>
      </c>
      <c r="F163" s="659" t="s">
        <v>407</v>
      </c>
      <c r="G163" s="660" t="s">
        <v>409</v>
      </c>
      <c r="H163" s="661" t="s">
        <v>410</v>
      </c>
      <c r="I163" s="662"/>
      <c r="J163" s="662"/>
      <c r="K163" s="662"/>
      <c r="L163" s="663"/>
      <c r="M163" s="664"/>
      <c r="N163" s="664"/>
      <c r="O163" s="664"/>
      <c r="P163" s="664"/>
      <c r="Q163" s="664"/>
      <c r="R163" s="664"/>
      <c r="S163" s="664"/>
      <c r="T163" s="664"/>
      <c r="U163" s="664"/>
      <c r="V163" s="664"/>
      <c r="W163" s="664"/>
      <c r="X163" s="664"/>
      <c r="Y163" s="664"/>
      <c r="Z163" s="664"/>
      <c r="AA163" s="664"/>
      <c r="AB163" s="664"/>
      <c r="AC163" s="664"/>
      <c r="AD163" s="664"/>
      <c r="AE163" s="664"/>
      <c r="AF163" s="664"/>
      <c r="AG163" s="664"/>
      <c r="AH163" s="664"/>
      <c r="AI163" s="664"/>
      <c r="AJ163" s="664"/>
      <c r="AK163" s="664"/>
      <c r="AL163" s="664"/>
      <c r="AM163" s="664"/>
      <c r="AN163" s="664"/>
      <c r="AO163" s="664"/>
      <c r="AP163" s="664"/>
      <c r="AQ163" s="664"/>
      <c r="AR163" s="664"/>
      <c r="AS163" s="664"/>
      <c r="AT163" s="664"/>
      <c r="AU163" s="664"/>
      <c r="AV163" s="664"/>
      <c r="AW163" s="664"/>
      <c r="AX163" s="664"/>
      <c r="AY163" s="664"/>
      <c r="AZ163" s="664"/>
      <c r="BA163" s="664"/>
      <c r="BB163" s="664"/>
      <c r="BC163" s="664"/>
      <c r="BD163" s="632"/>
      <c r="BE163" s="647"/>
      <c r="BF163" s="648"/>
      <c r="BG163" s="665"/>
    </row>
    <row r="164" ht="14.25" customHeight="1">
      <c r="A164" s="312"/>
      <c r="B164" s="314"/>
      <c r="C164" s="650" t="s">
        <v>411</v>
      </c>
      <c r="D164" s="636">
        <v>45936.0</v>
      </c>
      <c r="E164" s="650" t="s">
        <v>82</v>
      </c>
      <c r="F164" s="650" t="s">
        <v>407</v>
      </c>
      <c r="G164" s="651" t="s">
        <v>408</v>
      </c>
      <c r="H164" s="652"/>
      <c r="I164" s="653"/>
      <c r="J164" s="653"/>
      <c r="K164" s="653"/>
      <c r="L164" s="654"/>
      <c r="M164" s="658"/>
      <c r="N164" s="658"/>
      <c r="O164" s="658"/>
      <c r="P164" s="658"/>
      <c r="Q164" s="658"/>
      <c r="R164" s="658"/>
      <c r="S164" s="658"/>
      <c r="T164" s="658"/>
      <c r="U164" s="658"/>
      <c r="V164" s="658"/>
      <c r="W164" s="658"/>
      <c r="X164" s="658"/>
      <c r="Y164" s="658"/>
      <c r="Z164" s="658"/>
      <c r="AA164" s="658"/>
      <c r="AB164" s="658"/>
      <c r="AC164" s="658"/>
      <c r="AD164" s="658"/>
      <c r="AE164" s="658"/>
      <c r="AF164" s="658"/>
      <c r="AG164" s="658"/>
      <c r="AH164" s="658"/>
      <c r="AI164" s="658"/>
      <c r="AJ164" s="658"/>
      <c r="AK164" s="658"/>
      <c r="AL164" s="658"/>
      <c r="AM164" s="658"/>
      <c r="AN164" s="658"/>
      <c r="AO164" s="658"/>
      <c r="AP164" s="658"/>
      <c r="AQ164" s="658"/>
      <c r="AR164" s="658"/>
      <c r="AS164" s="658"/>
      <c r="AT164" s="658"/>
      <c r="AU164" s="658"/>
      <c r="AV164" s="658"/>
      <c r="AW164" s="658"/>
      <c r="AX164" s="658"/>
      <c r="AY164" s="658"/>
      <c r="AZ164" s="658"/>
      <c r="BA164" s="658"/>
      <c r="BB164" s="658"/>
      <c r="BC164" s="658"/>
      <c r="BD164" s="658"/>
      <c r="BE164" s="658"/>
      <c r="BF164" s="658"/>
      <c r="BG164" s="658"/>
    </row>
    <row r="165" ht="14.25" customHeight="1">
      <c r="A165" s="408"/>
      <c r="B165" s="409"/>
      <c r="C165" s="409"/>
      <c r="D165" s="409"/>
      <c r="E165" s="409"/>
      <c r="F165" s="409"/>
      <c r="G165" s="409"/>
      <c r="H165" s="409"/>
      <c r="I165" s="409"/>
      <c r="J165" s="409"/>
      <c r="K165" s="409"/>
      <c r="L165" s="409"/>
      <c r="M165" s="409"/>
      <c r="N165" s="409"/>
      <c r="O165" s="409"/>
      <c r="P165" s="409"/>
      <c r="Q165" s="409"/>
      <c r="R165" s="409"/>
      <c r="S165" s="409"/>
      <c r="T165" s="409"/>
      <c r="U165" s="409"/>
      <c r="V165" s="409"/>
      <c r="W165" s="409"/>
      <c r="X165" s="409"/>
      <c r="Y165" s="409"/>
      <c r="Z165" s="409"/>
      <c r="AA165" s="409"/>
      <c r="AB165" s="409"/>
      <c r="AC165" s="409"/>
      <c r="AD165" s="409"/>
      <c r="AE165" s="409"/>
      <c r="AF165" s="409"/>
      <c r="AG165" s="409"/>
      <c r="AH165" s="409"/>
      <c r="AI165" s="409"/>
      <c r="AJ165" s="409"/>
      <c r="AK165" s="409"/>
      <c r="AL165" s="409"/>
      <c r="AM165" s="409"/>
      <c r="AN165" s="409"/>
      <c r="AO165" s="409"/>
      <c r="AP165" s="409"/>
      <c r="AQ165" s="409"/>
      <c r="AR165" s="409"/>
      <c r="AS165" s="409"/>
      <c r="AT165" s="409"/>
      <c r="AU165" s="409"/>
      <c r="AV165" s="409"/>
      <c r="AW165" s="409"/>
      <c r="AX165" s="409"/>
      <c r="AY165" s="409"/>
      <c r="AZ165" s="409"/>
      <c r="BA165" s="409"/>
      <c r="BB165" s="409"/>
      <c r="BC165" s="409"/>
      <c r="BD165" s="409"/>
      <c r="BE165" s="409"/>
      <c r="BF165" s="409"/>
      <c r="BG165" s="409"/>
    </row>
    <row r="166" ht="14.25" customHeight="1">
      <c r="A166" s="319"/>
      <c r="B166" s="291"/>
      <c r="C166" s="319" t="s">
        <v>412</v>
      </c>
      <c r="D166" s="293"/>
      <c r="E166" s="293"/>
      <c r="F166" s="293"/>
      <c r="G166" s="406"/>
      <c r="H166" s="407"/>
      <c r="I166" s="407"/>
      <c r="J166" s="407"/>
      <c r="K166" s="407"/>
      <c r="L166" s="407"/>
      <c r="M166" s="407"/>
      <c r="N166" s="407"/>
      <c r="O166" s="407"/>
      <c r="P166" s="407"/>
      <c r="Q166" s="407"/>
      <c r="R166" s="407"/>
      <c r="S166" s="407"/>
      <c r="T166" s="407"/>
      <c r="U166" s="407"/>
      <c r="V166" s="407"/>
      <c r="W166" s="407"/>
      <c r="X166" s="407"/>
      <c r="Y166" s="407"/>
      <c r="Z166" s="407"/>
      <c r="AA166" s="407"/>
      <c r="AB166" s="407"/>
      <c r="AC166" s="407"/>
      <c r="AD166" s="407"/>
      <c r="AE166" s="407"/>
      <c r="AF166" s="407"/>
      <c r="AG166" s="407"/>
      <c r="AH166" s="407"/>
      <c r="AI166" s="407"/>
      <c r="AJ166" s="407"/>
      <c r="AK166" s="407"/>
      <c r="AL166" s="407"/>
      <c r="AM166" s="407"/>
      <c r="AN166" s="407"/>
      <c r="AO166" s="407"/>
      <c r="AP166" s="407"/>
      <c r="AQ166" s="407"/>
      <c r="AR166" s="407"/>
      <c r="AS166" s="407"/>
      <c r="AT166" s="407"/>
      <c r="AU166" s="407"/>
      <c r="AV166" s="407"/>
      <c r="AW166" s="407"/>
      <c r="AX166" s="407"/>
      <c r="AY166" s="407"/>
      <c r="AZ166" s="407"/>
      <c r="BA166" s="407"/>
      <c r="BB166" s="407"/>
      <c r="BC166" s="407"/>
      <c r="BD166" s="407"/>
      <c r="BE166" s="407"/>
      <c r="BF166" s="407"/>
      <c r="BG166" s="407"/>
    </row>
    <row r="167" ht="14.25" customHeight="1">
      <c r="A167" s="666"/>
      <c r="B167" s="666"/>
      <c r="C167" s="667" t="s">
        <v>413</v>
      </c>
      <c r="D167" s="666"/>
      <c r="E167" s="666"/>
      <c r="F167" s="666"/>
      <c r="G167" s="666"/>
      <c r="H167" s="666"/>
      <c r="I167" s="666"/>
      <c r="J167" s="666"/>
      <c r="K167" s="666"/>
      <c r="L167" s="332"/>
      <c r="M167" s="332"/>
      <c r="N167" s="332"/>
      <c r="O167" s="332"/>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332"/>
      <c r="AN167" s="332"/>
      <c r="AO167" s="332"/>
      <c r="AP167" s="332"/>
      <c r="AQ167" s="332"/>
      <c r="AR167" s="332"/>
      <c r="AS167" s="332"/>
      <c r="AT167" s="332"/>
      <c r="AU167" s="332"/>
      <c r="AV167" s="332"/>
      <c r="AW167" s="332"/>
      <c r="AX167" s="332"/>
      <c r="AY167" s="332"/>
      <c r="AZ167" s="332"/>
      <c r="BA167" s="332"/>
      <c r="BB167" s="332"/>
      <c r="BC167" s="332"/>
      <c r="BD167" s="332"/>
      <c r="BE167" s="332"/>
      <c r="BF167" s="332"/>
      <c r="BG167" s="332"/>
    </row>
    <row r="168" ht="14.25" customHeight="1">
      <c r="A168" s="408"/>
      <c r="B168" s="409"/>
      <c r="C168" s="668" t="s">
        <v>414</v>
      </c>
      <c r="D168" s="669" t="s">
        <v>415</v>
      </c>
      <c r="E168" s="27"/>
      <c r="F168" s="669" t="s">
        <v>416</v>
      </c>
      <c r="G168" s="657"/>
      <c r="H168" s="669" t="s">
        <v>417</v>
      </c>
      <c r="I168" s="657"/>
      <c r="J168" s="669" t="s">
        <v>418</v>
      </c>
      <c r="K168" s="657"/>
      <c r="L168" s="314"/>
      <c r="M168" s="314"/>
      <c r="N168" s="314"/>
      <c r="O168" s="314"/>
      <c r="P168" s="314"/>
      <c r="Q168" s="314"/>
      <c r="R168" s="314"/>
      <c r="S168" s="314"/>
      <c r="T168" s="314"/>
      <c r="U168" s="314"/>
      <c r="V168" s="314"/>
      <c r="W168" s="314"/>
      <c r="X168" s="314"/>
      <c r="Y168" s="314"/>
      <c r="Z168" s="314"/>
      <c r="AA168" s="314"/>
      <c r="AB168" s="314"/>
      <c r="AC168" s="314"/>
      <c r="AD168" s="314"/>
      <c r="AE168" s="314"/>
      <c r="AF168" s="314"/>
      <c r="AG168" s="314"/>
      <c r="AH168" s="314"/>
      <c r="AI168" s="314"/>
      <c r="AJ168" s="314"/>
      <c r="AK168" s="314"/>
      <c r="AL168" s="314"/>
      <c r="AM168" s="314"/>
      <c r="AN168" s="314"/>
      <c r="AO168" s="314"/>
      <c r="AP168" s="314"/>
      <c r="AQ168" s="314"/>
      <c r="AR168" s="314"/>
      <c r="AS168" s="314"/>
      <c r="AT168" s="314"/>
      <c r="AU168" s="314"/>
      <c r="AV168" s="314"/>
      <c r="AW168" s="314"/>
      <c r="AX168" s="314"/>
      <c r="AY168" s="314"/>
      <c r="AZ168" s="314"/>
      <c r="BA168" s="314"/>
      <c r="BB168" s="314"/>
      <c r="BC168" s="314"/>
      <c r="BD168" s="314"/>
      <c r="BE168" s="314"/>
      <c r="BF168" s="314"/>
      <c r="BG168" s="314"/>
    </row>
    <row r="169" ht="14.25" customHeight="1">
      <c r="A169" s="670"/>
      <c r="B169" s="671"/>
      <c r="C169" s="672" t="s">
        <v>419</v>
      </c>
      <c r="D169" s="673"/>
      <c r="E169" s="27"/>
      <c r="F169" s="673" t="s">
        <v>420</v>
      </c>
      <c r="G169" s="648"/>
      <c r="H169" s="674" t="s">
        <v>421</v>
      </c>
      <c r="I169" s="648"/>
      <c r="J169" s="674"/>
      <c r="K169" s="648"/>
      <c r="L169" s="332"/>
      <c r="M169" s="332"/>
      <c r="N169" s="332"/>
      <c r="O169" s="332"/>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332"/>
      <c r="AN169" s="332"/>
      <c r="AO169" s="332"/>
      <c r="AP169" s="332"/>
      <c r="AQ169" s="332"/>
      <c r="AR169" s="332"/>
      <c r="AS169" s="332"/>
      <c r="AT169" s="332"/>
      <c r="AU169" s="332"/>
      <c r="AV169" s="332"/>
      <c r="AW169" s="332"/>
      <c r="AX169" s="332"/>
      <c r="AY169" s="332"/>
      <c r="AZ169" s="332"/>
      <c r="BA169" s="332"/>
      <c r="BB169" s="332"/>
      <c r="BC169" s="332"/>
      <c r="BD169" s="332"/>
      <c r="BE169" s="332"/>
      <c r="BF169" s="332"/>
      <c r="BG169" s="332"/>
    </row>
    <row r="170" ht="14.25" customHeight="1">
      <c r="A170" s="408"/>
      <c r="B170" s="409"/>
      <c r="C170" s="672"/>
      <c r="D170" s="673"/>
      <c r="E170" s="27"/>
      <c r="F170" s="673"/>
      <c r="G170" s="657"/>
      <c r="H170" s="675"/>
      <c r="I170" s="657"/>
      <c r="J170" s="675"/>
      <c r="K170" s="657"/>
      <c r="L170" s="314"/>
      <c r="M170" s="314"/>
      <c r="N170" s="314"/>
      <c r="O170" s="314"/>
      <c r="P170" s="314"/>
      <c r="Q170" s="314"/>
      <c r="R170" s="314"/>
      <c r="S170" s="314"/>
      <c r="T170" s="314"/>
      <c r="U170" s="314"/>
      <c r="V170" s="314"/>
      <c r="W170" s="314"/>
      <c r="X170" s="314"/>
      <c r="Y170" s="314"/>
      <c r="Z170" s="314"/>
      <c r="AA170" s="314"/>
      <c r="AB170" s="314"/>
      <c r="AC170" s="314"/>
      <c r="AD170" s="314"/>
      <c r="AE170" s="314"/>
      <c r="AF170" s="314"/>
      <c r="AG170" s="314"/>
      <c r="AH170" s="314"/>
      <c r="AI170" s="314"/>
      <c r="AJ170" s="314"/>
      <c r="AK170" s="314"/>
      <c r="AL170" s="314"/>
      <c r="AM170" s="314"/>
      <c r="AN170" s="314"/>
      <c r="AO170" s="314"/>
      <c r="AP170" s="314"/>
      <c r="AQ170" s="314"/>
      <c r="AR170" s="314"/>
      <c r="AS170" s="314"/>
      <c r="AT170" s="314"/>
      <c r="AU170" s="314"/>
      <c r="AV170" s="314"/>
      <c r="AW170" s="314"/>
      <c r="AX170" s="314"/>
      <c r="AY170" s="314"/>
      <c r="AZ170" s="314"/>
      <c r="BA170" s="314"/>
      <c r="BB170" s="314"/>
      <c r="BC170" s="314"/>
      <c r="BD170" s="314"/>
      <c r="BE170" s="314"/>
      <c r="BF170" s="314"/>
      <c r="BG170" s="314"/>
    </row>
    <row r="171" ht="14.25" customHeight="1">
      <c r="A171" s="670"/>
      <c r="B171" s="671"/>
      <c r="C171" s="672"/>
      <c r="D171" s="673"/>
      <c r="E171" s="27"/>
      <c r="F171" s="673"/>
      <c r="G171" s="648"/>
      <c r="H171" s="674"/>
      <c r="I171" s="648"/>
      <c r="J171" s="674"/>
      <c r="K171" s="648"/>
      <c r="L171" s="332"/>
      <c r="M171" s="332"/>
      <c r="N171" s="332"/>
      <c r="O171" s="332"/>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332"/>
      <c r="AN171" s="332"/>
      <c r="AO171" s="332"/>
      <c r="AP171" s="332"/>
      <c r="AQ171" s="332"/>
      <c r="AR171" s="332"/>
      <c r="AS171" s="332"/>
      <c r="AT171" s="332"/>
      <c r="AU171" s="332"/>
      <c r="AV171" s="332"/>
      <c r="AW171" s="332"/>
      <c r="AX171" s="332"/>
      <c r="AY171" s="332"/>
      <c r="AZ171" s="332"/>
      <c r="BA171" s="332"/>
      <c r="BB171" s="332"/>
      <c r="BC171" s="332"/>
      <c r="BD171" s="332"/>
      <c r="BE171" s="332"/>
      <c r="BF171" s="332"/>
      <c r="BG171" s="332"/>
    </row>
    <row r="172" ht="14.25" customHeight="1">
      <c r="A172" s="408"/>
      <c r="B172" s="409"/>
      <c r="C172" s="409"/>
      <c r="D172" s="409"/>
      <c r="E172" s="409"/>
      <c r="F172" s="409"/>
      <c r="G172" s="409"/>
      <c r="H172" s="409"/>
      <c r="I172" s="409"/>
      <c r="J172" s="409"/>
      <c r="K172" s="409"/>
      <c r="L172" s="409"/>
      <c r="M172" s="409"/>
      <c r="N172" s="409"/>
      <c r="O172" s="409"/>
      <c r="P172" s="409"/>
      <c r="Q172" s="409"/>
      <c r="R172" s="409"/>
      <c r="S172" s="409"/>
      <c r="T172" s="409"/>
      <c r="U172" s="409"/>
      <c r="V172" s="409"/>
      <c r="W172" s="409"/>
      <c r="X172" s="409"/>
      <c r="Y172" s="409"/>
      <c r="Z172" s="409"/>
      <c r="AA172" s="409"/>
      <c r="AB172" s="409"/>
      <c r="AC172" s="409"/>
      <c r="AD172" s="409"/>
      <c r="AE172" s="409"/>
      <c r="AF172" s="409"/>
      <c r="AG172" s="409"/>
      <c r="AH172" s="409"/>
      <c r="AI172" s="409"/>
      <c r="AJ172" s="409"/>
      <c r="AK172" s="409"/>
      <c r="AL172" s="409"/>
      <c r="AM172" s="409"/>
      <c r="AN172" s="409"/>
      <c r="AO172" s="409"/>
      <c r="AP172" s="409"/>
      <c r="AQ172" s="409"/>
      <c r="AR172" s="409"/>
      <c r="AS172" s="409"/>
      <c r="AT172" s="409"/>
      <c r="AU172" s="409"/>
      <c r="AV172" s="409"/>
      <c r="AW172" s="409"/>
      <c r="AX172" s="409"/>
      <c r="AY172" s="409"/>
      <c r="AZ172" s="409"/>
      <c r="BA172" s="409"/>
      <c r="BB172" s="409"/>
      <c r="BC172" s="409"/>
      <c r="BD172" s="409"/>
      <c r="BE172" s="409"/>
      <c r="BF172" s="409"/>
      <c r="BG172" s="409"/>
    </row>
    <row r="173" ht="14.25" customHeight="1">
      <c r="A173" s="666"/>
      <c r="B173" s="666"/>
      <c r="C173" s="667" t="s">
        <v>422</v>
      </c>
      <c r="D173" s="666"/>
      <c r="E173" s="666"/>
      <c r="F173" s="666"/>
      <c r="G173" s="666"/>
      <c r="H173" s="666"/>
      <c r="I173" s="666"/>
      <c r="J173" s="666"/>
      <c r="K173" s="666"/>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332"/>
      <c r="AN173" s="332"/>
      <c r="AO173" s="332"/>
      <c r="AP173" s="332"/>
      <c r="AQ173" s="332"/>
      <c r="AR173" s="332"/>
      <c r="AS173" s="332"/>
      <c r="AT173" s="332"/>
      <c r="AU173" s="332"/>
      <c r="AV173" s="332"/>
      <c r="AW173" s="332"/>
      <c r="AX173" s="332"/>
      <c r="AY173" s="332"/>
      <c r="AZ173" s="332"/>
      <c r="BA173" s="332"/>
      <c r="BB173" s="332"/>
      <c r="BC173" s="332"/>
      <c r="BD173" s="332"/>
      <c r="BE173" s="332"/>
      <c r="BF173" s="332"/>
      <c r="BG173" s="332"/>
    </row>
    <row r="174" ht="47.25" customHeight="1">
      <c r="A174" s="676"/>
      <c r="B174" s="318"/>
      <c r="C174" s="677" t="s">
        <v>423</v>
      </c>
      <c r="D174" s="677" t="s">
        <v>424</v>
      </c>
      <c r="E174" s="678" t="s">
        <v>425</v>
      </c>
      <c r="F174" s="679" t="s">
        <v>426</v>
      </c>
      <c r="G174" s="657"/>
      <c r="H174" s="680" t="s">
        <v>427</v>
      </c>
      <c r="I174" s="657"/>
      <c r="J174" s="680" t="s">
        <v>428</v>
      </c>
      <c r="K174" s="657"/>
      <c r="L174" s="680" t="s">
        <v>429</v>
      </c>
      <c r="M174" s="657"/>
      <c r="N174" s="681" t="s">
        <v>430</v>
      </c>
      <c r="O174" s="682" t="s">
        <v>431</v>
      </c>
      <c r="P174" s="682" t="s">
        <v>198</v>
      </c>
      <c r="Q174" s="682" t="s">
        <v>432</v>
      </c>
      <c r="R174" s="683" t="s">
        <v>433</v>
      </c>
      <c r="S174" s="684" t="s">
        <v>434</v>
      </c>
      <c r="T174" s="685" t="s">
        <v>435</v>
      </c>
      <c r="U174" s="682" t="s">
        <v>436</v>
      </c>
      <c r="V174" s="682" t="s">
        <v>206</v>
      </c>
      <c r="W174" s="681" t="s">
        <v>437</v>
      </c>
      <c r="X174" s="682" t="s">
        <v>431</v>
      </c>
      <c r="Y174" s="682" t="s">
        <v>198</v>
      </c>
      <c r="Z174" s="682" t="s">
        <v>432</v>
      </c>
      <c r="AA174" s="682" t="s">
        <v>434</v>
      </c>
      <c r="AB174" s="683" t="s">
        <v>433</v>
      </c>
      <c r="AC174" s="682" t="s">
        <v>438</v>
      </c>
      <c r="AD174" s="682" t="s">
        <v>436</v>
      </c>
      <c r="AE174" s="682" t="s">
        <v>206</v>
      </c>
      <c r="AF174" s="686" t="s">
        <v>439</v>
      </c>
      <c r="AG174" s="682" t="s">
        <v>431</v>
      </c>
      <c r="AH174" s="682" t="s">
        <v>198</v>
      </c>
      <c r="AI174" s="682" t="s">
        <v>432</v>
      </c>
      <c r="AJ174" s="682" t="s">
        <v>434</v>
      </c>
      <c r="AK174" s="683" t="s">
        <v>433</v>
      </c>
      <c r="AL174" s="682" t="s">
        <v>438</v>
      </c>
      <c r="AM174" s="682" t="s">
        <v>436</v>
      </c>
      <c r="AN174" s="682" t="s">
        <v>206</v>
      </c>
      <c r="AO174" s="686" t="s">
        <v>440</v>
      </c>
      <c r="AP174" s="682" t="s">
        <v>431</v>
      </c>
      <c r="AQ174" s="682" t="s">
        <v>198</v>
      </c>
      <c r="AR174" s="682" t="s">
        <v>432</v>
      </c>
      <c r="AS174" s="682" t="s">
        <v>434</v>
      </c>
      <c r="AT174" s="683" t="s">
        <v>433</v>
      </c>
      <c r="AU174" s="682" t="s">
        <v>438</v>
      </c>
      <c r="AV174" s="682" t="s">
        <v>436</v>
      </c>
      <c r="AW174" s="682" t="s">
        <v>206</v>
      </c>
      <c r="AX174" s="314"/>
    </row>
    <row r="175" ht="53.25" customHeight="1">
      <c r="A175" s="687"/>
      <c r="B175" s="311"/>
      <c r="C175" s="130"/>
      <c r="D175" s="130"/>
      <c r="E175" s="688"/>
      <c r="F175" s="689"/>
      <c r="G175" s="690"/>
      <c r="H175" s="691"/>
      <c r="I175" s="690"/>
      <c r="J175" s="691"/>
      <c r="K175" s="690"/>
      <c r="L175" s="691"/>
      <c r="M175" s="690"/>
      <c r="N175" s="584"/>
      <c r="O175" s="690"/>
      <c r="P175" s="690"/>
      <c r="Q175" s="690"/>
      <c r="R175" s="690"/>
      <c r="S175" s="690"/>
      <c r="T175" s="690"/>
      <c r="U175" s="690"/>
      <c r="V175" s="690"/>
      <c r="W175" s="584"/>
      <c r="X175" s="690"/>
      <c r="Y175" s="690"/>
      <c r="Z175" s="690"/>
      <c r="AA175" s="690"/>
      <c r="AB175" s="690"/>
      <c r="AC175" s="690"/>
      <c r="AD175" s="690"/>
      <c r="AE175" s="690"/>
      <c r="AF175" s="584"/>
      <c r="AG175" s="690"/>
      <c r="AH175" s="690"/>
      <c r="AI175" s="690"/>
      <c r="AJ175" s="690"/>
      <c r="AK175" s="690"/>
      <c r="AL175" s="690"/>
      <c r="AM175" s="690"/>
      <c r="AN175" s="690"/>
      <c r="AO175" s="584"/>
      <c r="AP175" s="690"/>
      <c r="AQ175" s="690"/>
      <c r="AR175" s="690"/>
      <c r="AS175" s="690"/>
      <c r="AT175" s="690"/>
      <c r="AU175" s="690"/>
      <c r="AV175" s="690"/>
      <c r="AW175" s="690"/>
      <c r="AX175" s="332"/>
    </row>
    <row r="176" ht="67.5" customHeight="1">
      <c r="A176" s="692"/>
      <c r="B176" s="693"/>
      <c r="C176" s="694">
        <v>1.0</v>
      </c>
      <c r="D176" s="695" t="s">
        <v>441</v>
      </c>
      <c r="E176" s="696"/>
      <c r="F176" s="603"/>
      <c r="G176" s="697"/>
      <c r="H176" s="698"/>
      <c r="I176" s="603"/>
      <c r="J176" s="699"/>
      <c r="K176" s="603"/>
      <c r="L176" s="699"/>
      <c r="M176" s="603"/>
      <c r="N176" s="587"/>
      <c r="O176" s="700" t="s">
        <v>442</v>
      </c>
      <c r="P176" s="701" t="s">
        <v>443</v>
      </c>
      <c r="Q176" s="702" t="s">
        <v>444</v>
      </c>
      <c r="R176" s="702" t="s">
        <v>445</v>
      </c>
      <c r="S176" s="702" t="s">
        <v>446</v>
      </c>
      <c r="T176" s="703">
        <v>45922.0</v>
      </c>
      <c r="U176" s="703">
        <v>45963.0</v>
      </c>
      <c r="V176" s="704">
        <f>U176-T176</f>
        <v>41</v>
      </c>
      <c r="W176" s="587"/>
      <c r="X176" s="705"/>
      <c r="Y176" s="705"/>
      <c r="Z176" s="705"/>
      <c r="AA176" s="705"/>
      <c r="AB176" s="705"/>
      <c r="AC176" s="706"/>
      <c r="AD176" s="706"/>
      <c r="AE176" s="693"/>
      <c r="AF176" s="587"/>
      <c r="AG176" s="705"/>
      <c r="AH176" s="705"/>
      <c r="AI176" s="705"/>
      <c r="AJ176" s="705"/>
      <c r="AK176" s="705"/>
      <c r="AL176" s="706"/>
      <c r="AM176" s="706"/>
      <c r="AN176" s="693"/>
      <c r="AO176" s="587"/>
      <c r="AP176" s="705"/>
      <c r="AQ176" s="705"/>
      <c r="AR176" s="705"/>
      <c r="AS176" s="705"/>
      <c r="AT176" s="705"/>
      <c r="AU176" s="706"/>
      <c r="AV176" s="706"/>
      <c r="AW176" s="705"/>
      <c r="AX176" s="314"/>
      <c r="AY176" s="707"/>
      <c r="AZ176" s="707"/>
      <c r="BA176" s="707"/>
      <c r="BB176" s="707"/>
      <c r="BC176" s="707"/>
      <c r="BD176" s="707"/>
      <c r="BE176" s="707"/>
      <c r="BF176" s="707"/>
      <c r="BG176" s="707"/>
    </row>
    <row r="177" ht="14.25" customHeight="1">
      <c r="A177" s="692"/>
      <c r="B177" s="693"/>
      <c r="C177" s="708">
        <v>2.0</v>
      </c>
      <c r="D177" s="709" t="s">
        <v>447</v>
      </c>
      <c r="E177" s="710"/>
      <c r="F177" s="711"/>
      <c r="G177" s="690"/>
      <c r="H177" s="712"/>
      <c r="I177" s="690"/>
      <c r="J177" s="713"/>
      <c r="K177" s="690"/>
      <c r="L177" s="713"/>
      <c r="M177" s="690"/>
      <c r="N177" s="584"/>
      <c r="O177" s="714"/>
      <c r="P177" s="714"/>
      <c r="Q177" s="584"/>
      <c r="R177" s="584"/>
      <c r="S177" s="584"/>
      <c r="T177" s="714"/>
      <c r="U177" s="714"/>
      <c r="V177" s="714"/>
      <c r="W177" s="584"/>
      <c r="X177" s="705"/>
      <c r="Y177" s="705"/>
      <c r="Z177" s="705"/>
      <c r="AA177" s="705"/>
      <c r="AB177" s="705"/>
      <c r="AC177" s="705"/>
      <c r="AD177" s="705"/>
      <c r="AE177" s="693"/>
      <c r="AF177" s="584"/>
      <c r="AG177" s="705"/>
      <c r="AH177" s="705"/>
      <c r="AI177" s="705"/>
      <c r="AJ177" s="705"/>
      <c r="AK177" s="705"/>
      <c r="AL177" s="705"/>
      <c r="AM177" s="705"/>
      <c r="AN177" s="693"/>
      <c r="AO177" s="584"/>
      <c r="AP177" s="705"/>
      <c r="AQ177" s="705"/>
      <c r="AR177" s="705"/>
      <c r="AS177" s="705"/>
      <c r="AT177" s="705"/>
      <c r="AU177" s="705"/>
      <c r="AV177" s="705"/>
      <c r="AW177" s="705"/>
      <c r="AX177" s="332"/>
      <c r="AY177" s="715"/>
      <c r="AZ177" s="715"/>
      <c r="BA177" s="715"/>
      <c r="BB177" s="715"/>
      <c r="BC177" s="715"/>
      <c r="BD177" s="715"/>
      <c r="BE177" s="715"/>
      <c r="BF177" s="715"/>
      <c r="BG177" s="715"/>
    </row>
    <row r="178" ht="14.25" customHeight="1">
      <c r="A178" s="716"/>
      <c r="B178" s="717"/>
      <c r="C178" s="718">
        <v>3.0</v>
      </c>
      <c r="D178" s="719" t="s">
        <v>448</v>
      </c>
      <c r="E178" s="720"/>
      <c r="H178" s="698"/>
      <c r="I178" s="603"/>
      <c r="J178" s="699"/>
      <c r="K178" s="603"/>
      <c r="L178" s="699"/>
      <c r="M178" s="603"/>
      <c r="N178" s="603"/>
      <c r="O178" s="721"/>
      <c r="P178" s="721"/>
      <c r="Q178" s="603"/>
      <c r="R178" s="603"/>
      <c r="S178" s="603"/>
      <c r="T178" s="721"/>
      <c r="U178" s="721"/>
      <c r="V178" s="721"/>
      <c r="W178" s="603"/>
      <c r="X178" s="722"/>
      <c r="Y178" s="722"/>
      <c r="Z178" s="722"/>
      <c r="AA178" s="722"/>
      <c r="AB178" s="722"/>
      <c r="AC178" s="722"/>
      <c r="AD178" s="722"/>
      <c r="AE178" s="717"/>
      <c r="AF178" s="603"/>
      <c r="AG178" s="722"/>
      <c r="AH178" s="722"/>
      <c r="AI178" s="722"/>
      <c r="AJ178" s="722"/>
      <c r="AK178" s="722"/>
      <c r="AL178" s="722"/>
      <c r="AM178" s="722"/>
      <c r="AN178" s="717"/>
      <c r="AO178" s="603"/>
      <c r="AP178" s="722"/>
      <c r="AQ178" s="722"/>
      <c r="AR178" s="722"/>
      <c r="AS178" s="722"/>
      <c r="AT178" s="722"/>
      <c r="AU178" s="722"/>
      <c r="AV178" s="722"/>
      <c r="AW178" s="722"/>
      <c r="AX178" s="314"/>
      <c r="AY178" s="707"/>
      <c r="AZ178" s="707"/>
      <c r="BA178" s="707"/>
      <c r="BB178" s="707"/>
      <c r="BC178" s="707"/>
      <c r="BD178" s="707"/>
      <c r="BE178" s="707"/>
      <c r="BF178" s="707"/>
      <c r="BG178" s="707"/>
    </row>
    <row r="179" ht="14.25" customHeight="1">
      <c r="A179" s="435"/>
      <c r="B179" s="436"/>
      <c r="C179" s="723"/>
      <c r="D179" s="724"/>
      <c r="E179" s="724"/>
      <c r="F179" s="725"/>
      <c r="G179" s="726"/>
      <c r="H179" s="727"/>
      <c r="I179" s="727"/>
      <c r="J179" s="332"/>
      <c r="K179" s="332"/>
      <c r="L179" s="332"/>
      <c r="M179" s="332"/>
      <c r="N179" s="728"/>
      <c r="O179" s="567"/>
      <c r="P179" s="567"/>
      <c r="Q179" s="567"/>
      <c r="R179" s="567"/>
      <c r="S179" s="729"/>
      <c r="T179" s="567"/>
      <c r="U179" s="567"/>
      <c r="V179" s="567"/>
      <c r="W179" s="728"/>
      <c r="X179" s="567"/>
      <c r="Y179" s="567"/>
      <c r="Z179" s="567"/>
      <c r="AA179" s="567"/>
      <c r="AB179" s="567"/>
      <c r="AC179" s="567"/>
      <c r="AD179" s="567"/>
      <c r="AE179" s="567"/>
      <c r="AF179" s="730"/>
      <c r="AG179" s="567"/>
      <c r="AH179" s="567"/>
      <c r="AI179" s="567"/>
      <c r="AJ179" s="567"/>
      <c r="AK179" s="567"/>
      <c r="AL179" s="567"/>
      <c r="AM179" s="567"/>
      <c r="AN179" s="567"/>
      <c r="AO179" s="730"/>
      <c r="AP179" s="567"/>
      <c r="AQ179" s="567"/>
      <c r="AR179" s="567"/>
      <c r="AS179" s="567"/>
      <c r="AT179" s="567"/>
      <c r="AU179" s="567"/>
      <c r="AV179" s="567"/>
      <c r="AW179" s="567"/>
      <c r="AX179" s="332"/>
    </row>
    <row r="180" ht="14.25" customHeight="1">
      <c r="A180" s="435"/>
      <c r="B180" s="436"/>
      <c r="C180" s="723"/>
      <c r="D180" s="724"/>
      <c r="E180" s="724"/>
      <c r="F180" s="725"/>
      <c r="G180" s="731"/>
      <c r="H180" s="732"/>
      <c r="I180" s="732"/>
      <c r="J180" s="314"/>
      <c r="K180" s="314"/>
      <c r="L180" s="314"/>
      <c r="M180" s="314"/>
      <c r="N180" s="728"/>
      <c r="O180" s="567"/>
      <c r="P180" s="567"/>
      <c r="Q180" s="567"/>
      <c r="R180" s="567"/>
      <c r="S180" s="729"/>
      <c r="T180" s="567"/>
      <c r="U180" s="567"/>
      <c r="V180" s="567"/>
      <c r="W180" s="728"/>
      <c r="X180" s="567"/>
      <c r="Y180" s="567"/>
      <c r="Z180" s="567"/>
      <c r="AA180" s="567"/>
      <c r="AB180" s="567"/>
      <c r="AC180" s="567"/>
      <c r="AD180" s="567"/>
      <c r="AE180" s="567"/>
      <c r="AF180" s="730"/>
      <c r="AG180" s="567"/>
      <c r="AH180" s="567"/>
      <c r="AI180" s="567"/>
      <c r="AJ180" s="567"/>
      <c r="AK180" s="567"/>
      <c r="AL180" s="567"/>
      <c r="AM180" s="567"/>
      <c r="AN180" s="567"/>
      <c r="AO180" s="730"/>
      <c r="AP180" s="567"/>
      <c r="AQ180" s="567"/>
      <c r="AR180" s="567"/>
      <c r="AS180" s="567"/>
      <c r="AT180" s="567"/>
      <c r="AU180" s="567"/>
      <c r="AV180" s="567"/>
      <c r="AW180" s="567"/>
      <c r="AX180" s="314"/>
    </row>
  </sheetData>
  <mergeCells count="232">
    <mergeCell ref="F21:L21"/>
    <mergeCell ref="G22:L22"/>
    <mergeCell ref="G23:L23"/>
    <mergeCell ref="C15:E15"/>
    <mergeCell ref="C16:E16"/>
    <mergeCell ref="C17:E17"/>
    <mergeCell ref="C18:E18"/>
    <mergeCell ref="C19:E19"/>
    <mergeCell ref="F19:L19"/>
    <mergeCell ref="F20:L20"/>
    <mergeCell ref="C20:E20"/>
    <mergeCell ref="C21:E21"/>
    <mergeCell ref="C22:E22"/>
    <mergeCell ref="C23:E23"/>
    <mergeCell ref="C24:E24"/>
    <mergeCell ref="C25:E25"/>
    <mergeCell ref="C26:E26"/>
    <mergeCell ref="G37:BD37"/>
    <mergeCell ref="G38:BD38"/>
    <mergeCell ref="G39:BD39"/>
    <mergeCell ref="G40:BD40"/>
    <mergeCell ref="G41:BD41"/>
    <mergeCell ref="C27:E27"/>
    <mergeCell ref="C28:E28"/>
    <mergeCell ref="C29:E29"/>
    <mergeCell ref="G29:AZ29"/>
    <mergeCell ref="G30:AZ30"/>
    <mergeCell ref="G31:AZ31"/>
    <mergeCell ref="G33:AZ33"/>
    <mergeCell ref="C30:E30"/>
    <mergeCell ref="C31:E31"/>
    <mergeCell ref="C32:E32"/>
    <mergeCell ref="F34:L34"/>
    <mergeCell ref="C37:E37"/>
    <mergeCell ref="C38:E38"/>
    <mergeCell ref="C39:E39"/>
    <mergeCell ref="C40:E40"/>
    <mergeCell ref="C41:E41"/>
    <mergeCell ref="G42:M42"/>
    <mergeCell ref="C44:E44"/>
    <mergeCell ref="C45:E45"/>
    <mergeCell ref="C49:E49"/>
    <mergeCell ref="C50:E50"/>
    <mergeCell ref="E105:G105"/>
    <mergeCell ref="C108:BE108"/>
    <mergeCell ref="C111:BE111"/>
    <mergeCell ref="E113:BF113"/>
    <mergeCell ref="C125:BF125"/>
    <mergeCell ref="E133:BE133"/>
    <mergeCell ref="C135:BD135"/>
    <mergeCell ref="F136:J136"/>
    <mergeCell ref="C137:D137"/>
    <mergeCell ref="E137:E139"/>
    <mergeCell ref="F137:M137"/>
    <mergeCell ref="C138:D138"/>
    <mergeCell ref="F138:M138"/>
    <mergeCell ref="C139:D139"/>
    <mergeCell ref="C51:E51"/>
    <mergeCell ref="C52:E52"/>
    <mergeCell ref="C53:E53"/>
    <mergeCell ref="C54:E54"/>
    <mergeCell ref="C55:E55"/>
    <mergeCell ref="C56:E56"/>
    <mergeCell ref="C57:E57"/>
    <mergeCell ref="C58:E58"/>
    <mergeCell ref="C59:E59"/>
    <mergeCell ref="C60:E60"/>
    <mergeCell ref="C61:E61"/>
    <mergeCell ref="C66:G66"/>
    <mergeCell ref="C67:G67"/>
    <mergeCell ref="C68:G68"/>
    <mergeCell ref="C69:G69"/>
    <mergeCell ref="C70:G70"/>
    <mergeCell ref="C71:G71"/>
    <mergeCell ref="C72:G72"/>
    <mergeCell ref="C74:G74"/>
    <mergeCell ref="C75:G75"/>
    <mergeCell ref="C76:G76"/>
    <mergeCell ref="C77:G77"/>
    <mergeCell ref="C78:G78"/>
    <mergeCell ref="C79:G79"/>
    <mergeCell ref="C80:G80"/>
    <mergeCell ref="C82:E82"/>
    <mergeCell ref="C83:G83"/>
    <mergeCell ref="C85:G85"/>
    <mergeCell ref="C86:G86"/>
    <mergeCell ref="C87:G87"/>
    <mergeCell ref="C88:G88"/>
    <mergeCell ref="C89:G89"/>
    <mergeCell ref="C91:G91"/>
    <mergeCell ref="C92:G92"/>
    <mergeCell ref="C93:G93"/>
    <mergeCell ref="C94:G94"/>
    <mergeCell ref="C95:G95"/>
    <mergeCell ref="C97:G97"/>
    <mergeCell ref="C98:E98"/>
    <mergeCell ref="C100:G100"/>
    <mergeCell ref="C101:D101"/>
    <mergeCell ref="E101:G101"/>
    <mergeCell ref="F139:M139"/>
    <mergeCell ref="BD161:BF161"/>
    <mergeCell ref="BD162:BF162"/>
    <mergeCell ref="BD163:BF163"/>
    <mergeCell ref="C105:D105"/>
    <mergeCell ref="C112:D112"/>
    <mergeCell ref="C102:D102"/>
    <mergeCell ref="E102:G102"/>
    <mergeCell ref="C103:D103"/>
    <mergeCell ref="E103:G103"/>
    <mergeCell ref="C104:D104"/>
    <mergeCell ref="E104:G104"/>
    <mergeCell ref="C109:G109"/>
    <mergeCell ref="E112:F112"/>
    <mergeCell ref="G112:H112"/>
    <mergeCell ref="C118:G118"/>
    <mergeCell ref="C119:G119"/>
    <mergeCell ref="C120:G120"/>
    <mergeCell ref="C121:G121"/>
    <mergeCell ref="C122:G122"/>
    <mergeCell ref="O132:P132"/>
    <mergeCell ref="Q132:R132"/>
    <mergeCell ref="S132:T132"/>
    <mergeCell ref="U132:V132"/>
    <mergeCell ref="W132:X132"/>
    <mergeCell ref="C131:D131"/>
    <mergeCell ref="C132:D132"/>
    <mergeCell ref="E132:F132"/>
    <mergeCell ref="G132:H132"/>
    <mergeCell ref="I132:J132"/>
    <mergeCell ref="K132:L132"/>
    <mergeCell ref="M132:N132"/>
    <mergeCell ref="C133:D133"/>
    <mergeCell ref="C126:D126"/>
    <mergeCell ref="C127:D127"/>
    <mergeCell ref="C128:D128"/>
    <mergeCell ref="C129:D129"/>
    <mergeCell ref="C130:D130"/>
    <mergeCell ref="G130:H130"/>
    <mergeCell ref="E131:F131"/>
    <mergeCell ref="A140:B140"/>
    <mergeCell ref="C140:D140"/>
    <mergeCell ref="E140:E142"/>
    <mergeCell ref="F140:M140"/>
    <mergeCell ref="C141:D141"/>
    <mergeCell ref="F141:M141"/>
    <mergeCell ref="C142:D142"/>
    <mergeCell ref="AE174:AE175"/>
    <mergeCell ref="AG174:AG175"/>
    <mergeCell ref="AH174:AH175"/>
    <mergeCell ref="AI174:AI175"/>
    <mergeCell ref="AJ174:AJ175"/>
    <mergeCell ref="AK174:AK175"/>
    <mergeCell ref="AL174:AL175"/>
    <mergeCell ref="AT174:AT175"/>
    <mergeCell ref="AU174:AU175"/>
    <mergeCell ref="AV174:AV175"/>
    <mergeCell ref="AW174:AW175"/>
    <mergeCell ref="AM174:AM175"/>
    <mergeCell ref="AN174:AN175"/>
    <mergeCell ref="AO174:AO178"/>
    <mergeCell ref="AP174:AP175"/>
    <mergeCell ref="AQ174:AQ175"/>
    <mergeCell ref="AR174:AR175"/>
    <mergeCell ref="AS174:AS175"/>
    <mergeCell ref="H175:I175"/>
    <mergeCell ref="J175:K175"/>
    <mergeCell ref="H174:I174"/>
    <mergeCell ref="H176:I176"/>
    <mergeCell ref="H177:I177"/>
    <mergeCell ref="H178:I178"/>
    <mergeCell ref="J176:K176"/>
    <mergeCell ref="L176:M176"/>
    <mergeCell ref="J177:K177"/>
    <mergeCell ref="L177:M177"/>
    <mergeCell ref="J178:K178"/>
    <mergeCell ref="L178:M178"/>
    <mergeCell ref="O176:O178"/>
    <mergeCell ref="P176:P178"/>
    <mergeCell ref="F174:G174"/>
    <mergeCell ref="F177:G177"/>
    <mergeCell ref="L174:M174"/>
    <mergeCell ref="N174:N178"/>
    <mergeCell ref="O174:O175"/>
    <mergeCell ref="P174:P175"/>
    <mergeCell ref="Q174:Q175"/>
    <mergeCell ref="L175:M175"/>
    <mergeCell ref="Q176:Q178"/>
    <mergeCell ref="T176:T178"/>
    <mergeCell ref="U176:U178"/>
    <mergeCell ref="R174:R175"/>
    <mergeCell ref="S174:S175"/>
    <mergeCell ref="T174:T175"/>
    <mergeCell ref="U174:U175"/>
    <mergeCell ref="V174:V175"/>
    <mergeCell ref="W174:W178"/>
    <mergeCell ref="X174:X175"/>
    <mergeCell ref="V176:V178"/>
    <mergeCell ref="H168:I168"/>
    <mergeCell ref="J168:K168"/>
    <mergeCell ref="F142:M142"/>
    <mergeCell ref="F143:H143"/>
    <mergeCell ref="F144:J144"/>
    <mergeCell ref="F146:H146"/>
    <mergeCell ref="H161:L161"/>
    <mergeCell ref="D168:E168"/>
    <mergeCell ref="F168:G168"/>
    <mergeCell ref="D169:E169"/>
    <mergeCell ref="F169:G169"/>
    <mergeCell ref="H169:I169"/>
    <mergeCell ref="J169:K169"/>
    <mergeCell ref="F170:G170"/>
    <mergeCell ref="H170:I170"/>
    <mergeCell ref="J170:K170"/>
    <mergeCell ref="Y174:Y175"/>
    <mergeCell ref="Z174:Z175"/>
    <mergeCell ref="AA174:AA175"/>
    <mergeCell ref="AB174:AB175"/>
    <mergeCell ref="AC174:AC175"/>
    <mergeCell ref="AD174:AD175"/>
    <mergeCell ref="AF174:AF178"/>
    <mergeCell ref="D174:D175"/>
    <mergeCell ref="F175:G175"/>
    <mergeCell ref="E176:F176"/>
    <mergeCell ref="D170:E170"/>
    <mergeCell ref="D171:E171"/>
    <mergeCell ref="F171:G171"/>
    <mergeCell ref="H171:I171"/>
    <mergeCell ref="J171:K171"/>
    <mergeCell ref="C174:C175"/>
    <mergeCell ref="J174:K174"/>
    <mergeCell ref="R176:R178"/>
    <mergeCell ref="S176:S178"/>
  </mergeCells>
  <conditionalFormatting sqref="A1:A2">
    <cfRule type="notContainsBlanks" dxfId="0" priority="1">
      <formula>LEN(TRIM(A1))&gt;0</formula>
    </cfRule>
  </conditionalFormatting>
  <conditionalFormatting sqref="F17">
    <cfRule type="expression" dxfId="8" priority="2" operator="notContains">
      <formula>ISERROR(SEARCH((G17),(F17)))</formula>
    </cfRule>
  </conditionalFormatting>
  <conditionalFormatting sqref="H58">
    <cfRule type="expression" dxfId="8" priority="3" operator="notContains">
      <formula>ISERROR(SEARCH((BD58),(H58)))</formula>
    </cfRule>
  </conditionalFormatting>
  <conditionalFormatting sqref="H59">
    <cfRule type="expression" dxfId="8" priority="4" operator="notContains">
      <formula>ISERROR(SEARCH((BD59),(H59)))</formula>
    </cfRule>
  </conditionalFormatting>
  <conditionalFormatting sqref="H60">
    <cfRule type="expression" dxfId="8" priority="5" operator="notContains">
      <formula>ISERROR(SEARCH((BD60),(H60)))</formula>
    </cfRule>
  </conditionalFormatting>
  <conditionalFormatting sqref="H61">
    <cfRule type="expression" dxfId="8" priority="6" operator="notContains">
      <formula>ISERROR(SEARCH((BD61),(H61)))</formula>
    </cfRule>
  </conditionalFormatting>
  <conditionalFormatting sqref="I58">
    <cfRule type="expression" dxfId="8" priority="7" operator="notContains">
      <formula>ISERROR(SEARCH((BE58),(I58)))</formula>
    </cfRule>
  </conditionalFormatting>
  <conditionalFormatting sqref="I59">
    <cfRule type="expression" dxfId="8" priority="8" operator="notContains">
      <formula>ISERROR(SEARCH((BE59),(I59)))</formula>
    </cfRule>
  </conditionalFormatting>
  <conditionalFormatting sqref="I60">
    <cfRule type="expression" dxfId="8" priority="9" operator="notContains">
      <formula>ISERROR(SEARCH((BE60),(I60)))</formula>
    </cfRule>
  </conditionalFormatting>
  <conditionalFormatting sqref="I61">
    <cfRule type="expression" dxfId="0" priority="10" operator="notContains">
      <formula>ISERROR(SEARCH((BE61),(I61)))</formula>
    </cfRule>
  </conditionalFormatting>
  <conditionalFormatting sqref="J58">
    <cfRule type="expression" dxfId="8" priority="11" operator="notContains">
      <formula>ISERROR(SEARCH((BF58),(J58)))</formula>
    </cfRule>
  </conditionalFormatting>
  <conditionalFormatting sqref="J59">
    <cfRule type="expression" dxfId="8" priority="12" operator="notContains">
      <formula>ISERROR(SEARCH((BF59),(J59)))</formula>
    </cfRule>
  </conditionalFormatting>
  <conditionalFormatting sqref="J60">
    <cfRule type="expression" dxfId="8" priority="13" operator="notContains">
      <formula>ISERROR(SEARCH((BF60),(J60)))</formula>
    </cfRule>
  </conditionalFormatting>
  <conditionalFormatting sqref="J61">
    <cfRule type="expression" dxfId="8" priority="14" operator="notContains">
      <formula>ISERROR(SEARCH((BF61),(J61)))</formula>
    </cfRule>
  </conditionalFormatting>
  <conditionalFormatting sqref="K58">
    <cfRule type="expression" dxfId="8" priority="15" operator="notContains">
      <formula>ISERROR(SEARCH((BG58),(K58)))</formula>
    </cfRule>
  </conditionalFormatting>
  <conditionalFormatting sqref="K59">
    <cfRule type="expression" dxfId="8" priority="16" operator="notContains">
      <formula>ISERROR(SEARCH((BG59),(K59)))</formula>
    </cfRule>
  </conditionalFormatting>
  <conditionalFormatting sqref="K60">
    <cfRule type="expression" dxfId="8" priority="17" operator="notContains">
      <formula>ISERROR(SEARCH((BG60),(K60)))</formula>
    </cfRule>
  </conditionalFormatting>
  <conditionalFormatting sqref="K61">
    <cfRule type="expression" dxfId="9" priority="18" operator="notContains">
      <formula>ISERROR(SEARCH((BG61),(K61)))</formula>
    </cfRule>
  </conditionalFormatting>
  <conditionalFormatting sqref="H66:I66">
    <cfRule type="expression" dxfId="8" priority="19" operator="notContains">
      <formula>ISERROR(SEARCH((BD66),(H66)))</formula>
    </cfRule>
  </conditionalFormatting>
  <conditionalFormatting sqref="H67:I67">
    <cfRule type="expression" dxfId="8" priority="20" operator="notContains">
      <formula>ISERROR(SEARCH((BD67),(H67)))</formula>
    </cfRule>
  </conditionalFormatting>
  <conditionalFormatting sqref="H68:I68">
    <cfRule type="expression" dxfId="8" priority="21" operator="notContains">
      <formula>ISERROR(SEARCH((BD68),(H68)))</formula>
    </cfRule>
  </conditionalFormatting>
  <conditionalFormatting sqref="H69">
    <cfRule type="expression" dxfId="8" priority="22" operator="notContains">
      <formula>ISERROR(SEARCH((BD69),(H69)))</formula>
    </cfRule>
  </conditionalFormatting>
  <conditionalFormatting sqref="H70 H87:L87">
    <cfRule type="expression" dxfId="8" priority="23" operator="notContains">
      <formula>ISERROR(SEARCH((BD70),(H70)))</formula>
    </cfRule>
  </conditionalFormatting>
  <conditionalFormatting sqref="H74">
    <cfRule type="expression" dxfId="8" priority="24" operator="notContains">
      <formula>ISERROR(SEARCH((BD74),(H74)))</formula>
    </cfRule>
  </conditionalFormatting>
  <conditionalFormatting sqref="H74:H75 I75">
    <cfRule type="expression" dxfId="8" priority="25" operator="notContains">
      <formula>ISERROR(SEARCH((BD74),(H74)))</formula>
    </cfRule>
  </conditionalFormatting>
  <conditionalFormatting sqref="H76">
    <cfRule type="expression" dxfId="8" priority="26" operator="notContains">
      <formula>ISERROR(SEARCH((BD76),(H76)))</formula>
    </cfRule>
  </conditionalFormatting>
  <conditionalFormatting sqref="H77">
    <cfRule type="expression" dxfId="8" priority="27" operator="notContains">
      <formula>ISERROR(SEARCH((BD77),(H77)))</formula>
    </cfRule>
  </conditionalFormatting>
  <conditionalFormatting sqref="H78">
    <cfRule type="expression" dxfId="8" priority="28" operator="notContains">
      <formula>ISERROR(SEARCH((BD78),(H78)))</formula>
    </cfRule>
  </conditionalFormatting>
  <conditionalFormatting sqref="H79">
    <cfRule type="expression" dxfId="8" priority="29" operator="notContains">
      <formula>ISERROR(SEARCH((BD79),(H79)))</formula>
    </cfRule>
  </conditionalFormatting>
  <conditionalFormatting sqref="I66">
    <cfRule type="expression" dxfId="8" priority="30" operator="notContains">
      <formula>ISERROR(SEARCH((BE66),(I66)))</formula>
    </cfRule>
  </conditionalFormatting>
  <conditionalFormatting sqref="I67">
    <cfRule type="expression" dxfId="8" priority="31" operator="notContains">
      <formula>ISERROR(SEARCH((BE67),(I67)))</formula>
    </cfRule>
  </conditionalFormatting>
  <conditionalFormatting sqref="I68">
    <cfRule type="expression" dxfId="8" priority="32" operator="notContains">
      <formula>ISERROR(SEARCH((BE68),(I68)))</formula>
    </cfRule>
  </conditionalFormatting>
  <conditionalFormatting sqref="I69">
    <cfRule type="expression" dxfId="8" priority="33" operator="notContains">
      <formula>ISERROR(SEARCH((BE69),(I69)))</formula>
    </cfRule>
  </conditionalFormatting>
  <conditionalFormatting sqref="I70">
    <cfRule type="expression" dxfId="0" priority="34" operator="notContains">
      <formula>ISERROR(SEARCH((BE70),(I70)))</formula>
    </cfRule>
  </conditionalFormatting>
  <conditionalFormatting sqref="I74">
    <cfRule type="expression" dxfId="8" priority="35" operator="notContains">
      <formula>ISERROR(SEARCH((BE74),(I74)))</formula>
    </cfRule>
  </conditionalFormatting>
  <conditionalFormatting sqref="I75">
    <cfRule type="expression" dxfId="8" priority="36" operator="notContains">
      <formula>ISERROR(SEARCH((BE75),(I75)))</formula>
    </cfRule>
  </conditionalFormatting>
  <conditionalFormatting sqref="I76">
    <cfRule type="expression" dxfId="8" priority="37" operator="notContains">
      <formula>ISERROR(SEARCH((BE76),(I76)))</formula>
    </cfRule>
  </conditionalFormatting>
  <conditionalFormatting sqref="I77">
    <cfRule type="expression" dxfId="8" priority="38" operator="notContains">
      <formula>ISERROR(SEARCH((BE77),(I77)))</formula>
    </cfRule>
  </conditionalFormatting>
  <conditionalFormatting sqref="I78">
    <cfRule type="expression" dxfId="8" priority="39" operator="notContains">
      <formula>ISERROR(SEARCH((BE78),(I78)))</formula>
    </cfRule>
  </conditionalFormatting>
  <conditionalFormatting sqref="I79">
    <cfRule type="expression" dxfId="8" priority="40" operator="notContains">
      <formula>ISERROR(SEARCH((BE79),(I79)))</formula>
    </cfRule>
  </conditionalFormatting>
  <conditionalFormatting sqref="I66:J66">
    <cfRule type="expression" dxfId="8" priority="41" operator="notContains">
      <formula>ISERROR(SEARCH((BE66),(I66)))</formula>
    </cfRule>
  </conditionalFormatting>
  <conditionalFormatting sqref="I67:J67">
    <cfRule type="expression" dxfId="8" priority="42" operator="notContains">
      <formula>ISERROR(SEARCH((BE67),(I67)))</formula>
    </cfRule>
  </conditionalFormatting>
  <conditionalFormatting sqref="I68 J68:J70">
    <cfRule type="expression" dxfId="8" priority="43" operator="notContains">
      <formula>ISERROR(SEARCH((BE68),(I68)))</formula>
    </cfRule>
  </conditionalFormatting>
  <conditionalFormatting sqref="J69">
    <cfRule type="expression" dxfId="8" priority="44" operator="notContains">
      <formula>ISERROR(SEARCH((BF69),(J69)))</formula>
    </cfRule>
  </conditionalFormatting>
  <conditionalFormatting sqref="J70">
    <cfRule type="expression" dxfId="8" priority="45" operator="notContains">
      <formula>ISERROR(SEARCH((BF70),(J70)))</formula>
    </cfRule>
  </conditionalFormatting>
  <conditionalFormatting sqref="J74">
    <cfRule type="expression" dxfId="8" priority="46" operator="notContains">
      <formula>ISERROR(SEARCH((BF74),(J74)))</formula>
    </cfRule>
  </conditionalFormatting>
  <conditionalFormatting sqref="J75">
    <cfRule type="expression" dxfId="8" priority="47" operator="notContains">
      <formula>ISERROR(SEARCH((BF75),(J75)))</formula>
    </cfRule>
  </conditionalFormatting>
  <conditionalFormatting sqref="J76">
    <cfRule type="expression" dxfId="8" priority="48" operator="notContains">
      <formula>ISERROR(SEARCH((BF76),(J76)))</formula>
    </cfRule>
  </conditionalFormatting>
  <conditionalFormatting sqref="J77">
    <cfRule type="expression" dxfId="8" priority="49" operator="notContains">
      <formula>ISERROR(SEARCH((BF77),(J77)))</formula>
    </cfRule>
  </conditionalFormatting>
  <conditionalFormatting sqref="J78">
    <cfRule type="expression" dxfId="8" priority="50" operator="notContains">
      <formula>ISERROR(SEARCH((BF78),(J78)))</formula>
    </cfRule>
  </conditionalFormatting>
  <conditionalFormatting sqref="J79">
    <cfRule type="expression" dxfId="8" priority="51" operator="notContains">
      <formula>ISERROR(SEARCH((BF79),(J79)))</formula>
    </cfRule>
  </conditionalFormatting>
  <conditionalFormatting sqref="K66">
    <cfRule type="expression" dxfId="8" priority="52" operator="notContains">
      <formula>ISERROR(SEARCH((BG66),(K66)))</formula>
    </cfRule>
  </conditionalFormatting>
  <conditionalFormatting sqref="K67">
    <cfRule type="expression" dxfId="8" priority="53" operator="notContains">
      <formula>ISERROR(SEARCH((BG67),(K67)))</formula>
    </cfRule>
  </conditionalFormatting>
  <conditionalFormatting sqref="K68">
    <cfRule type="expression" dxfId="8" priority="54" operator="notContains">
      <formula>ISERROR(SEARCH((BG68),(K68)))</formula>
    </cfRule>
  </conditionalFormatting>
  <conditionalFormatting sqref="K69">
    <cfRule type="expression" dxfId="8" priority="55" operator="notContains">
      <formula>ISERROR(SEARCH((BG69),(K69)))</formula>
    </cfRule>
  </conditionalFormatting>
  <conditionalFormatting sqref="K70">
    <cfRule type="expression" dxfId="8" priority="56" operator="notContains">
      <formula>ISERROR(SEARCH((BG70),(K70)))</formula>
    </cfRule>
  </conditionalFormatting>
  <conditionalFormatting sqref="K74">
    <cfRule type="expression" dxfId="8" priority="57" operator="notContains">
      <formula>ISERROR(SEARCH((BG74),(K74)))</formula>
    </cfRule>
  </conditionalFormatting>
  <conditionalFormatting sqref="K75">
    <cfRule type="expression" dxfId="8" priority="58" operator="notContains">
      <formula>ISERROR(SEARCH((BG75),(K75)))</formula>
    </cfRule>
  </conditionalFormatting>
  <conditionalFormatting sqref="K76">
    <cfRule type="expression" dxfId="8" priority="59" operator="notContains">
      <formula>ISERROR(SEARCH((BG76),(K76)))</formula>
    </cfRule>
  </conditionalFormatting>
  <conditionalFormatting sqref="K77">
    <cfRule type="expression" dxfId="8" priority="60" operator="notContains">
      <formula>ISERROR(SEARCH((BG77),(K77)))</formula>
    </cfRule>
  </conditionalFormatting>
  <conditionalFormatting sqref="K78 K80">
    <cfRule type="expression" dxfId="8" priority="61" operator="notContains">
      <formula>ISERROR(SEARCH((BG78),(K78)))</formula>
    </cfRule>
  </conditionalFormatting>
  <conditionalFormatting sqref="K79 K81">
    <cfRule type="expression" dxfId="8" priority="62" operator="notContains">
      <formula>ISERROR(SEARCH((BG79),(K79)))</formula>
    </cfRule>
  </conditionalFormatting>
  <dataValidations>
    <dataValidation type="list" allowBlank="1" sqref="F26">
      <formula1>meta!$N$2:$N180</formula1>
    </dataValidation>
    <dataValidation type="list" allowBlank="1" sqref="H50:BG56 H58:BG61">
      <formula1>meta!$J$2:$J180</formula1>
    </dataValidation>
    <dataValidation type="list" allowBlank="1" sqref="F162:F164">
      <formula1>meta!$G$1:$G$3</formula1>
    </dataValidation>
    <dataValidation type="list" allowBlank="1" sqref="H48:BG48 E162:E164">
      <formula1>meta!$F$2:$F180</formula1>
    </dataValidation>
    <dataValidation type="list" allowBlank="1" sqref="C50:C56">
      <formula1>meta!$K$2:$K180</formula1>
    </dataValidation>
    <dataValidation type="list" allowBlank="1" sqref="F17">
      <formula1>meta!$C$2:$C$1001</formula1>
    </dataValidation>
    <dataValidation type="list" allowBlank="1" sqref="F25">
      <formula1>meta!$M$2:$M180</formula1>
    </dataValidation>
    <dataValidation type="custom" allowBlank="1" showDropDown="1" showInputMessage="1" showErrorMessage="1" prompt="The offer length days must be within the Campaign Start and End Date" sqref="F28">
      <formula1>F28&lt;=F23-F22=TRUE</formula1>
    </dataValidation>
    <dataValidation type="list" allowBlank="1" sqref="C162:C164">
      <formula1>meta!$I$2:$I180</formula1>
    </dataValidation>
    <dataValidation type="custom" allowBlank="1" showDropDown="1" sqref="F22 E150:E158 D162:D163">
      <formula1>OR(NOT(ISERROR(DATEVALUE(D22))), AND(ISNUMBER(D22), LEFT(CELL("format", D22))="D"))</formula1>
    </dataValidation>
    <dataValidation type="custom" allowBlank="1" showDropDown="1" showInputMessage="1" showErrorMessage="1" prompt="Campaign End Date is before Campaign Start Date" sqref="F23">
      <formula1>F23&gt;=F22=True</formula1>
    </dataValidation>
    <dataValidation type="decimal" operator="greaterThan" allowBlank="1" showDropDown="1" sqref="F27">
      <formula1>0.0</formula1>
    </dataValidation>
    <dataValidation type="list" allowBlank="1" sqref="C58:C61">
      <formula1>meta!$L$2:$L180</formula1>
    </dataValidation>
    <dataValidation type="list" allowBlank="1" sqref="G162:G164">
      <formula1>meta!$H$2:$H180</formula1>
    </dataValidation>
  </dataValidations>
  <hyperlinks>
    <hyperlink r:id="rId1" ref="C120"/>
  </hyperlinks>
  <printOptions/>
  <pageMargins bottom="0.3937007874015748" footer="0.0" header="0.0" left="0.3937007874015748" right="0.3937007874015748" top="0.3937007874015748"/>
  <pageSetup fitToWidth="0" paperSize="9" orientation="portrait"/>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4.86"/>
    <col customWidth="1" min="2" max="2" width="3.14"/>
    <col customWidth="1" min="3" max="3" width="33.57"/>
    <col customWidth="1" min="4" max="4" width="33.14"/>
    <col customWidth="1" min="5" max="5" width="20.86"/>
    <col customWidth="1" min="6" max="6" width="10.43"/>
    <col customWidth="1" min="7" max="7" width="39.14"/>
    <col customWidth="1" min="8" max="8" width="16.71"/>
    <col customWidth="1" min="9" max="17" width="16.57"/>
  </cols>
  <sheetData>
    <row r="1" ht="14.25" customHeight="1">
      <c r="A1" s="290"/>
      <c r="B1" s="291"/>
      <c r="C1" s="292"/>
      <c r="D1" s="293"/>
      <c r="E1" s="293"/>
      <c r="F1" s="293"/>
      <c r="G1" s="406"/>
      <c r="H1" s="407"/>
      <c r="I1" s="407"/>
      <c r="J1" s="407"/>
      <c r="K1" s="407"/>
      <c r="L1" s="407"/>
      <c r="M1" s="407"/>
      <c r="N1" s="407"/>
      <c r="O1" s="407"/>
      <c r="P1" s="407"/>
      <c r="Q1" s="407"/>
    </row>
    <row r="2" ht="14.25" customHeight="1">
      <c r="A2" s="408"/>
      <c r="B2" s="409"/>
      <c r="C2" s="409"/>
      <c r="D2" s="409"/>
      <c r="E2" s="409"/>
      <c r="F2" s="409"/>
      <c r="G2" s="409"/>
      <c r="H2" s="409"/>
      <c r="I2" s="409"/>
      <c r="J2" s="409"/>
      <c r="K2" s="409"/>
      <c r="L2" s="409"/>
      <c r="M2" s="409"/>
      <c r="N2" s="409"/>
      <c r="O2" s="409"/>
      <c r="P2" s="409"/>
      <c r="Q2" s="409"/>
    </row>
    <row r="3" ht="14.25" customHeight="1">
      <c r="A3" s="408"/>
      <c r="B3" s="409"/>
      <c r="C3" s="409"/>
      <c r="D3" s="409"/>
      <c r="E3" s="409"/>
      <c r="F3" s="409"/>
      <c r="G3" s="409"/>
      <c r="H3" s="409"/>
      <c r="I3" s="409"/>
      <c r="J3" s="409"/>
      <c r="K3" s="409"/>
      <c r="L3" s="409"/>
      <c r="M3" s="409"/>
      <c r="N3" s="409"/>
      <c r="O3" s="409"/>
      <c r="P3" s="409"/>
      <c r="Q3" s="409"/>
    </row>
    <row r="4" ht="14.25" customHeight="1">
      <c r="A4" s="408"/>
      <c r="B4" s="409"/>
      <c r="C4" s="409"/>
      <c r="D4" s="409"/>
      <c r="E4" s="409"/>
      <c r="F4" s="409"/>
      <c r="G4" s="409"/>
      <c r="H4" s="409"/>
      <c r="I4" s="409"/>
      <c r="J4" s="409"/>
      <c r="K4" s="409"/>
      <c r="L4" s="409"/>
      <c r="M4" s="409"/>
      <c r="N4" s="409"/>
      <c r="O4" s="409"/>
      <c r="P4" s="409"/>
      <c r="Q4" s="409"/>
    </row>
    <row r="5" ht="14.25" customHeight="1">
      <c r="A5" s="408"/>
      <c r="B5" s="409"/>
      <c r="C5" s="410"/>
      <c r="D5" s="9"/>
      <c r="E5" s="9"/>
      <c r="F5" s="409"/>
      <c r="G5" s="409"/>
      <c r="H5" s="409"/>
      <c r="I5" s="409"/>
      <c r="J5" s="409"/>
      <c r="K5" s="9"/>
      <c r="L5" s="9"/>
      <c r="M5" s="9"/>
      <c r="N5" s="409"/>
      <c r="O5" s="409"/>
      <c r="P5" s="409"/>
      <c r="Q5" s="409"/>
    </row>
    <row r="6" ht="14.25" customHeight="1">
      <c r="A6" s="408"/>
      <c r="B6" s="411" t="s">
        <v>10</v>
      </c>
      <c r="C6" s="9"/>
      <c r="D6" s="412"/>
      <c r="E6" s="409"/>
      <c r="F6" s="409"/>
      <c r="G6" s="410"/>
      <c r="H6" s="409"/>
      <c r="I6" s="409"/>
      <c r="J6" s="409"/>
      <c r="K6" s="9"/>
      <c r="L6" s="9"/>
      <c r="M6" s="9"/>
      <c r="N6" s="409"/>
      <c r="O6" s="409"/>
      <c r="P6" s="409"/>
      <c r="Q6" s="409"/>
    </row>
    <row r="7" ht="14.25" customHeight="1">
      <c r="A7" s="408"/>
      <c r="B7" s="413" t="s">
        <v>449</v>
      </c>
      <c r="C7" s="9"/>
      <c r="D7" s="70"/>
      <c r="E7" s="409"/>
      <c r="F7" s="409"/>
      <c r="G7" s="410"/>
      <c r="H7" s="409"/>
      <c r="I7" s="409"/>
      <c r="J7" s="409"/>
      <c r="K7" s="9"/>
      <c r="L7" s="9"/>
      <c r="M7" s="9"/>
      <c r="N7" s="409"/>
      <c r="O7" s="409"/>
      <c r="P7" s="409"/>
      <c r="Q7" s="409"/>
    </row>
    <row r="8" ht="14.25" customHeight="1">
      <c r="A8" s="408"/>
      <c r="B8" s="409"/>
      <c r="C8" s="9"/>
      <c r="D8" s="9"/>
      <c r="E8" s="409"/>
      <c r="F8" s="409"/>
      <c r="G8" s="410"/>
      <c r="H8" s="409"/>
      <c r="I8" s="409"/>
      <c r="J8" s="409"/>
      <c r="K8" s="9"/>
      <c r="L8" s="9"/>
      <c r="M8" s="9"/>
      <c r="N8" s="409"/>
      <c r="O8" s="409"/>
      <c r="P8" s="409"/>
      <c r="Q8" s="409"/>
    </row>
    <row r="9" ht="14.25" customHeight="1">
      <c r="A9" s="408"/>
      <c r="B9" s="414"/>
      <c r="C9" s="414"/>
      <c r="D9" s="414"/>
      <c r="E9" s="414"/>
      <c r="F9" s="414"/>
      <c r="G9" s="414"/>
      <c r="H9" s="414"/>
      <c r="I9" s="414"/>
      <c r="J9" s="414"/>
      <c r="K9" s="414"/>
      <c r="L9" s="414"/>
      <c r="M9" s="414"/>
      <c r="N9" s="414"/>
      <c r="O9" s="414"/>
      <c r="P9" s="409"/>
      <c r="Q9" s="409"/>
    </row>
    <row r="10" ht="14.25" customHeight="1">
      <c r="A10" s="408"/>
      <c r="B10" s="409"/>
      <c r="C10" s="409"/>
      <c r="D10" s="409"/>
      <c r="E10" s="409"/>
      <c r="F10" s="409"/>
      <c r="G10" s="9"/>
      <c r="H10" s="9"/>
      <c r="I10" s="9"/>
      <c r="J10" s="9"/>
      <c r="K10" s="9"/>
      <c r="L10" s="9"/>
      <c r="M10" s="9"/>
      <c r="N10" s="9"/>
      <c r="O10" s="9"/>
      <c r="P10" s="409"/>
      <c r="Q10" s="409"/>
    </row>
    <row r="11" ht="14.25" customHeight="1">
      <c r="A11" s="408"/>
      <c r="B11" s="409"/>
      <c r="C11" s="415" t="s">
        <v>309</v>
      </c>
      <c r="D11" s="409"/>
      <c r="E11" s="410"/>
      <c r="F11" s="409"/>
      <c r="G11" s="9"/>
      <c r="H11" s="9"/>
      <c r="I11" s="9"/>
      <c r="J11" s="9"/>
      <c r="K11" s="409"/>
      <c r="L11" s="409"/>
      <c r="M11" s="409"/>
      <c r="N11" s="409"/>
      <c r="O11" s="409"/>
      <c r="P11" s="409"/>
      <c r="Q11" s="409"/>
    </row>
    <row r="12" ht="14.25" customHeight="1">
      <c r="A12" s="408"/>
      <c r="B12" s="409"/>
      <c r="C12" s="411"/>
      <c r="D12" s="409"/>
      <c r="E12" s="409"/>
      <c r="F12" s="409"/>
      <c r="G12" s="9"/>
      <c r="H12" s="9"/>
      <c r="I12" s="9"/>
      <c r="J12" s="9"/>
      <c r="K12" s="409"/>
      <c r="L12" s="409"/>
      <c r="M12" s="409"/>
      <c r="N12" s="409"/>
      <c r="O12" s="409"/>
      <c r="P12" s="409"/>
      <c r="Q12" s="409"/>
    </row>
    <row r="13" ht="14.25" customHeight="1">
      <c r="A13" s="416" t="s">
        <v>310</v>
      </c>
      <c r="B13" s="414"/>
      <c r="C13" s="414"/>
      <c r="D13" s="414"/>
      <c r="E13" s="414"/>
      <c r="F13" s="414"/>
      <c r="G13" s="414"/>
      <c r="H13" s="414"/>
      <c r="I13" s="414"/>
      <c r="J13" s="414"/>
      <c r="K13" s="414"/>
      <c r="L13" s="414"/>
      <c r="M13" s="414"/>
      <c r="N13" s="414"/>
      <c r="O13" s="414"/>
      <c r="P13" s="410"/>
      <c r="Q13" s="410"/>
    </row>
    <row r="14" ht="14.25" customHeight="1">
      <c r="A14" s="290"/>
      <c r="B14" s="291"/>
      <c r="C14" s="319" t="s">
        <v>311</v>
      </c>
      <c r="D14" s="293"/>
      <c r="E14" s="293"/>
      <c r="F14" s="293"/>
      <c r="G14" s="406"/>
      <c r="H14" s="407"/>
      <c r="I14" s="407"/>
      <c r="J14" s="407"/>
      <c r="K14" s="407"/>
      <c r="L14" s="407"/>
      <c r="M14" s="407"/>
      <c r="N14" s="407"/>
      <c r="O14" s="407"/>
      <c r="P14" s="407"/>
      <c r="Q14" s="407"/>
    </row>
    <row r="15" ht="14.25" customHeight="1">
      <c r="A15" s="305">
        <v>1.0</v>
      </c>
      <c r="B15" s="351"/>
      <c r="C15" s="307" t="s">
        <v>16</v>
      </c>
      <c r="F15" s="417" t="s">
        <v>450</v>
      </c>
      <c r="G15" s="418"/>
      <c r="H15" s="418"/>
      <c r="I15" s="418"/>
      <c r="J15" s="418"/>
      <c r="K15" s="418"/>
      <c r="L15" s="418"/>
      <c r="M15" s="419"/>
      <c r="N15" s="419"/>
      <c r="O15" s="419"/>
      <c r="P15" s="419"/>
      <c r="Q15" s="419"/>
    </row>
    <row r="16" ht="14.25" customHeight="1">
      <c r="A16" s="312">
        <f t="shared" ref="A16:A28" si="1">A15+1</f>
        <v>2</v>
      </c>
      <c r="B16" s="420"/>
      <c r="C16" s="337" t="s">
        <v>313</v>
      </c>
      <c r="F16" s="421" t="str">
        <f>LOWER(left($F$15,3))</f>
        <v>cvm</v>
      </c>
      <c r="G16" s="422"/>
      <c r="H16" s="423"/>
      <c r="I16" s="423"/>
      <c r="J16" s="423"/>
      <c r="K16" s="423"/>
      <c r="L16" s="423"/>
      <c r="M16" s="424"/>
      <c r="N16" s="424"/>
      <c r="O16" s="424"/>
      <c r="P16" s="424"/>
      <c r="Q16" s="424"/>
    </row>
    <row r="17" ht="14.25" customHeight="1">
      <c r="A17" s="342">
        <f t="shared" si="1"/>
        <v>3</v>
      </c>
      <c r="B17" s="351"/>
      <c r="C17" s="376" t="s">
        <v>314</v>
      </c>
      <c r="D17" s="376"/>
      <c r="E17" s="376"/>
      <c r="F17" s="417" t="str">
        <f>if(isna(vlookup(concatenate("ALLUnsub Parameter",Menu!A5),'Preference Lookup'!D155:E162,2,false)),"",vlookup(concatenate("ALLUnsub Parameter",Menu!A5),'Preference Lookup'!D155:E162,2,false))</f>
        <v>#REF!</v>
      </c>
      <c r="H17" s="733" t="str">
        <f>if(isna(vlookup(concatenate("ALLUnsub Parameter",Menu!A5),'Preference Lookup'!D155:E162,2,false)),"",vlookup(concatenate("ALLUnsub Parameter",Menu!A5),'Preference Lookup'!D155:E162,2,false))</f>
        <v>#REF!</v>
      </c>
      <c r="I17" s="418"/>
      <c r="J17" s="418"/>
      <c r="K17" s="418"/>
      <c r="L17" s="418"/>
      <c r="M17" s="419"/>
      <c r="N17" s="419"/>
      <c r="O17" s="419"/>
      <c r="P17" s="419"/>
      <c r="Q17" s="419"/>
    </row>
    <row r="18" ht="14.25" customHeight="1">
      <c r="A18" s="312">
        <f t="shared" si="1"/>
        <v>4</v>
      </c>
      <c r="B18" s="420"/>
      <c r="C18" s="430" t="str">
        <f>HYPERLINK("https://docs.google.com/spreadsheets/d/1XQaTYaKkzuTidSYCj1Sr0cqNyuLL8kdKhd630ztvOYI/edit#gid=1329109951","Campaign Name / Type")</f>
        <v>Campaign Name / Type</v>
      </c>
      <c r="F18" s="431"/>
      <c r="G18" s="432" t="s">
        <v>451</v>
      </c>
      <c r="H18" s="433"/>
      <c r="I18" s="433"/>
      <c r="J18" s="433"/>
      <c r="K18" s="433"/>
      <c r="L18" s="433"/>
      <c r="M18" s="433"/>
      <c r="N18" s="424"/>
      <c r="O18" s="424"/>
      <c r="P18" s="424"/>
      <c r="Q18" s="424"/>
    </row>
    <row r="19" ht="14.25" customHeight="1">
      <c r="A19" s="342">
        <f t="shared" si="1"/>
        <v>5</v>
      </c>
      <c r="B19" s="351"/>
      <c r="C19" s="307" t="s">
        <v>316</v>
      </c>
      <c r="F19" s="434" t="s">
        <v>452</v>
      </c>
      <c r="M19" s="419"/>
      <c r="N19" s="419"/>
      <c r="O19" s="419"/>
      <c r="P19" s="419"/>
      <c r="Q19" s="419"/>
    </row>
    <row r="20" ht="14.25" customHeight="1">
      <c r="A20" s="312">
        <f t="shared" si="1"/>
        <v>6</v>
      </c>
      <c r="B20" s="420"/>
      <c r="C20" s="337" t="s">
        <v>318</v>
      </c>
      <c r="F20" s="431" t="s">
        <v>452</v>
      </c>
      <c r="M20" s="424"/>
      <c r="N20" s="424"/>
      <c r="O20" s="424"/>
      <c r="P20" s="424"/>
      <c r="Q20" s="424"/>
    </row>
    <row r="21" ht="14.25" customHeight="1">
      <c r="A21" s="342">
        <f t="shared" si="1"/>
        <v>7</v>
      </c>
      <c r="B21" s="351"/>
      <c r="C21" s="307" t="s">
        <v>320</v>
      </c>
      <c r="F21" s="434" t="s">
        <v>452</v>
      </c>
      <c r="M21" s="419"/>
      <c r="N21" s="419"/>
      <c r="O21" s="419"/>
      <c r="P21" s="419"/>
      <c r="Q21" s="419"/>
    </row>
    <row r="22" ht="14.25" customHeight="1">
      <c r="A22" s="312">
        <f t="shared" si="1"/>
        <v>8</v>
      </c>
      <c r="B22" s="420"/>
      <c r="C22" s="337" t="s">
        <v>322</v>
      </c>
      <c r="F22" s="734">
        <v>44000.0</v>
      </c>
      <c r="G22" s="441">
        <f t="shared" ref="G22:G23" si="2">F22</f>
        <v>44000</v>
      </c>
      <c r="M22" s="424"/>
      <c r="N22" s="424"/>
      <c r="O22" s="424"/>
      <c r="P22" s="424"/>
      <c r="Q22" s="424"/>
    </row>
    <row r="23" ht="14.25" customHeight="1">
      <c r="A23" s="342">
        <f t="shared" si="1"/>
        <v>9</v>
      </c>
      <c r="B23" s="351"/>
      <c r="C23" s="307" t="s">
        <v>323</v>
      </c>
      <c r="F23" s="735">
        <v>44028.0</v>
      </c>
      <c r="G23" s="448">
        <f t="shared" si="2"/>
        <v>44028</v>
      </c>
      <c r="M23" s="419"/>
      <c r="N23" s="419"/>
      <c r="O23" s="419"/>
      <c r="P23" s="419"/>
      <c r="Q23" s="419"/>
    </row>
    <row r="24" ht="14.25" customHeight="1">
      <c r="A24" s="312">
        <f t="shared" si="1"/>
        <v>10</v>
      </c>
      <c r="B24" s="420"/>
      <c r="C24" s="337" t="s">
        <v>324</v>
      </c>
      <c r="F24" s="421" t="str">
        <f>CONCATENATE(sum(F23-F22)," day(s)")</f>
        <v>28 day(s)</v>
      </c>
      <c r="G24" s="450"/>
      <c r="H24" s="450"/>
      <c r="I24" s="450"/>
      <c r="J24" s="450"/>
      <c r="K24" s="450"/>
      <c r="L24" s="450"/>
      <c r="M24" s="424"/>
      <c r="N24" s="424"/>
      <c r="O24" s="424"/>
      <c r="P24" s="424"/>
      <c r="Q24" s="424"/>
    </row>
    <row r="25" ht="14.25" customHeight="1">
      <c r="A25" s="342">
        <f t="shared" si="1"/>
        <v>11</v>
      </c>
      <c r="B25" s="351"/>
      <c r="C25" s="736" t="s">
        <v>51</v>
      </c>
      <c r="F25" s="417" t="s">
        <v>453</v>
      </c>
      <c r="G25" s="452"/>
      <c r="H25" s="452"/>
      <c r="I25" s="452"/>
      <c r="J25" s="452"/>
      <c r="K25" s="452"/>
      <c r="L25" s="452"/>
      <c r="M25" s="419"/>
      <c r="N25" s="419"/>
      <c r="O25" s="419"/>
      <c r="P25" s="419"/>
      <c r="Q25" s="419"/>
    </row>
    <row r="26" ht="14.25" customHeight="1">
      <c r="A26" s="312">
        <f t="shared" si="1"/>
        <v>12</v>
      </c>
      <c r="B26" s="420"/>
      <c r="C26" s="337" t="s">
        <v>326</v>
      </c>
      <c r="F26" s="421" t="s">
        <v>327</v>
      </c>
      <c r="G26" s="432" t="s">
        <v>454</v>
      </c>
      <c r="H26" s="450"/>
      <c r="I26" s="450"/>
      <c r="J26" s="450"/>
      <c r="K26" s="450"/>
      <c r="L26" s="450"/>
      <c r="M26" s="424"/>
      <c r="N26" s="424"/>
      <c r="O26" s="424"/>
      <c r="P26" s="424"/>
      <c r="Q26" s="424"/>
    </row>
    <row r="27" ht="14.25" customHeight="1">
      <c r="A27" s="342">
        <f t="shared" si="1"/>
        <v>13</v>
      </c>
      <c r="B27" s="351"/>
      <c r="C27" s="736" t="s">
        <v>58</v>
      </c>
      <c r="F27" s="417">
        <v>1.0</v>
      </c>
      <c r="G27" s="452"/>
      <c r="H27" s="452"/>
      <c r="I27" s="452"/>
      <c r="J27" s="452"/>
      <c r="K27" s="452"/>
      <c r="L27" s="452"/>
      <c r="M27" s="419"/>
      <c r="N27" s="419"/>
      <c r="O27" s="419"/>
      <c r="P27" s="419"/>
      <c r="Q27" s="419"/>
    </row>
    <row r="28" ht="14.25" customHeight="1">
      <c r="A28" s="312">
        <f t="shared" si="1"/>
        <v>14</v>
      </c>
      <c r="B28" s="420"/>
      <c r="C28" s="378" t="s">
        <v>57</v>
      </c>
      <c r="F28" s="421">
        <v>1.0</v>
      </c>
      <c r="G28" s="432" t="s">
        <v>454</v>
      </c>
      <c r="H28" s="450"/>
      <c r="I28" s="450"/>
      <c r="J28" s="450"/>
      <c r="K28" s="450"/>
      <c r="L28" s="450"/>
      <c r="M28" s="424"/>
      <c r="N28" s="424"/>
      <c r="O28" s="424"/>
      <c r="P28" s="424"/>
      <c r="Q28" s="424"/>
    </row>
    <row r="29" ht="14.25" customHeight="1">
      <c r="A29" s="305">
        <v>15.0</v>
      </c>
      <c r="B29" s="351"/>
      <c r="C29" s="307" t="s">
        <v>455</v>
      </c>
      <c r="F29" s="417" t="b">
        <v>1</v>
      </c>
      <c r="G29" s="457" t="s">
        <v>456</v>
      </c>
      <c r="N29" s="419"/>
      <c r="O29" s="419"/>
      <c r="P29" s="419"/>
      <c r="Q29" s="419"/>
    </row>
    <row r="30" ht="14.25" customHeight="1">
      <c r="A30" s="312">
        <f t="shared" ref="A30:A31" si="3">A29+1</f>
        <v>16</v>
      </c>
      <c r="B30" s="420"/>
      <c r="C30" s="337" t="s">
        <v>328</v>
      </c>
      <c r="F30" s="421" t="b">
        <v>1</v>
      </c>
      <c r="G30" s="431" t="s">
        <v>457</v>
      </c>
      <c r="N30" s="424"/>
      <c r="O30" s="424"/>
      <c r="P30" s="424"/>
      <c r="Q30" s="424"/>
    </row>
    <row r="31" ht="14.25" customHeight="1">
      <c r="A31" s="342">
        <f t="shared" si="3"/>
        <v>17</v>
      </c>
      <c r="B31" s="351"/>
      <c r="C31" s="307" t="s">
        <v>330</v>
      </c>
      <c r="F31" s="417" t="b">
        <v>0</v>
      </c>
      <c r="G31" s="434" t="s">
        <v>458</v>
      </c>
      <c r="N31" s="419"/>
      <c r="O31" s="419"/>
      <c r="P31" s="419"/>
      <c r="Q31" s="419"/>
    </row>
    <row r="32" ht="14.25" customHeight="1">
      <c r="A32" s="359">
        <v>18.0</v>
      </c>
      <c r="B32" s="420"/>
      <c r="C32" s="337" t="s">
        <v>459</v>
      </c>
      <c r="D32" s="378"/>
      <c r="E32" s="378"/>
      <c r="F32" s="421" t="b">
        <v>0</v>
      </c>
      <c r="G32" s="431"/>
      <c r="H32" s="431"/>
      <c r="I32" s="431"/>
      <c r="J32" s="431"/>
      <c r="K32" s="431"/>
      <c r="L32" s="431"/>
      <c r="M32" s="431"/>
      <c r="N32" s="424"/>
      <c r="O32" s="424"/>
      <c r="P32" s="424"/>
      <c r="Q32" s="424"/>
    </row>
    <row r="33" ht="14.25" customHeight="1">
      <c r="A33" s="305">
        <v>19.0</v>
      </c>
      <c r="B33" s="351"/>
      <c r="C33" s="736" t="s">
        <v>54</v>
      </c>
      <c r="F33" s="417" t="b">
        <v>0</v>
      </c>
      <c r="G33" s="434" t="s">
        <v>332</v>
      </c>
      <c r="N33" s="419"/>
      <c r="O33" s="419"/>
      <c r="P33" s="419"/>
      <c r="Q33" s="419"/>
    </row>
    <row r="34" ht="14.25" customHeight="1">
      <c r="A34" s="359">
        <v>20.0</v>
      </c>
      <c r="B34" s="420"/>
      <c r="C34" s="337" t="s">
        <v>59</v>
      </c>
      <c r="F34" s="421" t="b">
        <v>0</v>
      </c>
      <c r="G34" s="450"/>
      <c r="N34" s="424"/>
      <c r="O34" s="424"/>
      <c r="P34" s="424"/>
      <c r="Q34" s="424"/>
    </row>
    <row r="35" ht="14.25" customHeight="1">
      <c r="A35" s="342">
        <f t="shared" ref="A35:A36" si="4">A34+1</f>
        <v>21</v>
      </c>
      <c r="B35" s="351"/>
      <c r="C35" s="307" t="s">
        <v>333</v>
      </c>
      <c r="F35" s="434" t="s">
        <v>452</v>
      </c>
      <c r="G35" s="452"/>
      <c r="L35" s="452"/>
      <c r="M35" s="419"/>
      <c r="N35" s="419"/>
      <c r="O35" s="419"/>
      <c r="P35" s="419"/>
      <c r="Q35" s="419"/>
    </row>
    <row r="36" ht="14.25" customHeight="1">
      <c r="A36" s="312">
        <f t="shared" si="4"/>
        <v>22</v>
      </c>
      <c r="B36" s="420"/>
      <c r="C36" s="337" t="s">
        <v>334</v>
      </c>
      <c r="D36" s="337"/>
      <c r="E36" s="337"/>
      <c r="F36" s="431"/>
      <c r="G36" s="450"/>
      <c r="H36" s="450"/>
      <c r="I36" s="450"/>
      <c r="J36" s="450"/>
      <c r="K36" s="450"/>
      <c r="L36" s="450"/>
      <c r="M36" s="424"/>
      <c r="N36" s="424"/>
      <c r="O36" s="424"/>
      <c r="P36" s="424"/>
      <c r="Q36" s="424"/>
    </row>
    <row r="37" ht="14.25" customHeight="1">
      <c r="A37" s="342"/>
      <c r="B37" s="351"/>
      <c r="C37" s="69"/>
      <c r="D37" s="332"/>
      <c r="E37" s="332"/>
      <c r="F37" s="332"/>
      <c r="M37" s="419"/>
      <c r="N37" s="419"/>
      <c r="O37" s="419"/>
      <c r="P37" s="419"/>
      <c r="Q37" s="419"/>
    </row>
    <row r="38" ht="14.25" customHeight="1">
      <c r="A38" s="290"/>
      <c r="B38" s="291"/>
      <c r="C38" s="292" t="s">
        <v>231</v>
      </c>
      <c r="D38" s="293"/>
      <c r="E38" s="293"/>
      <c r="F38" s="293"/>
      <c r="G38" s="406"/>
      <c r="H38" s="407"/>
      <c r="I38" s="407"/>
      <c r="J38" s="407"/>
      <c r="K38" s="407"/>
      <c r="L38" s="407"/>
      <c r="M38" s="407"/>
      <c r="N38" s="407"/>
      <c r="O38" s="407"/>
      <c r="P38" s="407"/>
      <c r="Q38" s="407"/>
    </row>
    <row r="39" ht="14.25" customHeight="1">
      <c r="A39" s="298"/>
      <c r="B39" s="299"/>
      <c r="C39" s="329" t="s">
        <v>335</v>
      </c>
      <c r="D39" s="328"/>
      <c r="E39" s="328"/>
      <c r="F39" s="328"/>
      <c r="G39" s="328"/>
      <c r="H39" s="328"/>
      <c r="I39" s="328"/>
      <c r="J39" s="328"/>
      <c r="K39" s="328"/>
      <c r="L39" s="328"/>
      <c r="M39" s="328"/>
      <c r="N39" s="328"/>
      <c r="O39" s="328"/>
      <c r="P39" s="328"/>
      <c r="Q39" s="328"/>
    </row>
    <row r="40" ht="14.25" customHeight="1">
      <c r="A40" s="305">
        <v>1.0</v>
      </c>
      <c r="B40" s="306"/>
      <c r="C40" s="332" t="s">
        <v>234</v>
      </c>
      <c r="F40" s="417" t="b">
        <v>1</v>
      </c>
      <c r="G40" s="332"/>
      <c r="N40" s="332"/>
      <c r="O40" s="332"/>
      <c r="P40" s="332"/>
      <c r="Q40" s="332"/>
    </row>
    <row r="41" ht="14.25" customHeight="1">
      <c r="A41" s="312">
        <f t="shared" ref="A41:A44" si="5">A40+1</f>
        <v>2</v>
      </c>
      <c r="B41" s="360"/>
      <c r="C41" s="314" t="s">
        <v>236</v>
      </c>
      <c r="F41" s="421" t="b">
        <v>1</v>
      </c>
      <c r="G41" s="314"/>
      <c r="N41" s="314"/>
      <c r="O41" s="314"/>
      <c r="P41" s="314"/>
      <c r="Q41" s="314"/>
    </row>
    <row r="42" ht="14.25" customHeight="1">
      <c r="A42" s="342">
        <f t="shared" si="5"/>
        <v>3</v>
      </c>
      <c r="B42" s="306"/>
      <c r="C42" s="307" t="s">
        <v>336</v>
      </c>
      <c r="F42" s="417" t="b">
        <v>1</v>
      </c>
      <c r="G42" s="463"/>
      <c r="N42" s="332"/>
      <c r="O42" s="332"/>
      <c r="P42" s="332"/>
      <c r="Q42" s="332"/>
    </row>
    <row r="43" ht="14.25" customHeight="1">
      <c r="A43" s="312">
        <f t="shared" si="5"/>
        <v>4</v>
      </c>
      <c r="B43" s="360"/>
      <c r="C43" s="337" t="s">
        <v>337</v>
      </c>
      <c r="F43" s="421" t="b">
        <v>1</v>
      </c>
      <c r="G43" s="464" t="s">
        <v>338</v>
      </c>
      <c r="N43" s="314"/>
      <c r="O43" s="314"/>
      <c r="P43" s="314"/>
      <c r="Q43" s="314"/>
    </row>
    <row r="44" ht="14.25" customHeight="1">
      <c r="A44" s="342">
        <f t="shared" si="5"/>
        <v>5</v>
      </c>
      <c r="B44" s="306"/>
      <c r="C44" s="332" t="s">
        <v>244</v>
      </c>
      <c r="F44" s="417" t="b">
        <v>0</v>
      </c>
      <c r="G44" s="465"/>
      <c r="N44" s="332"/>
      <c r="O44" s="332"/>
      <c r="P44" s="332"/>
      <c r="Q44" s="332"/>
    </row>
    <row r="45" ht="14.25" customHeight="1">
      <c r="A45" s="312"/>
      <c r="B45" s="466"/>
      <c r="C45" s="466"/>
      <c r="D45" s="466"/>
      <c r="E45" s="466"/>
      <c r="F45" s="466"/>
      <c r="G45" s="466"/>
      <c r="H45" s="466"/>
      <c r="I45" s="466"/>
      <c r="J45" s="466"/>
      <c r="K45" s="466"/>
      <c r="L45" s="466"/>
      <c r="M45" s="466"/>
      <c r="N45" s="466"/>
      <c r="O45" s="466"/>
      <c r="P45" s="466"/>
      <c r="Q45" s="466"/>
    </row>
    <row r="46" ht="14.25" customHeight="1">
      <c r="A46" s="290"/>
      <c r="B46" s="291"/>
      <c r="C46" s="292" t="s">
        <v>70</v>
      </c>
      <c r="D46" s="293"/>
      <c r="E46" s="293"/>
      <c r="F46" s="293"/>
      <c r="G46" s="406"/>
      <c r="H46" s="407"/>
      <c r="I46" s="407"/>
      <c r="J46" s="407"/>
      <c r="K46" s="407"/>
      <c r="L46" s="407"/>
      <c r="M46" s="468"/>
      <c r="N46" s="468"/>
      <c r="O46" s="468"/>
      <c r="P46" s="468"/>
      <c r="Q46" s="468"/>
    </row>
    <row r="47" ht="14.25" customHeight="1">
      <c r="A47" s="298"/>
      <c r="B47" s="299"/>
      <c r="C47" s="300" t="s">
        <v>72</v>
      </c>
      <c r="F47" s="328"/>
      <c r="G47" s="328"/>
      <c r="H47" s="328"/>
      <c r="I47" s="328"/>
      <c r="J47" s="328"/>
      <c r="K47" s="328"/>
      <c r="L47" s="328"/>
      <c r="M47" s="328"/>
      <c r="N47" s="328"/>
      <c r="O47" s="328"/>
      <c r="P47" s="328"/>
      <c r="Q47" s="328"/>
    </row>
    <row r="48" ht="14.25" customHeight="1">
      <c r="A48" s="305">
        <v>1.0</v>
      </c>
      <c r="B48" s="306"/>
      <c r="C48" s="307" t="s">
        <v>256</v>
      </c>
      <c r="F48" s="417" t="b">
        <v>1</v>
      </c>
      <c r="G48" s="419"/>
      <c r="H48" s="419"/>
      <c r="I48" s="419"/>
      <c r="J48" s="419"/>
      <c r="K48" s="419"/>
      <c r="L48" s="419"/>
      <c r="M48" s="419"/>
      <c r="N48" s="419"/>
      <c r="O48" s="419"/>
      <c r="P48" s="419"/>
      <c r="Q48" s="419"/>
    </row>
    <row r="49" ht="14.25" customHeight="1">
      <c r="A49" s="312"/>
      <c r="B49" s="313"/>
      <c r="C49" s="313"/>
      <c r="D49" s="314"/>
      <c r="E49" s="314"/>
      <c r="F49" s="314"/>
      <c r="G49" s="314"/>
      <c r="H49" s="314"/>
      <c r="I49" s="314"/>
      <c r="J49" s="314"/>
      <c r="K49" s="314"/>
      <c r="L49" s="314"/>
      <c r="M49" s="314"/>
      <c r="N49" s="314"/>
      <c r="O49" s="314"/>
      <c r="P49" s="314"/>
      <c r="Q49" s="314"/>
    </row>
    <row r="50" ht="14.25" customHeight="1">
      <c r="A50" s="290"/>
      <c r="B50" s="291"/>
      <c r="C50" s="319" t="s">
        <v>257</v>
      </c>
      <c r="D50" s="293"/>
      <c r="E50" s="293"/>
      <c r="F50" s="293"/>
      <c r="G50" s="293"/>
      <c r="H50" s="407"/>
      <c r="I50" s="407"/>
      <c r="J50" s="407"/>
      <c r="K50" s="407"/>
      <c r="L50" s="407"/>
      <c r="M50" s="469"/>
      <c r="N50" s="468"/>
      <c r="O50" s="468"/>
      <c r="P50" s="468"/>
      <c r="Q50" s="468"/>
    </row>
    <row r="51" ht="14.25" customHeight="1">
      <c r="A51" s="470"/>
      <c r="B51" s="471"/>
      <c r="C51" s="472"/>
      <c r="D51" s="473"/>
      <c r="E51" s="473"/>
      <c r="F51" s="473"/>
      <c r="G51" s="474"/>
      <c r="H51" s="475" t="s">
        <v>82</v>
      </c>
      <c r="I51" s="475" t="s">
        <v>86</v>
      </c>
      <c r="J51" s="475"/>
      <c r="K51" s="475"/>
      <c r="L51" s="475"/>
      <c r="M51" s="475" t="str">
        <f t="shared" ref="M51:Q51" si="6">H51</f>
        <v>Email</v>
      </c>
      <c r="N51" s="475" t="str">
        <f t="shared" si="6"/>
        <v>Rewards App</v>
      </c>
      <c r="O51" s="475" t="str">
        <f t="shared" si="6"/>
        <v/>
      </c>
      <c r="P51" s="475" t="str">
        <f t="shared" si="6"/>
        <v/>
      </c>
      <c r="Q51" s="475" t="str">
        <f t="shared" si="6"/>
        <v/>
      </c>
    </row>
    <row r="52" ht="14.25" customHeight="1">
      <c r="A52" s="298"/>
      <c r="B52" s="328"/>
      <c r="C52" s="329"/>
      <c r="F52" s="329"/>
      <c r="G52" s="477"/>
      <c r="H52" s="478"/>
      <c r="I52" s="478"/>
      <c r="J52" s="478"/>
      <c r="K52" s="478"/>
      <c r="L52" s="478"/>
      <c r="M52" s="478"/>
      <c r="N52" s="478"/>
      <c r="O52" s="478"/>
      <c r="P52" s="478"/>
      <c r="Q52" s="478"/>
    </row>
    <row r="53" ht="14.25" customHeight="1">
      <c r="A53" s="305">
        <v>1.0</v>
      </c>
      <c r="B53" s="332"/>
      <c r="C53" s="307" t="s">
        <v>259</v>
      </c>
      <c r="F53" s="307"/>
      <c r="G53" s="479"/>
      <c r="H53" s="480" t="str">
        <f>if(isna(vlookup(concatenate("ALL",H$51,$C53),'Preference Lookup'!$D$3:$E$150,2,false)),".",vlookup(concatenate("ALL",H$51,$C53),'Preference Lookup'!$D$3:$E$150,2,false))</f>
        <v>Ex Optout</v>
      </c>
      <c r="I53" s="480" t="str">
        <f>if(isna(vlookup(concatenate("ALL",I$51,$C53),'Preference Lookup'!$D$3:$E$150,2,false)),".",vlookup(concatenate("ALL",I$51,$C53),'Preference Lookup'!$D$3:$E$150,2,false))</f>
        <v>Inc All</v>
      </c>
      <c r="J53" s="480" t="str">
        <f>if(isna(vlookup(concatenate("ALL",J$51,$C53),'Preference Lookup'!$D$3:$E$150,2,false)),".",vlookup(concatenate("ALL",J$51,$C53),'Preference Lookup'!$D$3:$E$150,2,false))</f>
        <v>.</v>
      </c>
      <c r="K53" s="480"/>
      <c r="L53" s="480" t="s">
        <v>76</v>
      </c>
      <c r="M53" s="480" t="str">
        <f>if(isna(vlookup(concatenate("ALL",M$51,$C53),'Preference Lookup'!$D$3:$E$150,2,false)),".",vlookup(concatenate("ALL",M$51,$C53),'Preference Lookup'!$D$3:$E$150,2,false))</f>
        <v>Ex Optout</v>
      </c>
      <c r="N53" s="480" t="str">
        <f>if(isna(vlookup(concatenate("ALL",N$51,$C53),'Preference Lookup'!$D$3:$E$150,2,false)),".",vlookup(concatenate("ALL",N$51,$C53),'Preference Lookup'!$D$3:$E$150,2,false))</f>
        <v>Inc All</v>
      </c>
      <c r="O53" s="480" t="str">
        <f>if(isna(vlookup(concatenate("ALL",O$51,$C53),'Preference Lookup'!$D$3:$E$150,2,false)),".",vlookup(concatenate("ALL",O$51,$C53),'Preference Lookup'!$D$3:$E$150,2,false))</f>
        <v>.</v>
      </c>
      <c r="P53" s="480" t="s">
        <v>76</v>
      </c>
      <c r="Q53" s="480"/>
    </row>
    <row r="54" ht="14.25" customHeight="1">
      <c r="A54" s="312">
        <f t="shared" ref="A54:A60" si="7">A53+1</f>
        <v>2</v>
      </c>
      <c r="B54" s="314"/>
      <c r="C54" s="337" t="s">
        <v>262</v>
      </c>
      <c r="F54" s="337"/>
      <c r="G54" s="337"/>
      <c r="H54" s="482" t="str">
        <f>if(isna(vlookup(concatenate("ALL",H$51,$C54),'Preference Lookup'!$D$3:$E$150,2,false)),".",vlookup(concatenate("ALL",H$51,$C54),'Preference Lookup'!$D$3:$E$150,2,false))</f>
        <v>Ex Optout</v>
      </c>
      <c r="I54" s="482" t="str">
        <f>if(isna(vlookup(concatenate("ALL",I$51,$C54),'Preference Lookup'!$D$3:$E$150,2,false)),".",vlookup(concatenate("ALL",I$51,$C54),'Preference Lookup'!$D$3:$E$150,2,false))</f>
        <v>Inc All</v>
      </c>
      <c r="J54" s="482" t="str">
        <f>if(isna(vlookup(concatenate("ALL",J$51,$C54),'Preference Lookup'!$D$3:$E$150,2,false)),".",vlookup(concatenate("ALL",J$51,$C54),'Preference Lookup'!$D$3:$E$150,2,false))</f>
        <v>.</v>
      </c>
      <c r="K54" s="482"/>
      <c r="L54" s="482" t="s">
        <v>76</v>
      </c>
      <c r="M54" s="482" t="str">
        <f>if(isna(vlookup(concatenate("ALL",M$51,$C54),'Preference Lookup'!$D$3:$E$150,2,false)),".",vlookup(concatenate("ALL",M$51,$C54),'Preference Lookup'!$D$3:$E$150,2,false))</f>
        <v>Ex Optout</v>
      </c>
      <c r="N54" s="482" t="str">
        <f>if(isna(vlookup(concatenate("ALL",N$51,$C54),'Preference Lookup'!$D$3:$E$150,2,false)),".",vlookup(concatenate("ALL",N$51,$C54),'Preference Lookup'!$D$3:$E$150,2,false))</f>
        <v>Inc All</v>
      </c>
      <c r="O54" s="482" t="str">
        <f>if(isna(vlookup(concatenate("ALL",O$51,$C54),'Preference Lookup'!$D$3:$E$150,2,false)),".",vlookup(concatenate("ALL",O$51,$C54),'Preference Lookup'!$D$3:$E$150,2,false))</f>
        <v>.</v>
      </c>
      <c r="P54" s="482" t="s">
        <v>76</v>
      </c>
      <c r="Q54" s="482"/>
    </row>
    <row r="55" ht="14.25" customHeight="1">
      <c r="A55" s="342">
        <f t="shared" si="7"/>
        <v>3</v>
      </c>
      <c r="B55" s="332"/>
      <c r="C55" s="307" t="s">
        <v>252</v>
      </c>
      <c r="F55" s="307"/>
      <c r="G55" s="546"/>
      <c r="H55" s="480" t="str">
        <f>if(isna(vlookup(concatenate("ALL",H$51,$C55),'Preference Lookup'!$D$3:$E$150,2,false)),".",vlookup(concatenate("ALL",H$51,$C55),'Preference Lookup'!$D$3:$E$150,2,false))</f>
        <v>Ex Optout</v>
      </c>
      <c r="I55" s="480" t="str">
        <f>if(isna(vlookup(concatenate("ALL",I$51,$C55),'Preference Lookup'!$D$3:$E$150,2,false)),".",vlookup(concatenate("ALL",I$51,$C55),'Preference Lookup'!$D$3:$E$150,2,false))</f>
        <v>Inc All</v>
      </c>
      <c r="J55" s="480" t="str">
        <f>if(isna(vlookup(concatenate("ALL",J$51,$C55),'Preference Lookup'!$D$3:$E$150,2,false)),".",vlookup(concatenate("ALL",J$51,$C55),'Preference Lookup'!$D$3:$E$150,2,false))</f>
        <v>.</v>
      </c>
      <c r="K55" s="480"/>
      <c r="L55" s="480" t="s">
        <v>76</v>
      </c>
      <c r="M55" s="480" t="str">
        <f>if(isna(vlookup(concatenate("ALL",M$51,$C55),'Preference Lookup'!$D$3:$E$150,2,false)),".",vlookup(concatenate("ALL",M$51,$C55),'Preference Lookup'!$D$3:$E$150,2,false))</f>
        <v>Ex Optout</v>
      </c>
      <c r="N55" s="480" t="str">
        <f>if(isna(vlookup(concatenate("ALL",N$51,$C55),'Preference Lookup'!$D$3:$E$150,2,false)),".",vlookup(concatenate("ALL",N$51,$C55),'Preference Lookup'!$D$3:$E$150,2,false))</f>
        <v>Inc All</v>
      </c>
      <c r="O55" s="480" t="str">
        <f>if(isna(vlookup(concatenate("ALL",O$51,$C55),'Preference Lookup'!$D$3:$E$150,2,false)),".",vlookup(concatenate("ALL",O$51,$C55),'Preference Lookup'!$D$3:$E$150,2,false))</f>
        <v>.</v>
      </c>
      <c r="P55" s="480" t="s">
        <v>76</v>
      </c>
      <c r="Q55" s="480"/>
    </row>
    <row r="56" ht="14.25" customHeight="1">
      <c r="A56" s="312">
        <f t="shared" si="7"/>
        <v>4</v>
      </c>
      <c r="B56" s="314"/>
      <c r="C56" s="337" t="s">
        <v>266</v>
      </c>
      <c r="F56" s="337"/>
      <c r="G56" s="337"/>
      <c r="H56" s="482" t="str">
        <f>if(isna(vlookup(concatenate("ALL",H$51,$C56),'Preference Lookup'!$D$3:$E$150,2,false)),".",vlookup(concatenate("ALL",H$51,$C56),'Preference Lookup'!$D$3:$E$150,2,false))</f>
        <v>.</v>
      </c>
      <c r="I56" s="482" t="str">
        <f>if(isna(vlookup(concatenate("ALL",I$51,$C56),'Preference Lookup'!$D$3:$E$150,2,false)),".",vlookup(concatenate("ALL",I$51,$C56),'Preference Lookup'!$D$3:$E$150,2,false))</f>
        <v>.</v>
      </c>
      <c r="J56" s="482" t="str">
        <f>if(isna(vlookup(concatenate("ALL",J$51,$C56),'Preference Lookup'!$D$3:$E$150,2,false)),".",vlookup(concatenate("ALL",J$51,$C56),'Preference Lookup'!$D$3:$E$150,2,false))</f>
        <v>.</v>
      </c>
      <c r="K56" s="482"/>
      <c r="L56" s="482" t="s">
        <v>76</v>
      </c>
      <c r="M56" s="482" t="str">
        <f>if(isna(vlookup(concatenate("ALL",M$51,$C56),'Preference Lookup'!$D$3:$E$150,2,false)),".",vlookup(concatenate("ALL",M$51,$C56),'Preference Lookup'!$D$3:$E$150,2,false))</f>
        <v>.</v>
      </c>
      <c r="N56" s="482" t="str">
        <f>if(isna(vlookup(concatenate("ALL",N$51,$C56),'Preference Lookup'!$D$3:$E$150,2,false)),".",vlookup(concatenate("ALL",N$51,$C56),'Preference Lookup'!$D$3:$E$150,2,false))</f>
        <v>.</v>
      </c>
      <c r="O56" s="482" t="str">
        <f>if(isna(vlookup(concatenate("ALL",O$51,$C56),'Preference Lookup'!$D$3:$E$150,2,false)),".",vlookup(concatenate("ALL",O$51,$C56),'Preference Lookup'!$D$3:$E$150,2,false))</f>
        <v>.</v>
      </c>
      <c r="P56" s="482" t="s">
        <v>76</v>
      </c>
      <c r="Q56" s="482"/>
    </row>
    <row r="57" ht="14.25" customHeight="1">
      <c r="A57" s="342">
        <f t="shared" si="7"/>
        <v>5</v>
      </c>
      <c r="B57" s="332"/>
      <c r="C57" s="307"/>
      <c r="F57" s="307"/>
      <c r="G57" s="307"/>
      <c r="H57" s="480" t="str">
        <f>if(isna(vlookup(concatenate("ALL",H$51,$C57),'Preference Lookup'!$D$3:$E$150,2,false)),".",vlookup(concatenate("ALL",H$51,$C57),'Preference Lookup'!$D$3:$E$150,2,false))</f>
        <v>.</v>
      </c>
      <c r="I57" s="480" t="str">
        <f>if(isna(vlookup(concatenate("ALL",I$51,$C57),'Preference Lookup'!$D$3:$E$150,2,false)),".",vlookup(concatenate("ALL",I$51,$C57),'Preference Lookup'!$D$3:$E$150,2,false))</f>
        <v>.</v>
      </c>
      <c r="J57" s="480" t="str">
        <f>if(isna(vlookup(concatenate("ALL",J$51,$C57),'Preference Lookup'!$D$3:$E$150,2,false)),".",vlookup(concatenate("ALL",J$51,$C57),'Preference Lookup'!$D$3:$E$150,2,false))</f>
        <v>.</v>
      </c>
      <c r="K57" s="480"/>
      <c r="L57" s="480" t="s">
        <v>76</v>
      </c>
      <c r="M57" s="480" t="str">
        <f>if(isna(vlookup(concatenate("ALL",M$51,$C57),'Preference Lookup'!$D$3:$E$150,2,false)),".",vlookup(concatenate("ALL",M$51,$C57),'Preference Lookup'!$D$3:$E$150,2,false))</f>
        <v>.</v>
      </c>
      <c r="N57" s="480" t="str">
        <f>if(isna(vlookup(concatenate("ALL",N$51,$C57),'Preference Lookup'!$D$3:$E$150,2,false)),".",vlookup(concatenate("ALL",N$51,$C57),'Preference Lookup'!$D$3:$E$150,2,false))</f>
        <v>.</v>
      </c>
      <c r="O57" s="480" t="str">
        <f>if(isna(vlookup(concatenate("ALL",O$51,$C57),'Preference Lookup'!$D$3:$E$150,2,false)),".",vlookup(concatenate("ALL",O$51,$C57),'Preference Lookup'!$D$3:$E$150,2,false))</f>
        <v>.</v>
      </c>
      <c r="P57" s="480" t="s">
        <v>76</v>
      </c>
      <c r="Q57" s="480"/>
    </row>
    <row r="58" ht="14.25" customHeight="1">
      <c r="A58" s="312">
        <f t="shared" si="7"/>
        <v>6</v>
      </c>
      <c r="B58" s="314"/>
      <c r="C58" s="337"/>
      <c r="F58" s="337"/>
      <c r="G58" s="337"/>
      <c r="H58" s="482" t="str">
        <f>if(isna(vlookup(concatenate("ALL",H$51,$C58),'Preference Lookup'!$D$3:$E$150,2,false)),".",vlookup(concatenate("ALL",H$51,$C58),'Preference Lookup'!$D$3:$E$150,2,false))</f>
        <v>.</v>
      </c>
      <c r="I58" s="482" t="str">
        <f>if(isna(vlookup(concatenate("ALL",I$51,$C58),'Preference Lookup'!$D$3:$E$150,2,false)),".",vlookup(concatenate("ALL",I$51,$C58),'Preference Lookup'!$D$3:$E$150,2,false))</f>
        <v>.</v>
      </c>
      <c r="J58" s="482" t="str">
        <f>if(isna(vlookup(concatenate("ALL",J$51,$C58),'Preference Lookup'!$D$3:$E$150,2,false)),".",vlookup(concatenate("ALL",J$51,$C58),'Preference Lookup'!$D$3:$E$150,2,false))</f>
        <v>.</v>
      </c>
      <c r="K58" s="482"/>
      <c r="L58" s="482" t="s">
        <v>76</v>
      </c>
      <c r="M58" s="482" t="str">
        <f>if(isna(vlookup(concatenate("ALL",M$51,$C58),'Preference Lookup'!$D$3:$E$150,2,false)),".",vlookup(concatenate("ALL",M$51,$C58),'Preference Lookup'!$D$3:$E$150,2,false))</f>
        <v>.</v>
      </c>
      <c r="N58" s="482" t="str">
        <f>if(isna(vlookup(concatenate("ALL",N$51,$C58),'Preference Lookup'!$D$3:$E$150,2,false)),".",vlookup(concatenate("ALL",N$51,$C58),'Preference Lookup'!$D$3:$E$150,2,false))</f>
        <v>.</v>
      </c>
      <c r="O58" s="482" t="str">
        <f>if(isna(vlookup(concatenate("ALL",O$51,$C58),'Preference Lookup'!$D$3:$E$150,2,false)),".",vlookup(concatenate("ALL",O$51,$C58),'Preference Lookup'!$D$3:$E$150,2,false))</f>
        <v>.</v>
      </c>
      <c r="P58" s="482" t="s">
        <v>76</v>
      </c>
      <c r="Q58" s="482"/>
    </row>
    <row r="59" ht="14.25" customHeight="1">
      <c r="A59" s="342">
        <f t="shared" si="7"/>
        <v>7</v>
      </c>
      <c r="B59" s="332"/>
      <c r="C59" s="307"/>
      <c r="F59" s="307"/>
      <c r="G59" s="307"/>
      <c r="H59" s="480" t="str">
        <f>if(isna(vlookup(concatenate("ALL",H$51,$C59),'Preference Lookup'!$D$3:$E$150,2,false)),".",vlookup(concatenate("ALL",H$51,$C59),'Preference Lookup'!$D$3:$E$150,2,false))</f>
        <v>.</v>
      </c>
      <c r="I59" s="480" t="str">
        <f>if(isna(vlookup(concatenate("ALL",I$51,$C59),'Preference Lookup'!$D$3:$E$150,2,false)),".",vlookup(concatenate("ALL",I$51,$C59),'Preference Lookup'!$D$3:$E$150,2,false))</f>
        <v>.</v>
      </c>
      <c r="J59" s="480" t="str">
        <f>if(isna(vlookup(concatenate("ALL",J$51,$C59),'Preference Lookup'!$D$3:$E$150,2,false)),".",vlookup(concatenate("ALL",J$51,$C59),'Preference Lookup'!$D$3:$E$150,2,false))</f>
        <v>.</v>
      </c>
      <c r="K59" s="480"/>
      <c r="L59" s="480" t="s">
        <v>76</v>
      </c>
      <c r="M59" s="480" t="str">
        <f>if(isna(vlookup(concatenate("ALL",M$51,$C59),'Preference Lookup'!$D$3:$E$150,2,false)),".",vlookup(concatenate("ALL",M$51,$C59),'Preference Lookup'!$D$3:$E$150,2,false))</f>
        <v>.</v>
      </c>
      <c r="N59" s="480" t="str">
        <f>if(isna(vlookup(concatenate("ALL",N$51,$C59),'Preference Lookup'!$D$3:$E$150,2,false)),".",vlookup(concatenate("ALL",N$51,$C59),'Preference Lookup'!$D$3:$E$150,2,false))</f>
        <v>.</v>
      </c>
      <c r="O59" s="480" t="str">
        <f>if(isna(vlookup(concatenate("ALL",O$51,$C59),'Preference Lookup'!$D$3:$E$150,2,false)),".",vlookup(concatenate("ALL",O$51,$C59),'Preference Lookup'!$D$3:$E$150,2,false))</f>
        <v>.</v>
      </c>
      <c r="P59" s="480" t="s">
        <v>76</v>
      </c>
      <c r="Q59" s="480"/>
    </row>
    <row r="60" ht="14.25" customHeight="1">
      <c r="A60" s="312">
        <f t="shared" si="7"/>
        <v>8</v>
      </c>
      <c r="B60" s="314"/>
      <c r="C60" s="337"/>
      <c r="F60" s="337"/>
      <c r="G60" s="337"/>
      <c r="H60" s="482" t="str">
        <f>if(isna(vlookup(concatenate("ALL",H$51,$C60),'Preference Lookup'!$D$3:$E$150,2,false)),".",vlookup(concatenate("ALL",H$51,$C60),'Preference Lookup'!$D$3:$E$150,2,false))</f>
        <v>.</v>
      </c>
      <c r="I60" s="482" t="str">
        <f>if(isna(vlookup(concatenate("ALL",I$51,$C60),'Preference Lookup'!$D$3:$E$150,2,false)),".",vlookup(concatenate("ALL",I$51,$C60),'Preference Lookup'!$D$3:$E$150,2,false))</f>
        <v>.</v>
      </c>
      <c r="J60" s="482" t="str">
        <f>if(isna(vlookup(concatenate("ALL",J$51,$C60),'Preference Lookup'!$D$3:$E$150,2,false)),".",vlookup(concatenate("ALL",J$51,$C60),'Preference Lookup'!$D$3:$E$150,2,false))</f>
        <v>.</v>
      </c>
      <c r="K60" s="482"/>
      <c r="L60" s="482"/>
      <c r="M60" s="482" t="str">
        <f>if(isna(vlookup(concatenate("ALL",M$51,$C60),'Preference Lookup'!$D$3:$E$150,2,false)),".",vlookup(concatenate("ALL",M$51,$C60),'Preference Lookup'!$D$3:$E$150,2,false))</f>
        <v>.</v>
      </c>
      <c r="N60" s="482" t="str">
        <f>if(isna(vlookup(concatenate("ALL",N$51,$C60),'Preference Lookup'!$D$3:$E$150,2,false)),".",vlookup(concatenate("ALL",N$51,$C60),'Preference Lookup'!$D$3:$E$150,2,false))</f>
        <v>.</v>
      </c>
      <c r="O60" s="482" t="str">
        <f>if(isna(vlookup(concatenate("ALL",O$51,$C60),'Preference Lookup'!$D$3:$E$150,2,false)),".",vlookup(concatenate("ALL",O$51,$C60),'Preference Lookup'!$D$3:$E$150,2,false))</f>
        <v>.</v>
      </c>
      <c r="P60" s="482"/>
      <c r="Q60" s="482"/>
    </row>
    <row r="61" ht="14.25" customHeight="1">
      <c r="A61" s="408"/>
      <c r="B61" s="409"/>
      <c r="C61" s="737"/>
      <c r="F61" s="737"/>
      <c r="G61" s="737"/>
      <c r="H61" s="410"/>
      <c r="I61" s="410"/>
      <c r="J61" s="410"/>
      <c r="K61" s="410"/>
      <c r="L61" s="410"/>
      <c r="M61" s="410"/>
      <c r="N61" s="410"/>
      <c r="O61" s="410"/>
      <c r="P61" s="410"/>
      <c r="Q61" s="410"/>
    </row>
    <row r="62" ht="14.25" customHeight="1">
      <c r="A62" s="298"/>
      <c r="B62" s="343"/>
      <c r="C62" s="344" t="s">
        <v>267</v>
      </c>
      <c r="F62" s="344"/>
      <c r="G62" s="477"/>
      <c r="H62" s="484"/>
      <c r="I62" s="484"/>
      <c r="J62" s="484"/>
      <c r="K62" s="484"/>
      <c r="L62" s="484"/>
      <c r="M62" s="484"/>
      <c r="N62" s="484"/>
      <c r="O62" s="484"/>
      <c r="P62" s="484"/>
      <c r="Q62" s="484"/>
    </row>
    <row r="63" ht="14.25" customHeight="1">
      <c r="A63" s="305">
        <v>1.0</v>
      </c>
      <c r="B63" s="347"/>
      <c r="C63" s="348" t="s">
        <v>268</v>
      </c>
      <c r="F63" s="348"/>
      <c r="G63" s="485"/>
      <c r="H63" s="480" t="str">
        <f>if(isna(vlookup(concatenate("ALL",H$51,$C63),'Preference Lookup'!$D$3:$E$150,2,false)),".",vlookup(concatenate("ALL",H$51,$C63),'Preference Lookup'!$D$3:$E$150,2,false))</f>
        <v>Ex Optout</v>
      </c>
      <c r="I63" s="480" t="str">
        <f>if(isna(vlookup(concatenate("ALL",I$51,$C63),'Preference Lookup'!$D$3:$E$150,2,false)),".",vlookup(concatenate("ALL",I$51,$C63),'Preference Lookup'!$D$3:$E$150,2,false))</f>
        <v>Inc All</v>
      </c>
      <c r="J63" s="480" t="str">
        <f>if(isna(vlookup(concatenate("ALL",J$51,$C63),'Preference Lookup'!$D$3:$E$150,2,false)),".",vlookup(concatenate("ALL",J$51,$C63),'Preference Lookup'!$D$3:$E$150,2,false))</f>
        <v>.</v>
      </c>
      <c r="K63" s="480" t="s">
        <v>76</v>
      </c>
      <c r="L63" s="480" t="s">
        <v>76</v>
      </c>
      <c r="M63" s="480" t="str">
        <f>if(isna(vlookup(concatenate("ALL",M$51,$C63),'Preference Lookup'!$D$3:$E$150,2,false)),".",vlookup(concatenate("ALL",M$51,$C63),'Preference Lookup'!$D$3:$E$150,2,false))</f>
        <v>Ex Optout</v>
      </c>
      <c r="N63" s="480" t="str">
        <f>if(isna(vlookup(concatenate("ALL",N$51,$C63),'Preference Lookup'!$D$3:$E$150,2,false)),".",vlookup(concatenate("ALL",N$51,$C63),'Preference Lookup'!$D$3:$E$150,2,false))</f>
        <v>Inc All</v>
      </c>
      <c r="O63" s="480" t="str">
        <f>if(isna(vlookup(concatenate("ALL",O$51,$C63),'Preference Lookup'!$D$3:$E$150,2,false)),".",vlookup(concatenate("ALL",O$51,$C63),'Preference Lookup'!$D$3:$E$150,2,false))</f>
        <v>.</v>
      </c>
      <c r="P63" s="480" t="s">
        <v>76</v>
      </c>
      <c r="Q63" s="480"/>
    </row>
    <row r="64" ht="14.25" customHeight="1">
      <c r="A64" s="312">
        <f t="shared" ref="A64:A66" si="8">A63+1</f>
        <v>2</v>
      </c>
      <c r="B64" s="349"/>
      <c r="C64" s="350" t="s">
        <v>340</v>
      </c>
      <c r="F64" s="350"/>
      <c r="G64" s="487"/>
      <c r="H64" s="482" t="str">
        <f>if(isna(vlookup(concatenate("ALL",H$51,$C64),'Preference Lookup'!$D$3:$E$150,2,false)),".",vlookup(concatenate("ALL",H$51,$C64),'Preference Lookup'!$D$3:$E$150,2,false))</f>
        <v>.</v>
      </c>
      <c r="I64" s="482" t="str">
        <f>if(isna(vlookup(concatenate("ALL",I$51,$C64),'Preference Lookup'!$D$3:$E$150,2,false)),".",vlookup(concatenate("ALL",I$51,$C64),'Preference Lookup'!$D$3:$E$150,2,false))</f>
        <v>.</v>
      </c>
      <c r="J64" s="482" t="str">
        <f>if(isna(vlookup(concatenate("ALL",J$51,$C64),'Preference Lookup'!$D$3:$E$150,2,false)),".",vlookup(concatenate("ALL",J$51,$C64),'Preference Lookup'!$D$3:$E$150,2,false))</f>
        <v>.</v>
      </c>
      <c r="K64" s="482" t="s">
        <v>76</v>
      </c>
      <c r="L64" s="482" t="s">
        <v>76</v>
      </c>
      <c r="M64" s="482" t="str">
        <f>if(isna(vlookup(concatenate("ALL",M$51,$C64),'Preference Lookup'!$D$3:$E$150,2,false)),".",vlookup(concatenate("ALL",M$51,$C64),'Preference Lookup'!$D$3:$E$150,2,false))</f>
        <v>.</v>
      </c>
      <c r="N64" s="482" t="str">
        <f>if(isna(vlookup(concatenate("ALL",N$51,$C64),'Preference Lookup'!$D$3:$E$150,2,false)),".",vlookup(concatenate("ALL",N$51,$C64),'Preference Lookup'!$D$3:$E$150,2,false))</f>
        <v>.</v>
      </c>
      <c r="O64" s="482" t="str">
        <f>if(isna(vlookup(concatenate("ALL",O$51,$C64),'Preference Lookup'!$D$3:$E$150,2,false)),".",vlookup(concatenate("ALL",O$51,$C64),'Preference Lookup'!$D$3:$E$150,2,false))</f>
        <v>.</v>
      </c>
      <c r="P64" s="482" t="s">
        <v>76</v>
      </c>
      <c r="Q64" s="482"/>
    </row>
    <row r="65" ht="14.25" customHeight="1">
      <c r="A65" s="342">
        <f t="shared" si="8"/>
        <v>3</v>
      </c>
      <c r="B65" s="347"/>
      <c r="C65" s="348" t="s">
        <v>341</v>
      </c>
      <c r="F65" s="348"/>
      <c r="G65" s="485"/>
      <c r="H65" s="480" t="str">
        <f>if(isna(vlookup(concatenate("ALL",H$51,$C65),'Preference Lookup'!$D$3:$E$150,2,false)),".",vlookup(concatenate("ALL",H$51,$C65),'Preference Lookup'!$D$3:$E$150,2,false))</f>
        <v>.</v>
      </c>
      <c r="I65" s="480" t="str">
        <f>if(isna(vlookup(concatenate("ALL",I$51,$C65),'Preference Lookup'!$D$3:$E$150,2,false)),".",vlookup(concatenate("ALL",I$51,$C65),'Preference Lookup'!$D$3:$E$150,2,false))</f>
        <v>.</v>
      </c>
      <c r="J65" s="480" t="str">
        <f>if(isna(vlookup(concatenate("ALL",J$51,$C65),'Preference Lookup'!$D$3:$E$150,2,false)),".",vlookup(concatenate("ALL",J$51,$C65),'Preference Lookup'!$D$3:$E$150,2,false))</f>
        <v>.</v>
      </c>
      <c r="K65" s="480" t="s">
        <v>76</v>
      </c>
      <c r="L65" s="480" t="s">
        <v>76</v>
      </c>
      <c r="M65" s="480" t="str">
        <f>if(isna(vlookup(concatenate("ALL",M$51,$C65),'Preference Lookup'!$D$3:$E$150,2,false)),".",vlookup(concatenate("ALL",M$51,$C65),'Preference Lookup'!$D$3:$E$150,2,false))</f>
        <v>.</v>
      </c>
      <c r="N65" s="480" t="str">
        <f>if(isna(vlookup(concatenate("ALL",N$51,$C65),'Preference Lookup'!$D$3:$E$150,2,false)),".",vlookup(concatenate("ALL",N$51,$C65),'Preference Lookup'!$D$3:$E$150,2,false))</f>
        <v>.</v>
      </c>
      <c r="O65" s="480" t="str">
        <f>if(isna(vlookup(concatenate("ALL",O$51,$C65),'Preference Lookup'!$D$3:$E$150,2,false)),".",vlookup(concatenate("ALL",O$51,$C65),'Preference Lookup'!$D$3:$E$150,2,false))</f>
        <v>.</v>
      </c>
      <c r="P65" s="480" t="s">
        <v>76</v>
      </c>
      <c r="Q65" s="480"/>
    </row>
    <row r="66" ht="14.25" customHeight="1">
      <c r="A66" s="312">
        <f t="shared" si="8"/>
        <v>4</v>
      </c>
      <c r="B66" s="349"/>
      <c r="C66" s="350" t="s">
        <v>342</v>
      </c>
      <c r="F66" s="350"/>
      <c r="G66" s="350"/>
      <c r="H66" s="482" t="str">
        <f>if(isna(vlookup(concatenate("ALL",H$51,$C66),'Preference Lookup'!$D$3:$E$150,2,false)),".",vlookup(concatenate("ALL",H$51,$C66),'Preference Lookup'!$D$3:$E$150,2,false))</f>
        <v>.</v>
      </c>
      <c r="I66" s="482" t="str">
        <f>if(isna(vlookup(concatenate("ALL",I$51,$C66),'Preference Lookup'!$D$3:$E$150,2,false)),".",vlookup(concatenate("ALL",I$51,$C66),'Preference Lookup'!$D$3:$E$150,2,false))</f>
        <v>.</v>
      </c>
      <c r="J66" s="482" t="str">
        <f>if(isna(vlookup(concatenate("ALL",J$51,$C66),'Preference Lookup'!$D$3:$E$150,2,false)),".",vlookup(concatenate("ALL",J$51,$C66),'Preference Lookup'!$D$3:$E$150,2,false))</f>
        <v>.</v>
      </c>
      <c r="K66" s="482" t="s">
        <v>76</v>
      </c>
      <c r="L66" s="482" t="s">
        <v>76</v>
      </c>
      <c r="M66" s="482" t="str">
        <f>if(isna(vlookup(concatenate("ALL",M$51,$C66),'Preference Lookup'!$D$3:$E$150,2,false)),".",vlookup(concatenate("ALL",M$51,$C66),'Preference Lookup'!$D$3:$E$150,2,false))</f>
        <v>.</v>
      </c>
      <c r="N66" s="482" t="str">
        <f>if(isna(vlookup(concatenate("ALL",N$51,$C66),'Preference Lookup'!$D$3:$E$150,2,false)),".",vlookup(concatenate("ALL",N$51,$C66),'Preference Lookup'!$D$3:$E$150,2,false))</f>
        <v>.</v>
      </c>
      <c r="O66" s="482" t="str">
        <f>if(isna(vlookup(concatenate("ALL",O$51,$C66),'Preference Lookup'!$D$3:$E$150,2,false)),".",vlookup(concatenate("ALL",O$51,$C66),'Preference Lookup'!$D$3:$E$150,2,false))</f>
        <v>.</v>
      </c>
      <c r="P66" s="482" t="s">
        <v>76</v>
      </c>
      <c r="Q66" s="482"/>
    </row>
    <row r="67" ht="14.25" customHeight="1">
      <c r="A67" s="342"/>
      <c r="B67" s="351"/>
      <c r="C67" s="348"/>
      <c r="D67" s="352"/>
      <c r="E67" s="353"/>
      <c r="F67" s="353"/>
      <c r="G67" s="353"/>
      <c r="H67" s="419"/>
      <c r="I67" s="419"/>
      <c r="J67" s="419"/>
      <c r="K67" s="419"/>
      <c r="L67" s="419"/>
      <c r="M67" s="419"/>
      <c r="N67" s="419"/>
      <c r="O67" s="419"/>
      <c r="P67" s="419"/>
      <c r="Q67" s="419"/>
    </row>
    <row r="68" ht="14.25" customHeight="1">
      <c r="A68" s="290"/>
      <c r="B68" s="291"/>
      <c r="C68" s="319" t="s">
        <v>269</v>
      </c>
      <c r="D68" s="293"/>
      <c r="E68" s="293"/>
      <c r="F68" s="293"/>
      <c r="G68" s="491"/>
      <c r="H68" s="407"/>
      <c r="I68" s="407"/>
      <c r="J68" s="407"/>
      <c r="K68" s="407"/>
      <c r="L68" s="407"/>
      <c r="M68" s="468"/>
      <c r="N68" s="468"/>
      <c r="O68" s="468"/>
      <c r="P68" s="468"/>
      <c r="Q68" s="468"/>
    </row>
    <row r="69" ht="14.25" customHeight="1">
      <c r="A69" s="354"/>
      <c r="B69" s="321"/>
      <c r="C69" s="355"/>
      <c r="D69" s="321"/>
      <c r="E69" s="321"/>
      <c r="F69" s="321"/>
      <c r="G69" s="492"/>
      <c r="H69" s="493" t="str">
        <f t="shared" ref="H69:J69" si="9">H$51</f>
        <v>Email</v>
      </c>
      <c r="I69" s="493" t="str">
        <f t="shared" si="9"/>
        <v>Rewards App</v>
      </c>
      <c r="J69" s="493" t="str">
        <f t="shared" si="9"/>
        <v/>
      </c>
      <c r="K69" s="493"/>
      <c r="L69" s="493"/>
      <c r="M69" s="493" t="str">
        <f t="shared" ref="M69:O69" si="10">M$51</f>
        <v>Email</v>
      </c>
      <c r="N69" s="493" t="str">
        <f t="shared" si="10"/>
        <v>Rewards App</v>
      </c>
      <c r="O69" s="493" t="str">
        <f t="shared" si="10"/>
        <v/>
      </c>
      <c r="P69" s="493"/>
      <c r="Q69" s="493"/>
    </row>
    <row r="70" ht="14.25" customHeight="1">
      <c r="A70" s="298"/>
      <c r="B70" s="299"/>
      <c r="C70" s="329" t="s">
        <v>270</v>
      </c>
      <c r="D70" s="328"/>
      <c r="E70" s="328"/>
      <c r="F70" s="328"/>
      <c r="G70" s="478"/>
      <c r="H70" s="478"/>
      <c r="I70" s="478"/>
      <c r="J70" s="478"/>
      <c r="K70" s="478"/>
      <c r="L70" s="478"/>
      <c r="M70" s="478"/>
      <c r="N70" s="478"/>
      <c r="O70" s="478"/>
      <c r="P70" s="478"/>
      <c r="Q70" s="478"/>
    </row>
    <row r="71" ht="14.25" customHeight="1">
      <c r="A71" s="305">
        <v>1.0</v>
      </c>
      <c r="B71" s="306"/>
      <c r="C71" s="356" t="s">
        <v>271</v>
      </c>
      <c r="H71" s="480" t="b">
        <f>if(isna(vlookup(concatenate("ALL",H$51,$C71),'Preference Lookup'!$D$3:$E$150,2,false)),false,vlookup(concatenate("ALL",H$51,$C71),'Preference Lookup'!$D$3:$E$150,2,false))</f>
        <v>1</v>
      </c>
      <c r="I71" s="480" t="b">
        <f>if(isna(vlookup(concatenate("ALL",I$51,$C71),'Preference Lookup'!$D$3:$E$150,2,false)),false,vlookup(concatenate("ALL",I$51,$C71),'Preference Lookup'!$D$3:$E$150,2,false))</f>
        <v>1</v>
      </c>
      <c r="J71" s="480" t="b">
        <f>if(isna(vlookup(concatenate("ALL",J$51,$C71),'Preference Lookup'!$D$3:$E$150,2,false)),false,vlookup(concatenate("ALL",J$51,$C71),'Preference Lookup'!$D$3:$E$150,2,false))</f>
        <v>0</v>
      </c>
      <c r="K71" s="480" t="b">
        <f>if(isna(vlookup(concatenate("ALL",K$51,$C71),'Preference Lookup'!$D$3:$E$150,2,false)),false,vlookup(concatenate("ALL",K$51,$C71),'Preference Lookup'!$D$3:$E$150,2,false))</f>
        <v>0</v>
      </c>
      <c r="L71" s="480" t="b">
        <f>if(isna(vlookup(concatenate("ALL",L$51,$C71),'Preference Lookup'!$D$3:$E$150,2,false)),false,vlookup(concatenate("ALL",L$51,$C71),'Preference Lookup'!$D$3:$E$150,2,false))</f>
        <v>0</v>
      </c>
      <c r="M71" s="480" t="b">
        <f>if(isna(vlookup(concatenate("ALL",M$51,$C71),'Preference Lookup'!$D$3:$E$150,2,false)),false,vlookup(concatenate("ALL",M$51,$C71),'Preference Lookup'!$D$3:$E$150,2,false))</f>
        <v>1</v>
      </c>
      <c r="N71" s="480" t="b">
        <f>if(isna(vlookup(concatenate("ALL",N$51,$C71),'Preference Lookup'!$D$3:$E$150,2,false)),false,vlookup(concatenate("ALL",N$51,$C71),'Preference Lookup'!$D$3:$E$150,2,false))</f>
        <v>1</v>
      </c>
      <c r="O71" s="480" t="b">
        <f>if(isna(vlookup(concatenate("ALL",O$51,$C71),'Preference Lookup'!$D$3:$E$150,2,false)),false,vlookup(concatenate("ALL",O$51,$C71),'Preference Lookup'!$D$3:$E$150,2,false))</f>
        <v>0</v>
      </c>
      <c r="P71" s="480" t="b">
        <f>if(isna(vlookup(concatenate("ALL",P$51,$C71),'Preference Lookup'!$D$3:$E$150,2,false)),false,vlookup(concatenate("ALL",P$51,$C71),'Preference Lookup'!$D$3:$E$150,2,false))</f>
        <v>0</v>
      </c>
      <c r="Q71" s="480" t="b">
        <f>if(isna(vlookup(concatenate("ALL",Q$51,$C71),'Preference Lookup'!$D$3:$E$150,2,false)),false,vlookup(concatenate("ALL",Q$51,$C71),'Preference Lookup'!$D$3:$E$150,2,false))</f>
        <v>0</v>
      </c>
    </row>
    <row r="72" ht="14.25" customHeight="1">
      <c r="A72" s="359">
        <v>2.0</v>
      </c>
      <c r="B72" s="360"/>
      <c r="C72" s="337" t="s">
        <v>105</v>
      </c>
      <c r="H72" s="482" t="b">
        <f>if(isna(vlookup(concatenate("ALL",H$51,$C72),'Preference Lookup'!$D$3:$E$150,2,false)),false,vlookup(concatenate("ALL",H$51,$C72),'Preference Lookup'!$D$3:$E$150,2,false))</f>
        <v>1</v>
      </c>
      <c r="I72" s="482" t="b">
        <f>if(isna(vlookup(concatenate("ALL",I$51,$C72),'Preference Lookup'!$D$3:$E$150,2,false)),false,vlookup(concatenate("ALL",I$51,$C72),'Preference Lookup'!$D$3:$E$150,2,false))</f>
        <v>1</v>
      </c>
      <c r="J72" s="482" t="b">
        <f>if(isna(vlookup(concatenate("ALL",J$51,$C72),'Preference Lookup'!$D$3:$E$150,2,false)),false,vlookup(concatenate("ALL",J$51,$C72),'Preference Lookup'!$D$3:$E$150,2,false))</f>
        <v>0</v>
      </c>
      <c r="K72" s="482" t="b">
        <f>if(isna(vlookup(concatenate("ALL",K$51,$C72),'Preference Lookup'!$D$3:$E$150,2,false)),false,vlookup(concatenate("ALL",K$51,$C72),'Preference Lookup'!$D$3:$E$150,2,false))</f>
        <v>0</v>
      </c>
      <c r="L72" s="482" t="b">
        <f>if(isna(vlookup(concatenate("ALL",L$51,$C72),'Preference Lookup'!$D$3:$E$150,2,false)),false,vlookup(concatenate("ALL",L$51,$C72),'Preference Lookup'!$D$3:$E$150,2,false))</f>
        <v>0</v>
      </c>
      <c r="M72" s="482" t="b">
        <f>if(isna(vlookup(concatenate("ALL",M$51,$C72),'Preference Lookup'!$D$3:$E$150,2,false)),false,vlookup(concatenate("ALL",M$51,$C72),'Preference Lookup'!$D$3:$E$150,2,false))</f>
        <v>1</v>
      </c>
      <c r="N72" s="482" t="b">
        <f>if(isna(vlookup(concatenate("ALL",N$51,$C72),'Preference Lookup'!$D$3:$E$150,2,false)),false,vlookup(concatenate("ALL",N$51,$C72),'Preference Lookup'!$D$3:$E$150,2,false))</f>
        <v>1</v>
      </c>
      <c r="O72" s="482" t="b">
        <f>if(isna(vlookup(concatenate("ALL",O$51,$C72),'Preference Lookup'!$D$3:$E$150,2,false)),false,vlookup(concatenate("ALL",O$51,$C72),'Preference Lookup'!$D$3:$E$150,2,false))</f>
        <v>0</v>
      </c>
      <c r="P72" s="482" t="b">
        <f>if(isna(vlookup(concatenate("ALL",P$51,$C72),'Preference Lookup'!$D$3:$E$150,2,false)),false,vlookup(concatenate("ALL",P$51,$C72),'Preference Lookup'!$D$3:$E$150,2,false))</f>
        <v>0</v>
      </c>
      <c r="Q72" s="482" t="b">
        <f>if(isna(vlookup(concatenate("ALL",Q$51,$C72),'Preference Lookup'!$D$3:$E$150,2,false)),false,vlookup(concatenate("ALL",Q$51,$C72),'Preference Lookup'!$D$3:$E$150,2,false))</f>
        <v>0</v>
      </c>
    </row>
    <row r="73" ht="14.25" customHeight="1">
      <c r="A73" s="342">
        <f t="shared" ref="A73:A75" si="11">A72+1</f>
        <v>3</v>
      </c>
      <c r="B73" s="306"/>
      <c r="C73" s="307" t="s">
        <v>106</v>
      </c>
      <c r="H73" s="480" t="b">
        <f>if(isna(vlookup(concatenate("ALL",H$51,$C73),'Preference Lookup'!$D$3:$E$150,2,false)),false,vlookup(concatenate("ALL",H$51,$C73),'Preference Lookup'!$D$3:$E$150,2,false))</f>
        <v>1</v>
      </c>
      <c r="I73" s="480" t="b">
        <f>if(isna(vlookup(concatenate("ALL",I$51,$C73),'Preference Lookup'!$D$3:$E$150,2,false)),false,vlookup(concatenate("ALL",I$51,$C73),'Preference Lookup'!$D$3:$E$150,2,false))</f>
        <v>1</v>
      </c>
      <c r="J73" s="480" t="b">
        <f>if(isna(vlookup(concatenate("ALL",J$51,$C73),'Preference Lookup'!$D$3:$E$150,2,false)),false,vlookup(concatenate("ALL",J$51,$C73),'Preference Lookup'!$D$3:$E$150,2,false))</f>
        <v>0</v>
      </c>
      <c r="K73" s="480" t="b">
        <f>if(isna(vlookup(concatenate("ALL",K$51,$C73),'Preference Lookup'!$D$3:$E$150,2,false)),false,vlookup(concatenate("ALL",K$51,$C73),'Preference Lookup'!$D$3:$E$150,2,false))</f>
        <v>0</v>
      </c>
      <c r="L73" s="480" t="b">
        <f>if(isna(vlookup(concatenate("ALL",L$51,$C73),'Preference Lookup'!$D$3:$E$150,2,false)),false,vlookup(concatenate("ALL",L$51,$C73),'Preference Lookup'!$D$3:$E$150,2,false))</f>
        <v>0</v>
      </c>
      <c r="M73" s="480" t="b">
        <f>if(isna(vlookup(concatenate("ALL",M$51,$C73),'Preference Lookup'!$D$3:$E$150,2,false)),false,vlookup(concatenate("ALL",M$51,$C73),'Preference Lookup'!$D$3:$E$150,2,false))</f>
        <v>1</v>
      </c>
      <c r="N73" s="480" t="b">
        <f>if(isna(vlookup(concatenate("ALL",N$51,$C73),'Preference Lookup'!$D$3:$E$150,2,false)),false,vlookup(concatenate("ALL",N$51,$C73),'Preference Lookup'!$D$3:$E$150,2,false))</f>
        <v>1</v>
      </c>
      <c r="O73" s="480" t="b">
        <f>if(isna(vlookup(concatenate("ALL",O$51,$C73),'Preference Lookup'!$D$3:$E$150,2,false)),false,vlookup(concatenate("ALL",O$51,$C73),'Preference Lookup'!$D$3:$E$150,2,false))</f>
        <v>0</v>
      </c>
      <c r="P73" s="480" t="b">
        <f>if(isna(vlookup(concatenate("ALL",P$51,$C73),'Preference Lookup'!$D$3:$E$150,2,false)),false,vlookup(concatenate("ALL",P$51,$C73),'Preference Lookup'!$D$3:$E$150,2,false))</f>
        <v>0</v>
      </c>
      <c r="Q73" s="480" t="b">
        <f>if(isna(vlookup(concatenate("ALL",Q$51,$C73),'Preference Lookup'!$D$3:$E$150,2,false)),false,vlookup(concatenate("ALL",Q$51,$C73),'Preference Lookup'!$D$3:$E$150,2,false))</f>
        <v>0</v>
      </c>
    </row>
    <row r="74" ht="14.25" customHeight="1">
      <c r="A74" s="312">
        <f t="shared" si="11"/>
        <v>4</v>
      </c>
      <c r="B74" s="360"/>
      <c r="C74" s="337" t="s">
        <v>129</v>
      </c>
      <c r="H74" s="482" t="b">
        <f>if(isna(vlookup(concatenate("ALL",H$51,$C74),'Preference Lookup'!$D$3:$E$150,2,false)),false,vlookup(concatenate("ALL",H$51,$C74),'Preference Lookup'!$D$3:$E$150,2,false))</f>
        <v>1</v>
      </c>
      <c r="I74" s="482" t="b">
        <f>if(isna(vlookup(concatenate("ALL",I$51,$C74),'Preference Lookup'!$D$3:$E$150,2,false)),false,vlookup(concatenate("ALL",I$51,$C74),'Preference Lookup'!$D$3:$E$150,2,false))</f>
        <v>0</v>
      </c>
      <c r="J74" s="482" t="b">
        <f>if(isna(vlookup(concatenate("ALL",J$51,$C74),'Preference Lookup'!$D$3:$E$150,2,false)),false,vlookup(concatenate("ALL",J$51,$C74),'Preference Lookup'!$D$3:$E$150,2,false))</f>
        <v>0</v>
      </c>
      <c r="K74" s="482" t="b">
        <f>if(isna(vlookup(concatenate("ALL",K$51,$C74),'Preference Lookup'!$D$3:$E$150,2,false)),false,vlookup(concatenate("ALL",K$51,$C74),'Preference Lookup'!$D$3:$E$150,2,false))</f>
        <v>0</v>
      </c>
      <c r="L74" s="482" t="b">
        <f>if(isna(vlookup(concatenate("ALL",L$51,$C74),'Preference Lookup'!$D$3:$E$150,2,false)),false,vlookup(concatenate("ALL",L$51,$C74),'Preference Lookup'!$D$3:$E$150,2,false))</f>
        <v>0</v>
      </c>
      <c r="M74" s="482" t="b">
        <f>if(isna(vlookup(concatenate("ALL",M$51,$C74),'Preference Lookup'!$D$3:$E$150,2,false)),false,vlookup(concatenate("ALL",M$51,$C74),'Preference Lookup'!$D$3:$E$150,2,false))</f>
        <v>1</v>
      </c>
      <c r="N74" s="482" t="b">
        <f>if(isna(vlookup(concatenate("ALL",N$51,$C74),'Preference Lookup'!$D$3:$E$150,2,false)),false,vlookup(concatenate("ALL",N$51,$C74),'Preference Lookup'!$D$3:$E$150,2,false))</f>
        <v>0</v>
      </c>
      <c r="O74" s="482" t="b">
        <f>if(isna(vlookup(concatenate("ALL",O$51,$C74),'Preference Lookup'!$D$3:$E$150,2,false)),false,vlookup(concatenate("ALL",O$51,$C74),'Preference Lookup'!$D$3:$E$150,2,false))</f>
        <v>0</v>
      </c>
      <c r="P74" s="482" t="b">
        <f>if(isna(vlookup(concatenate("ALL",P$51,$C74),'Preference Lookup'!$D$3:$E$150,2,false)),false,vlookup(concatenate("ALL",P$51,$C74),'Preference Lookup'!$D$3:$E$150,2,false))</f>
        <v>0</v>
      </c>
      <c r="Q74" s="482" t="b">
        <f>if(isna(vlookup(concatenate("ALL",Q$51,$C74),'Preference Lookup'!$D$3:$E$150,2,false)),false,vlookup(concatenate("ALL",Q$51,$C74),'Preference Lookup'!$D$3:$E$150,2,false))</f>
        <v>0</v>
      </c>
    </row>
    <row r="75" ht="14.25" customHeight="1">
      <c r="A75" s="342">
        <f t="shared" si="11"/>
        <v>5</v>
      </c>
      <c r="B75" s="306"/>
      <c r="C75" s="307" t="s">
        <v>343</v>
      </c>
      <c r="H75" s="480" t="b">
        <f>if(isna(vlookup(concatenate("ALL",H$51,$C75),'Preference Lookup'!$D$3:$E$150,2,false)),false,vlookup(concatenate("ALL",H$51,$C75),'Preference Lookup'!$D$3:$E$150,2,false))</f>
        <v>1</v>
      </c>
      <c r="I75" s="480" t="b">
        <f>if(isna(vlookup(concatenate("ALL",I$51,$C75),'Preference Lookup'!$D$3:$E$150,2,false)),false,vlookup(concatenate("ALL",I$51,$C75),'Preference Lookup'!$D$3:$E$150,2,false))</f>
        <v>0</v>
      </c>
      <c r="J75" s="480" t="b">
        <f>if(isna(vlookup(concatenate("ALL",J$51,$C75),'Preference Lookup'!$D$3:$E$150,2,false)),false,vlookup(concatenate("ALL",J$51,$C75),'Preference Lookup'!$D$3:$E$150,2,false))</f>
        <v>0</v>
      </c>
      <c r="K75" s="480" t="b">
        <f>if(isna(vlookup(concatenate("ALL",K$51,$C75),'Preference Lookup'!$D$3:$E$150,2,false)),false,vlookup(concatenate("ALL",K$51,$C75),'Preference Lookup'!$D$3:$E$150,2,false))</f>
        <v>0</v>
      </c>
      <c r="L75" s="480" t="b">
        <f>if(isna(vlookup(concatenate("ALL",L$51,$C75),'Preference Lookup'!$D$3:$E$150,2,false)),false,vlookup(concatenate("ALL",L$51,$C75),'Preference Lookup'!$D$3:$E$150,2,false))</f>
        <v>0</v>
      </c>
      <c r="M75" s="480" t="b">
        <f>if(isna(vlookup(concatenate("ALL",M$51,$C75),'Preference Lookup'!$D$3:$E$150,2,false)),false,vlookup(concatenate("ALL",M$51,$C75),'Preference Lookup'!$D$3:$E$150,2,false))</f>
        <v>1</v>
      </c>
      <c r="N75" s="480" t="b">
        <f>if(isna(vlookup(concatenate("ALL",N$51,$C75),'Preference Lookup'!$D$3:$E$150,2,false)),false,vlookup(concatenate("ALL",N$51,$C75),'Preference Lookup'!$D$3:$E$150,2,false))</f>
        <v>0</v>
      </c>
      <c r="O75" s="480" t="b">
        <f>if(isna(vlookup(concatenate("ALL",O$51,$C75),'Preference Lookup'!$D$3:$E$150,2,false)),false,vlookup(concatenate("ALL",O$51,$C75),'Preference Lookup'!$D$3:$E$150,2,false))</f>
        <v>0</v>
      </c>
      <c r="P75" s="480" t="b">
        <f>if(isna(vlookup(concatenate("ALL",P$51,$C75),'Preference Lookup'!$D$3:$E$150,2,false)),false,vlookup(concatenate("ALL",P$51,$C75),'Preference Lookup'!$D$3:$E$150,2,false))</f>
        <v>0</v>
      </c>
      <c r="Q75" s="480" t="b">
        <f>if(isna(vlookup(concatenate("ALL",Q$51,$C75),'Preference Lookup'!$D$3:$E$150,2,false)),false,vlookup(concatenate("ALL",Q$51,$C75),'Preference Lookup'!$D$3:$E$150,2,false))</f>
        <v>0</v>
      </c>
    </row>
    <row r="76" ht="14.25" customHeight="1">
      <c r="A76" s="312"/>
      <c r="B76" s="365"/>
      <c r="C76" s="366"/>
      <c r="H76" s="424"/>
      <c r="I76" s="424"/>
      <c r="J76" s="424"/>
      <c r="K76" s="424"/>
      <c r="L76" s="424"/>
      <c r="M76" s="424"/>
      <c r="N76" s="424"/>
      <c r="O76" s="424"/>
      <c r="P76" s="424"/>
      <c r="Q76" s="424"/>
    </row>
    <row r="77" ht="14.25" customHeight="1">
      <c r="A77" s="298"/>
      <c r="B77" s="343"/>
      <c r="C77" s="329" t="s">
        <v>274</v>
      </c>
      <c r="H77" s="484"/>
      <c r="I77" s="484"/>
      <c r="J77" s="484"/>
      <c r="K77" s="484"/>
      <c r="L77" s="484"/>
      <c r="M77" s="484"/>
      <c r="N77" s="484"/>
      <c r="O77" s="484"/>
      <c r="P77" s="484"/>
      <c r="Q77" s="484"/>
    </row>
    <row r="78" ht="14.25" customHeight="1">
      <c r="A78" s="369"/>
      <c r="B78" s="370"/>
      <c r="C78" s="371"/>
      <c r="D78" s="370"/>
      <c r="E78" s="370"/>
      <c r="F78" s="370"/>
      <c r="G78" s="494"/>
      <c r="H78" s="495" t="str">
        <f t="shared" ref="H78:J78" si="12">H$51</f>
        <v>Email</v>
      </c>
      <c r="I78" s="495" t="str">
        <f t="shared" si="12"/>
        <v>Rewards App</v>
      </c>
      <c r="J78" s="495" t="str">
        <f t="shared" si="12"/>
        <v/>
      </c>
      <c r="K78" s="495"/>
      <c r="L78" s="495" t="str">
        <f t="shared" ref="L78:P78" si="13">L$51</f>
        <v/>
      </c>
      <c r="M78" s="495" t="str">
        <f t="shared" si="13"/>
        <v>Email</v>
      </c>
      <c r="N78" s="495" t="str">
        <f t="shared" si="13"/>
        <v>Rewards App</v>
      </c>
      <c r="O78" s="495" t="str">
        <f t="shared" si="13"/>
        <v/>
      </c>
      <c r="P78" s="495" t="str">
        <f t="shared" si="13"/>
        <v/>
      </c>
      <c r="Q78" s="495"/>
    </row>
    <row r="79" ht="14.25" customHeight="1">
      <c r="A79" s="359">
        <v>1.0</v>
      </c>
      <c r="B79" s="482"/>
      <c r="C79" s="337" t="s">
        <v>107</v>
      </c>
      <c r="H79" s="482" t="str">
        <f>if(isna(vlookup(concatenate(Menu!$B$5,H$51,$C79),'Preference Lookup'!$D$3:$E$150,2,false)),false,vlookup(concatenate(Menu!$B$5,H$51,$C79),'Preference Lookup'!$D$3:$E$150,2,false))</f>
        <v>#REF!</v>
      </c>
      <c r="I79" s="482" t="str">
        <f>if(isna(vlookup(concatenate(Menu!$B$5,I$51,$C79),'Preference Lookup'!$D$3:$E$150,2,false)),false,vlookup(concatenate(Menu!$B$5,I$51,$C79),'Preference Lookup'!$D$3:$E$150,2,false))</f>
        <v>#REF!</v>
      </c>
      <c r="J79" s="482" t="str">
        <f>if(isna(vlookup(concatenate(Menu!$B$5,J$51,$C79),'Preference Lookup'!$D$3:$E$150,2,false)),false,vlookup(concatenate(Menu!$B$5,J$51,$C79),'Preference Lookup'!$D$3:$E$150,2,false))</f>
        <v>#REF!</v>
      </c>
      <c r="K79" s="482" t="str">
        <f>if(isna(vlookup(concatenate(Menu!$B$5,K$51,$C79),'Preference Lookup'!$D$3:$E$150,2,false)),false,vlookup(concatenate(Menu!$B$5,K$51,$C79),'Preference Lookup'!$D$3:$E$150,2,false))</f>
        <v>#REF!</v>
      </c>
      <c r="L79" s="482" t="str">
        <f>if(isna(vlookup(concatenate(Menu!$B$5,L$51,$C79),'Preference Lookup'!$D$3:$E$150,2,false)),false,vlookup(concatenate(Menu!$B$5,L$51,$C79),'Preference Lookup'!$D$3:$E$150,2,false))</f>
        <v>#REF!</v>
      </c>
      <c r="M79" s="482" t="str">
        <f>if(isna(vlookup(concatenate(Menu!$B$5,M$51,$C79),'Preference Lookup'!$D$3:$E$150,2,false)),false,vlookup(concatenate(Menu!$B$5,M$51,$C79),'Preference Lookup'!$D$3:$E$150,2,false))</f>
        <v>#REF!</v>
      </c>
      <c r="N79" s="482" t="str">
        <f>if(isna(vlookup(concatenate(Menu!$B$5,N$51,$C79),'Preference Lookup'!$D$3:$E$150,2,false)),false,vlookup(concatenate(Menu!$B$5,N$51,$C79),'Preference Lookup'!$D$3:$E$150,2,false))</f>
        <v>#REF!</v>
      </c>
      <c r="O79" s="482" t="str">
        <f>if(isna(vlookup(concatenate(Menu!$B$5,O$51,$C79),'Preference Lookup'!$D$3:$E$150,2,false)),false,vlookup(concatenate(Menu!$B$5,O$51,$C79),'Preference Lookup'!$D$3:$E$150,2,false))</f>
        <v>#REF!</v>
      </c>
      <c r="P79" s="482" t="str">
        <f>if(isna(vlookup(concatenate(Menu!$B$5,P$51,$C79),'Preference Lookup'!$D$3:$E$150,2,false)),false,vlookup(concatenate(Menu!$B$5,P$51,$C79),'Preference Lookup'!$D$3:$E$150,2,false))</f>
        <v>#REF!</v>
      </c>
      <c r="Q79" s="482" t="str">
        <f>if(isna(vlookup(concatenate(Menu!$B$5,Q$51,$C79),'Preference Lookup'!$D$3:$E$150,2,false)),false,vlookup(concatenate(Menu!$B$5,Q$51,$C79),'Preference Lookup'!$D$3:$E$150,2,false))</f>
        <v>#REF!</v>
      </c>
    </row>
    <row r="80" ht="14.25" customHeight="1">
      <c r="A80" s="342">
        <f t="shared" ref="A80:A81" si="14">A79+1</f>
        <v>2</v>
      </c>
      <c r="B80" s="306"/>
      <c r="C80" s="307" t="s">
        <v>275</v>
      </c>
      <c r="H80" s="480" t="b">
        <f>if(isna(vlookup(concatenate("ALL",H$51,$C80),'Preference Lookup'!$D$3:$E$150,2,false)),false,vlookup(concatenate("ALL",H$51,$C80),'Preference Lookup'!$D$3:$E$150,2,false))</f>
        <v>1</v>
      </c>
      <c r="I80" s="480" t="b">
        <f>if(isna(vlookup(concatenate("ALL",I$51,$C80),'Preference Lookup'!$D$3:$E$150,2,false)),false,vlookup(concatenate("ALL",I$51,$C80),'Preference Lookup'!$D$3:$E$150,2,false))</f>
        <v>1</v>
      </c>
      <c r="J80" s="480" t="b">
        <f>if(isna(vlookup(concatenate("ALL",J$51,$C80),'Preference Lookup'!$D$3:$E$150,2,false)),false,vlookup(concatenate("ALL",J$51,$C80),'Preference Lookup'!$D$3:$E$150,2,false))</f>
        <v>0</v>
      </c>
      <c r="K80" s="480" t="b">
        <f>if(isna(vlookup(concatenate("ALL",K$51,$C80),'Preference Lookup'!$D$3:$E$150,2,false)),false,vlookup(concatenate("ALL",K$51,$C80),'Preference Lookup'!$D$3:$E$150,2,false))</f>
        <v>0</v>
      </c>
      <c r="L80" s="480" t="b">
        <f>if(isna(vlookup(concatenate("ALL",L$51,$C80),'Preference Lookup'!$D$3:$E$150,2,false)),false,vlookup(concatenate("ALL",L$51,$C80),'Preference Lookup'!$D$3:$E$150,2,false))</f>
        <v>0</v>
      </c>
      <c r="M80" s="480" t="b">
        <f>if(isna(vlookup(concatenate("ALL",M$51,$C80),'Preference Lookup'!$D$3:$E$150,2,false)),false,vlookup(concatenate("ALL",M$51,$C80),'Preference Lookup'!$D$3:$E$150,2,false))</f>
        <v>1</v>
      </c>
      <c r="N80" s="480" t="b">
        <f>if(isna(vlookup(concatenate("ALL",N$51,$C80),'Preference Lookup'!$D$3:$E$150,2,false)),false,vlookup(concatenate("ALL",N$51,$C80),'Preference Lookup'!$D$3:$E$150,2,false))</f>
        <v>1</v>
      </c>
      <c r="O80" s="480" t="b">
        <f>if(isna(vlookup(concatenate("ALL",O$51,$C80),'Preference Lookup'!$D$3:$E$150,2,false)),false,vlookup(concatenate("ALL",O$51,$C80),'Preference Lookup'!$D$3:$E$150,2,false))</f>
        <v>0</v>
      </c>
      <c r="P80" s="480" t="b">
        <f>if(isna(vlookup(concatenate("ALL",P$51,$C80),'Preference Lookup'!$D$3:$E$150,2,false)),false,vlookup(concatenate("ALL",P$51,$C80),'Preference Lookup'!$D$3:$E$150,2,false))</f>
        <v>0</v>
      </c>
      <c r="Q80" s="480" t="b">
        <f>if(isna(vlookup(concatenate("ALL",Q$51,$C80),'Preference Lookup'!$D$3:$E$150,2,false)),false,vlookup(concatenate("ALL",Q$51,$C80),'Preference Lookup'!$D$3:$E$150,2,false))</f>
        <v>0</v>
      </c>
    </row>
    <row r="81" ht="14.25" customHeight="1">
      <c r="A81" s="312">
        <f t="shared" si="14"/>
        <v>3</v>
      </c>
      <c r="B81" s="360"/>
      <c r="C81" s="337" t="s">
        <v>110</v>
      </c>
      <c r="H81" s="482" t="b">
        <f>if(isna(vlookup(concatenate("ALL",H$51,$C81),'Preference Lookup'!$D$3:$E$150,2,false)),false,vlookup(concatenate("ALL",H$51,$C81),'Preference Lookup'!$D$3:$E$150,2,false))</f>
        <v>1</v>
      </c>
      <c r="I81" s="482" t="b">
        <f>if(isna(vlookup(concatenate("ALL",I$51,$C81),'Preference Lookup'!$D$3:$E$150,2,false)),false,vlookup(concatenate("ALL",I$51,$C81),'Preference Lookup'!$D$3:$E$150,2,false))</f>
        <v>1</v>
      </c>
      <c r="J81" s="482" t="b">
        <f>if(isna(vlookup(concatenate("ALL",J$51,$C81),'Preference Lookup'!$D$3:$E$150,2,false)),false,vlookup(concatenate("ALL",J$51,$C81),'Preference Lookup'!$D$3:$E$150,2,false))</f>
        <v>0</v>
      </c>
      <c r="K81" s="482" t="b">
        <f>if(isna(vlookup(concatenate("ALL",K$51,$C81),'Preference Lookup'!$D$3:$E$150,2,false)),false,vlookup(concatenate("ALL",K$51,$C81),'Preference Lookup'!$D$3:$E$150,2,false))</f>
        <v>0</v>
      </c>
      <c r="L81" s="482" t="b">
        <f>if(isna(vlookup(concatenate("ALL",L$51,$C81),'Preference Lookup'!$D$3:$E$150,2,false)),false,vlookup(concatenate("ALL",L$51,$C81),'Preference Lookup'!$D$3:$E$150,2,false))</f>
        <v>0</v>
      </c>
      <c r="M81" s="482" t="b">
        <f>if(isna(vlookup(concatenate("ALL",M$51,$C81),'Preference Lookup'!$D$3:$E$150,2,false)),false,vlookup(concatenate("ALL",M$51,$C81),'Preference Lookup'!$D$3:$E$150,2,false))</f>
        <v>1</v>
      </c>
      <c r="N81" s="482" t="b">
        <f>if(isna(vlookup(concatenate("ALL",N$51,$C81),'Preference Lookup'!$D$3:$E$150,2,false)),false,vlookup(concatenate("ALL",N$51,$C81),'Preference Lookup'!$D$3:$E$150,2,false))</f>
        <v>1</v>
      </c>
      <c r="O81" s="482" t="b">
        <f>if(isna(vlookup(concatenate("ALL",O$51,$C81),'Preference Lookup'!$D$3:$E$150,2,false)),false,vlookup(concatenate("ALL",O$51,$C81),'Preference Lookup'!$D$3:$E$150,2,false))</f>
        <v>0</v>
      </c>
      <c r="P81" s="482" t="b">
        <f>if(isna(vlookup(concatenate("ALL",P$51,$C81),'Preference Lookup'!$D$3:$E$150,2,false)),false,vlookup(concatenate("ALL",P$51,$C81),'Preference Lookup'!$D$3:$E$150,2,false))</f>
        <v>0</v>
      </c>
      <c r="Q81" s="482" t="b">
        <f>if(isna(vlookup(concatenate("ALL",Q$51,$C81),'Preference Lookup'!$D$3:$E$150,2,false)),false,vlookup(concatenate("ALL",Q$51,$C81),'Preference Lookup'!$D$3:$E$150,2,false))</f>
        <v>0</v>
      </c>
    </row>
    <row r="82" ht="14.25" customHeight="1">
      <c r="A82" s="305">
        <v>4.0</v>
      </c>
      <c r="B82" s="306"/>
      <c r="C82" s="307" t="s">
        <v>276</v>
      </c>
      <c r="H82" s="480" t="b">
        <f>if(isna(vlookup(concatenate("ALL",H$51,$C82),'Preference Lookup'!$D$3:$E$150,2,false)),false,vlookup(concatenate("ALL",H$51,$C82),'Preference Lookup'!$D$3:$E$150,2,false))</f>
        <v>1</v>
      </c>
      <c r="I82" s="480" t="b">
        <f>if(isna(vlookup(concatenate("ALL",I$51,$C82),'Preference Lookup'!$D$3:$E$150,2,false)),false,vlookup(concatenate("ALL",I$51,$C82),'Preference Lookup'!$D$3:$E$150,2,false))</f>
        <v>0</v>
      </c>
      <c r="J82" s="480" t="b">
        <f>if(isna(vlookup(concatenate("ALL",J$51,$C82),'Preference Lookup'!$D$3:$E$150,2,false)),false,vlookup(concatenate("ALL",J$51,$C82),'Preference Lookup'!$D$3:$E$150,2,false))</f>
        <v>0</v>
      </c>
      <c r="K82" s="480" t="b">
        <f>if(isna(vlookup(concatenate("ALL",K$51,$C82),'Preference Lookup'!$D$3:$E$150,2,false)),false,vlookup(concatenate("ALL",K$51,$C82),'Preference Lookup'!$D$3:$E$150,2,false))</f>
        <v>0</v>
      </c>
      <c r="L82" s="480" t="b">
        <f>if(isna(vlookup(concatenate("ALL",L$51,$C82),'Preference Lookup'!$D$3:$E$150,2,false)),false,vlookup(concatenate("ALL",L$51,$C82),'Preference Lookup'!$D$3:$E$150,2,false))</f>
        <v>0</v>
      </c>
      <c r="M82" s="480" t="b">
        <f>if(isna(vlookup(concatenate("ALL",M$51,$C82),'Preference Lookup'!$D$3:$E$150,2,false)),false,vlookup(concatenate("ALL",M$51,$C82),'Preference Lookup'!$D$3:$E$150,2,false))</f>
        <v>1</v>
      </c>
      <c r="N82" s="480" t="b">
        <f>if(isna(vlookup(concatenate("ALL",N$51,$C82),'Preference Lookup'!$D$3:$E$150,2,false)),false,vlookup(concatenate("ALL",N$51,$C82),'Preference Lookup'!$D$3:$E$150,2,false))</f>
        <v>0</v>
      </c>
      <c r="O82" s="480" t="b">
        <f>if(isna(vlookup(concatenate("ALL",O$51,$C82),'Preference Lookup'!$D$3:$E$150,2,false)),false,vlookup(concatenate("ALL",O$51,$C82),'Preference Lookup'!$D$3:$E$150,2,false))</f>
        <v>0</v>
      </c>
      <c r="P82" s="480" t="b">
        <f>if(isna(vlookup(concatenate("ALL",P$51,$C82),'Preference Lookup'!$D$3:$E$150,2,false)),false,vlookup(concatenate("ALL",P$51,$C82),'Preference Lookup'!$D$3:$E$150,2,false))</f>
        <v>0</v>
      </c>
      <c r="Q82" s="480" t="b">
        <f>if(isna(vlookup(concatenate("ALL",Q$51,$C82),'Preference Lookup'!$D$3:$E$150,2,false)),false,vlookup(concatenate("ALL",Q$51,$C82),'Preference Lookup'!$D$3:$E$150,2,false))</f>
        <v>0</v>
      </c>
    </row>
    <row r="83" ht="14.25" customHeight="1">
      <c r="A83" s="312">
        <f t="shared" ref="A83:A86" si="15">A82+1</f>
        <v>5</v>
      </c>
      <c r="B83" s="360"/>
      <c r="C83" s="337" t="s">
        <v>345</v>
      </c>
      <c r="H83" s="482" t="b">
        <f>if(isna(vlookup(concatenate("ALL",H$51,$C83),'Preference Lookup'!$D$3:$E$150,2,false)),false,vlookup(concatenate("ALL",H$51,$C83),'Preference Lookup'!$D$3:$E$150,2,false))</f>
        <v>0</v>
      </c>
      <c r="I83" s="482" t="b">
        <f>if(isna(vlookup(concatenate("ALL",I$51,$C83),'Preference Lookup'!$D$3:$E$150,2,false)),false,vlookup(concatenate("ALL",I$51,$C83),'Preference Lookup'!$D$3:$E$150,2,false))</f>
        <v>0</v>
      </c>
      <c r="J83" s="482" t="b">
        <f>if(isna(vlookup(concatenate("ALL",J$51,$C83),'Preference Lookup'!$D$3:$E$150,2,false)),false,vlookup(concatenate("ALL",J$51,$C83),'Preference Lookup'!$D$3:$E$150,2,false))</f>
        <v>0</v>
      </c>
      <c r="K83" s="482" t="b">
        <f>if(isna(vlookup(concatenate("ALL",K$51,$C83),'Preference Lookup'!$D$3:$E$150,2,false)),false,vlookup(concatenate("ALL",K$51,$C83),'Preference Lookup'!$D$3:$E$150,2,false))</f>
        <v>0</v>
      </c>
      <c r="L83" s="482" t="b">
        <f>if(isna(vlookup(concatenate("ALL",L$51,$C83),'Preference Lookup'!$D$3:$E$150,2,false)),false,vlookup(concatenate("ALL",L$51,$C83),'Preference Lookup'!$D$3:$E$150,2,false))</f>
        <v>0</v>
      </c>
      <c r="M83" s="482" t="b">
        <f>if(isna(vlookup(concatenate("ALL",M$51,$C83),'Preference Lookup'!$D$3:$E$150,2,false)),false,vlookup(concatenate("ALL",M$51,$C83),'Preference Lookup'!$D$3:$E$150,2,false))</f>
        <v>0</v>
      </c>
      <c r="N83" s="482" t="b">
        <f>if(isna(vlookup(concatenate("ALL",N$51,$C83),'Preference Lookup'!$D$3:$E$150,2,false)),false,vlookup(concatenate("ALL",N$51,$C83),'Preference Lookup'!$D$3:$E$150,2,false))</f>
        <v>0</v>
      </c>
      <c r="O83" s="482" t="b">
        <f>if(isna(vlookup(concatenate("ALL",O$51,$C83),'Preference Lookup'!$D$3:$E$150,2,false)),false,vlookup(concatenate("ALL",O$51,$C83),'Preference Lookup'!$D$3:$E$150,2,false))</f>
        <v>0</v>
      </c>
      <c r="P83" s="482" t="b">
        <f>if(isna(vlookup(concatenate("ALL",P$51,$C83),'Preference Lookup'!$D$3:$E$150,2,false)),false,vlookup(concatenate("ALL",P$51,$C83),'Preference Lookup'!$D$3:$E$150,2,false))</f>
        <v>0</v>
      </c>
      <c r="Q83" s="482" t="b">
        <f>if(isna(vlookup(concatenate("ALL",Q$51,$C83),'Preference Lookup'!$D$3:$E$150,2,false)),false,vlookup(concatenate("ALL",Q$51,$C83),'Preference Lookup'!$D$3:$E$150,2,false))</f>
        <v>0</v>
      </c>
    </row>
    <row r="84" ht="14.25" customHeight="1">
      <c r="A84" s="342">
        <f t="shared" si="15"/>
        <v>6</v>
      </c>
      <c r="B84" s="306"/>
      <c r="C84" s="374" t="str">
        <f>HYPERLINK("https://www.health.gov.au/health-topics/alcohol/about-alcohol/alcohol-laws-in-australia","Dry Postcodes (for Liquor Campaigns)")</f>
        <v>Dry Postcodes (for Liquor Campaigns)</v>
      </c>
      <c r="H84" s="480" t="str">
        <f>if(isna(vlookup(concatenate(Menu!$B$5,H$51,$C84),'Preference Lookup'!$D$3:$E$150,2,false)),false,vlookup(concatenate(Menu!$B$5,H$51,$C84),'Preference Lookup'!$D$3:$E$150,2,false))</f>
        <v>#REF!</v>
      </c>
      <c r="I84" s="480" t="str">
        <f>if(isna(vlookup(concatenate(Menu!$B$5,I$51,$C84),'Preference Lookup'!$D$3:$E$150,2,false)),false,vlookup(concatenate(Menu!$B$5,I$51,$C84),'Preference Lookup'!$D$3:$E$150,2,false))</f>
        <v>#REF!</v>
      </c>
      <c r="J84" s="480" t="str">
        <f>if(isna(vlookup(concatenate(Menu!$B$5,J$51,$C84),'Preference Lookup'!$D$3:$E$150,2,false)),false,vlookup(concatenate(Menu!$B$5,J$51,$C84),'Preference Lookup'!$D$3:$E$150,2,false))</f>
        <v>#REF!</v>
      </c>
      <c r="K84" s="480" t="str">
        <f>if(isna(vlookup(concatenate(Menu!$B$5,K$51,$C84),'Preference Lookup'!$D$3:$E$150,2,false)),false,vlookup(concatenate(Menu!$B$5,K$51,$C84),'Preference Lookup'!$D$3:$E$150,2,false))</f>
        <v>#REF!</v>
      </c>
      <c r="L84" s="480" t="str">
        <f>if(isna(vlookup(concatenate(Menu!$B$5,L$51,$C84),'Preference Lookup'!$D$3:$E$150,2,false)),false,vlookup(concatenate(Menu!$B$5,L$51,$C84),'Preference Lookup'!$D$3:$E$150,2,false))</f>
        <v>#REF!</v>
      </c>
      <c r="M84" s="480" t="str">
        <f>if(isna(vlookup(concatenate(Menu!$B$5,M$51,$C84),'Preference Lookup'!$D$3:$E$150,2,false)),false,vlookup(concatenate(Menu!$B$5,M$51,$C84),'Preference Lookup'!$D$3:$E$150,2,false))</f>
        <v>#REF!</v>
      </c>
      <c r="N84" s="480" t="str">
        <f>if(isna(vlookup(concatenate(Menu!$B$5,N$51,$C84),'Preference Lookup'!$D$3:$E$150,2,false)),false,vlookup(concatenate(Menu!$B$5,N$51,$C84),'Preference Lookup'!$D$3:$E$150,2,false))</f>
        <v>#REF!</v>
      </c>
      <c r="O84" s="480" t="str">
        <f>if(isna(vlookup(concatenate(Menu!$B$5,O$51,$C84),'Preference Lookup'!$D$3:$E$150,2,false)),false,vlookup(concatenate(Menu!$B$5,O$51,$C84),'Preference Lookup'!$D$3:$E$150,2,false))</f>
        <v>#REF!</v>
      </c>
      <c r="P84" s="480" t="str">
        <f>if(isna(vlookup(concatenate(Menu!$B$5,P$51,$C84),'Preference Lookup'!$D$3:$E$150,2,false)),false,vlookup(concatenate(Menu!$B$5,P$51,$C84),'Preference Lookup'!$D$3:$E$150,2,false))</f>
        <v>#REF!</v>
      </c>
      <c r="Q84" s="480" t="str">
        <f>if(isna(vlookup(concatenate(Menu!$B$5,Q$51,$C84),'Preference Lookup'!$D$3:$E$150,2,false)),false,vlookup(concatenate(Menu!$B$5,Q$51,$C84),'Preference Lookup'!$D$3:$E$150,2,false))</f>
        <v>#REF!</v>
      </c>
    </row>
    <row r="85" ht="14.25" customHeight="1">
      <c r="A85" s="312">
        <f t="shared" si="15"/>
        <v>7</v>
      </c>
      <c r="B85" s="360"/>
      <c r="C85" s="375" t="s">
        <v>278</v>
      </c>
      <c r="H85" s="482" t="b">
        <f>if(isna(vlookup(concatenate("ALL",H$51,$C85),'Preference Lookup'!$D$3:$E$150,2,false)),false,vlookup(concatenate("ALL",H$51,$C85),'Preference Lookup'!$D$3:$E$150,2,false))</f>
        <v>1</v>
      </c>
      <c r="I85" s="482" t="b">
        <f>if(isna(vlookup(concatenate("ALL",I$51,$C85),'Preference Lookup'!$D$3:$E$150,2,false)),false,vlookup(concatenate("ALL",I$51,$C85),'Preference Lookup'!$D$3:$E$150,2,false))</f>
        <v>1</v>
      </c>
      <c r="J85" s="482" t="b">
        <f>if(isna(vlookup(concatenate("ALL",J$51,$C85),'Preference Lookup'!$D$3:$E$150,2,false)),false,vlookup(concatenate("ALL",J$51,$C85),'Preference Lookup'!$D$3:$E$150,2,false))</f>
        <v>0</v>
      </c>
      <c r="K85" s="482" t="b">
        <f>if(isna(vlookup(concatenate("ALL",K$51,$C85),'Preference Lookup'!$D$3:$E$150,2,false)),false,vlookup(concatenate("ALL",K$51,$C85),'Preference Lookup'!$D$3:$E$150,2,false))</f>
        <v>0</v>
      </c>
      <c r="L85" s="482" t="b">
        <f>if(isna(vlookup(concatenate("ALL",L$51,$C85),'Preference Lookup'!$D$3:$E$150,2,false)),false,vlookup(concatenate("ALL",L$51,$C85),'Preference Lookup'!$D$3:$E$150,2,false))</f>
        <v>0</v>
      </c>
      <c r="M85" s="482" t="b">
        <f>if(isna(vlookup(concatenate("ALL",M$51,$C85),'Preference Lookup'!$D$3:$E$150,2,false)),false,vlookup(concatenate("ALL",M$51,$C85),'Preference Lookup'!$D$3:$E$150,2,false))</f>
        <v>1</v>
      </c>
      <c r="N85" s="482" t="b">
        <f>if(isna(vlookup(concatenate("ALL",N$51,$C85),'Preference Lookup'!$D$3:$E$150,2,false)),false,vlookup(concatenate("ALL",N$51,$C85),'Preference Lookup'!$D$3:$E$150,2,false))</f>
        <v>1</v>
      </c>
      <c r="O85" s="482" t="b">
        <f>if(isna(vlookup(concatenate("ALL",O$51,$C85),'Preference Lookup'!$D$3:$E$150,2,false)),false,vlookup(concatenate("ALL",O$51,$C85),'Preference Lookup'!$D$3:$E$150,2,false))</f>
        <v>0</v>
      </c>
      <c r="P85" s="482" t="b">
        <f>if(isna(vlookup(concatenate("ALL",P$51,$C85),'Preference Lookup'!$D$3:$E$150,2,false)),false,vlookup(concatenate("ALL",P$51,$C85),'Preference Lookup'!$D$3:$E$150,2,false))</f>
        <v>0</v>
      </c>
      <c r="Q85" s="482" t="b">
        <f>if(isna(vlookup(concatenate("ALL",Q$51,$C85),'Preference Lookup'!$D$3:$E$150,2,false)),false,vlookup(concatenate("ALL",Q$51,$C85),'Preference Lookup'!$D$3:$E$150,2,false))</f>
        <v>0</v>
      </c>
    </row>
    <row r="86" ht="14.25" customHeight="1">
      <c r="A86" s="342">
        <f t="shared" si="15"/>
        <v>8</v>
      </c>
      <c r="B86" s="306"/>
      <c r="C86" s="376" t="s">
        <v>279</v>
      </c>
      <c r="D86" s="376"/>
      <c r="E86" s="376"/>
      <c r="F86" s="376"/>
      <c r="G86" s="376"/>
      <c r="H86" s="480" t="b">
        <f>if(isna(vlookup(concatenate("ALL",H$51,$C86),'Preference Lookup'!$D$3:$E$150,2,false)),false,vlookup(concatenate("ALL",H$51,$C86),'Preference Lookup'!$D$3:$E$150,2,false))</f>
        <v>1</v>
      </c>
      <c r="I86" s="480" t="b">
        <f>if(isna(vlookup(concatenate("ALL",I$51,$C86),'Preference Lookup'!$D$3:$E$150,2,false)),false,vlookup(concatenate("ALL",I$51,$C86),'Preference Lookup'!$D$3:$E$150,2,false))</f>
        <v>1</v>
      </c>
      <c r="J86" s="480" t="b">
        <f>if(isna(vlookup(concatenate("ALL",J$51,$C86),'Preference Lookup'!$D$3:$E$150,2,false)),false,vlookup(concatenate("ALL",J$51,$C86),'Preference Lookup'!$D$3:$E$150,2,false))</f>
        <v>0</v>
      </c>
      <c r="K86" s="480" t="b">
        <f>if(isna(vlookup(concatenate("ALL",K$51,$C86),'Preference Lookup'!$D$3:$E$150,2,false)),false,vlookup(concatenate("ALL",K$51,$C86),'Preference Lookup'!$D$3:$E$150,2,false))</f>
        <v>0</v>
      </c>
      <c r="L86" s="480" t="b">
        <f>if(isna(vlookup(concatenate("ALL",L$51,$C86),'Preference Lookup'!$D$3:$E$150,2,false)),false,vlookup(concatenate("ALL",L$51,$C86),'Preference Lookup'!$D$3:$E$150,2,false))</f>
        <v>0</v>
      </c>
      <c r="M86" s="480" t="b">
        <f>if(isna(vlookup(concatenate("ALL",M$51,$C86),'Preference Lookup'!$D$3:$E$150,2,false)),false,vlookup(concatenate("ALL",M$51,$C86),'Preference Lookup'!$D$3:$E$150,2,false))</f>
        <v>1</v>
      </c>
      <c r="N86" s="480" t="b">
        <f>if(isna(vlookup(concatenate("ALL",N$51,$C86),'Preference Lookup'!$D$3:$E$150,2,false)),false,vlookup(concatenate("ALL",N$51,$C86),'Preference Lookup'!$D$3:$E$150,2,false))</f>
        <v>1</v>
      </c>
      <c r="O86" s="480" t="b">
        <f>if(isna(vlookup(concatenate("ALL",O$51,$C86),'Preference Lookup'!$D$3:$E$150,2,false)),false,vlookup(concatenate("ALL",O$51,$C86),'Preference Lookup'!$D$3:$E$150,2,false))</f>
        <v>0</v>
      </c>
      <c r="P86" s="480" t="b">
        <f>if(isna(vlookup(concatenate("ALL",P$51,$C86),'Preference Lookup'!$D$3:$E$150,2,false)),false,vlookup(concatenate("ALL",P$51,$C86),'Preference Lookup'!$D$3:$E$150,2,false))</f>
        <v>0</v>
      </c>
      <c r="Q86" s="480" t="b">
        <f>if(isna(vlookup(concatenate("ALL",Q$51,$C86),'Preference Lookup'!$D$3:$E$150,2,false)),false,vlookup(concatenate("ALL",Q$51,$C86),'Preference Lookup'!$D$3:$E$150,2,false))</f>
        <v>0</v>
      </c>
    </row>
    <row r="87" ht="14.25" customHeight="1">
      <c r="A87" s="377"/>
      <c r="B87" s="349"/>
      <c r="C87" s="378"/>
      <c r="F87" s="337"/>
      <c r="G87" s="424"/>
      <c r="H87" s="496"/>
      <c r="I87" s="496"/>
      <c r="J87" s="496"/>
      <c r="K87" s="496"/>
      <c r="L87" s="496"/>
      <c r="M87" s="496"/>
      <c r="N87" s="496"/>
      <c r="O87" s="496"/>
      <c r="P87" s="496"/>
      <c r="Q87" s="496"/>
    </row>
    <row r="88" ht="14.25" customHeight="1">
      <c r="A88" s="379"/>
      <c r="B88" s="380"/>
      <c r="C88" s="329" t="s">
        <v>280</v>
      </c>
      <c r="H88" s="484"/>
      <c r="I88" s="484"/>
      <c r="J88" s="484"/>
      <c r="K88" s="484"/>
      <c r="L88" s="484"/>
      <c r="M88" s="484"/>
      <c r="N88" s="484"/>
      <c r="O88" s="484"/>
      <c r="P88" s="484"/>
      <c r="Q88" s="484"/>
    </row>
    <row r="89" ht="14.25" customHeight="1">
      <c r="A89" s="369"/>
      <c r="B89" s="370"/>
      <c r="C89" s="371"/>
      <c r="D89" s="370"/>
      <c r="E89" s="370"/>
      <c r="F89" s="370"/>
      <c r="G89" s="494"/>
      <c r="H89" s="495" t="str">
        <f t="shared" ref="H89:L89" si="16">H$51</f>
        <v>Email</v>
      </c>
      <c r="I89" s="495" t="str">
        <f t="shared" si="16"/>
        <v>Rewards App</v>
      </c>
      <c r="J89" s="495" t="str">
        <f t="shared" si="16"/>
        <v/>
      </c>
      <c r="K89" s="495" t="str">
        <f t="shared" si="16"/>
        <v/>
      </c>
      <c r="L89" s="495" t="str">
        <f t="shared" si="16"/>
        <v/>
      </c>
      <c r="M89" s="495"/>
      <c r="N89" s="495"/>
      <c r="O89" s="495"/>
      <c r="P89" s="495"/>
      <c r="Q89" s="495"/>
    </row>
    <row r="90" ht="14.25" customHeight="1">
      <c r="A90" s="359">
        <v>1.0</v>
      </c>
      <c r="B90" s="360"/>
      <c r="C90" s="337" t="s">
        <v>281</v>
      </c>
      <c r="H90" s="482" t="b">
        <v>0</v>
      </c>
      <c r="I90" s="482" t="b">
        <v>0</v>
      </c>
      <c r="J90" s="482" t="b">
        <v>0</v>
      </c>
      <c r="K90" s="482" t="b">
        <v>0</v>
      </c>
      <c r="L90" s="482" t="b">
        <v>0</v>
      </c>
      <c r="M90" s="482"/>
      <c r="N90" s="482"/>
      <c r="O90" s="482"/>
      <c r="P90" s="482"/>
      <c r="Q90" s="482" t="b">
        <v>0</v>
      </c>
    </row>
    <row r="91" ht="14.25" customHeight="1">
      <c r="A91" s="342">
        <f>A90+1</f>
        <v>2</v>
      </c>
      <c r="B91" s="306"/>
      <c r="C91" s="497" t="s">
        <v>347</v>
      </c>
      <c r="H91" s="480" t="b">
        <v>0</v>
      </c>
      <c r="I91" s="480" t="b">
        <v>0</v>
      </c>
      <c r="J91" s="480" t="b">
        <v>0</v>
      </c>
      <c r="K91" s="480" t="b">
        <v>0</v>
      </c>
      <c r="L91" s="480" t="b">
        <v>0</v>
      </c>
      <c r="M91" s="480"/>
      <c r="N91" s="480"/>
      <c r="O91" s="480"/>
      <c r="P91" s="480"/>
      <c r="Q91" s="480" t="b">
        <v>0</v>
      </c>
    </row>
    <row r="92" ht="14.25" customHeight="1">
      <c r="A92" s="377"/>
      <c r="B92" s="349"/>
      <c r="C92" s="337"/>
      <c r="H92" s="496"/>
      <c r="I92" s="496"/>
      <c r="J92" s="496"/>
      <c r="K92" s="496"/>
      <c r="L92" s="496"/>
      <c r="M92" s="496"/>
      <c r="N92" s="496"/>
      <c r="O92" s="496"/>
      <c r="P92" s="496"/>
      <c r="Q92" s="496"/>
    </row>
    <row r="93" ht="14.25" customHeight="1">
      <c r="A93" s="379"/>
      <c r="B93" s="380"/>
      <c r="C93" s="329" t="s">
        <v>349</v>
      </c>
      <c r="H93" s="484"/>
      <c r="I93" s="484"/>
      <c r="J93" s="484"/>
      <c r="K93" s="484"/>
      <c r="L93" s="484"/>
      <c r="M93" s="484"/>
      <c r="N93" s="484"/>
      <c r="O93" s="484"/>
      <c r="P93" s="484"/>
      <c r="Q93" s="484"/>
    </row>
    <row r="94" ht="14.25" customHeight="1">
      <c r="A94" s="369"/>
      <c r="B94" s="370"/>
      <c r="C94" s="371"/>
      <c r="D94" s="370"/>
      <c r="E94" s="370"/>
      <c r="F94" s="370"/>
      <c r="G94" s="494"/>
      <c r="H94" s="495" t="str">
        <f t="shared" ref="H94:J94" si="17">H$51</f>
        <v>Email</v>
      </c>
      <c r="I94" s="495" t="str">
        <f t="shared" si="17"/>
        <v>Rewards App</v>
      </c>
      <c r="J94" s="495" t="str">
        <f t="shared" si="17"/>
        <v/>
      </c>
      <c r="K94" s="495"/>
      <c r="L94" s="495" t="str">
        <f>L$51</f>
        <v/>
      </c>
      <c r="M94" s="495"/>
      <c r="N94" s="495"/>
      <c r="O94" s="495"/>
      <c r="P94" s="495"/>
      <c r="Q94" s="495"/>
    </row>
    <row r="95" ht="14.25" customHeight="1">
      <c r="A95" s="359">
        <v>1.0</v>
      </c>
      <c r="B95" s="360"/>
      <c r="C95" s="337" t="s">
        <v>350</v>
      </c>
      <c r="H95" s="482" t="b">
        <v>0</v>
      </c>
      <c r="I95" s="482" t="b">
        <v>0</v>
      </c>
      <c r="J95" s="482" t="b">
        <v>0</v>
      </c>
      <c r="K95" s="482" t="b">
        <v>0</v>
      </c>
      <c r="L95" s="482" t="b">
        <v>0</v>
      </c>
      <c r="M95" s="482"/>
      <c r="N95" s="482"/>
      <c r="O95" s="482"/>
      <c r="P95" s="482"/>
      <c r="Q95" s="482"/>
    </row>
    <row r="96" ht="14.25" customHeight="1">
      <c r="A96" s="342">
        <f t="shared" ref="A96:A97" si="18">A95+1</f>
        <v>2</v>
      </c>
      <c r="B96" s="306"/>
      <c r="C96" s="307" t="s">
        <v>351</v>
      </c>
      <c r="H96" s="480" t="b">
        <v>0</v>
      </c>
      <c r="I96" s="480" t="b">
        <v>0</v>
      </c>
      <c r="J96" s="480" t="b">
        <v>0</v>
      </c>
      <c r="K96" s="480" t="b">
        <v>0</v>
      </c>
      <c r="L96" s="480" t="b">
        <v>0</v>
      </c>
      <c r="M96" s="480"/>
      <c r="N96" s="480"/>
      <c r="O96" s="480"/>
      <c r="P96" s="480"/>
      <c r="Q96" s="480"/>
    </row>
    <row r="97" ht="14.25" customHeight="1">
      <c r="A97" s="312">
        <f t="shared" si="18"/>
        <v>3</v>
      </c>
      <c r="B97" s="360"/>
      <c r="C97" s="337" t="s">
        <v>352</v>
      </c>
      <c r="H97" s="482" t="b">
        <v>0</v>
      </c>
      <c r="I97" s="482" t="b">
        <v>0</v>
      </c>
      <c r="J97" s="482" t="b">
        <v>0</v>
      </c>
      <c r="K97" s="482" t="b">
        <v>0</v>
      </c>
      <c r="L97" s="482" t="b">
        <v>0</v>
      </c>
      <c r="M97" s="482"/>
      <c r="N97" s="482"/>
      <c r="O97" s="482"/>
      <c r="P97" s="482"/>
      <c r="Q97" s="482"/>
    </row>
    <row r="98" ht="14.25" customHeight="1">
      <c r="A98" s="408"/>
      <c r="B98" s="500"/>
      <c r="C98" s="413"/>
      <c r="H98" s="501"/>
      <c r="I98" s="501"/>
      <c r="J98" s="501"/>
      <c r="K98" s="501"/>
      <c r="L98" s="501"/>
      <c r="M98" s="501"/>
      <c r="N98" s="501"/>
      <c r="O98" s="501"/>
      <c r="P98" s="501"/>
      <c r="Q98" s="501"/>
    </row>
    <row r="99" ht="14.25" customHeight="1">
      <c r="A99" s="298"/>
      <c r="B99" s="380"/>
      <c r="C99" s="329" t="s">
        <v>353</v>
      </c>
      <c r="H99" s="328"/>
      <c r="I99" s="328"/>
      <c r="J99" s="328"/>
      <c r="K99" s="328"/>
      <c r="L99" s="328"/>
      <c r="M99" s="328"/>
      <c r="N99" s="328"/>
      <c r="O99" s="328"/>
      <c r="P99" s="328"/>
      <c r="Q99" s="328"/>
    </row>
    <row r="100" ht="14.25" customHeight="1">
      <c r="A100" s="369"/>
      <c r="B100" s="370"/>
      <c r="C100" s="371"/>
      <c r="D100" s="370"/>
      <c r="E100" s="370"/>
      <c r="F100" s="370"/>
      <c r="G100" s="494"/>
      <c r="H100" s="495" t="str">
        <f t="shared" ref="H100:J100" si="19">H$51</f>
        <v>Email</v>
      </c>
      <c r="I100" s="495" t="str">
        <f t="shared" si="19"/>
        <v>Rewards App</v>
      </c>
      <c r="J100" s="495" t="str">
        <f t="shared" si="19"/>
        <v/>
      </c>
      <c r="K100" s="495"/>
      <c r="L100" s="495" t="str">
        <f>L$51</f>
        <v/>
      </c>
      <c r="M100" s="495"/>
      <c r="N100" s="495"/>
      <c r="O100" s="495"/>
      <c r="P100" s="495"/>
      <c r="Q100" s="495"/>
    </row>
    <row r="101" ht="14.25" customHeight="1">
      <c r="A101" s="359">
        <v>1.0</v>
      </c>
      <c r="B101" s="360"/>
      <c r="C101" s="337" t="s">
        <v>354</v>
      </c>
      <c r="H101" s="482" t="b">
        <v>0</v>
      </c>
      <c r="I101" s="482" t="b">
        <v>0</v>
      </c>
      <c r="J101" s="482" t="b">
        <v>0</v>
      </c>
      <c r="K101" s="482" t="b">
        <v>0</v>
      </c>
      <c r="L101" s="482" t="b">
        <v>0</v>
      </c>
      <c r="M101" s="482"/>
      <c r="N101" s="482"/>
      <c r="O101" s="482"/>
      <c r="P101" s="482"/>
      <c r="Q101" s="482"/>
    </row>
    <row r="102" ht="14.25" customHeight="1">
      <c r="A102" s="342">
        <f t="shared" ref="A102:A104" si="20">A101+1</f>
        <v>2</v>
      </c>
      <c r="B102" s="306"/>
      <c r="C102" s="374" t="str">
        <f>HYPERLINK("https://docs.google.com/spreadsheets/d/1pQxQ2d-9Pb1zkECw8E6m0nCkibpbodIj-6-HI0Jtfqw/edit#gid=1035024271","LCP Store Campaigns-Reseved Audience for LCP")</f>
        <v>LCP Store Campaigns-Reseved Audience for LCP</v>
      </c>
      <c r="H102" s="480" t="b">
        <v>0</v>
      </c>
      <c r="I102" s="480" t="b">
        <v>0</v>
      </c>
      <c r="J102" s="480" t="b">
        <v>0</v>
      </c>
      <c r="K102" s="480" t="b">
        <v>0</v>
      </c>
      <c r="L102" s="480" t="b">
        <v>0</v>
      </c>
      <c r="M102" s="480"/>
      <c r="N102" s="480"/>
      <c r="O102" s="480"/>
      <c r="P102" s="480"/>
      <c r="Q102" s="480"/>
    </row>
    <row r="103" ht="14.25" customHeight="1">
      <c r="A103" s="312">
        <f t="shared" si="20"/>
        <v>3</v>
      </c>
      <c r="B103" s="313"/>
      <c r="C103" s="430" t="str">
        <f>HYPERLINK("https://docs.google.com/presentation/d/1VFvVEuj-PwbqpMcjxvxxwDtY1sOEEl1aI7rUSSc-ZCk/edit","Influencers")</f>
        <v>Influencers</v>
      </c>
      <c r="F103" s="504"/>
      <c r="G103" s="505"/>
      <c r="H103" s="482" t="b">
        <v>0</v>
      </c>
      <c r="I103" s="482" t="b">
        <v>0</v>
      </c>
      <c r="J103" s="482" t="b">
        <v>0</v>
      </c>
      <c r="K103" s="482" t="b">
        <v>0</v>
      </c>
      <c r="L103" s="482" t="b">
        <v>0</v>
      </c>
      <c r="M103" s="482"/>
      <c r="N103" s="482"/>
      <c r="O103" s="482"/>
      <c r="P103" s="482"/>
      <c r="Q103" s="482"/>
    </row>
    <row r="104" ht="14.25" customHeight="1">
      <c r="A104" s="342">
        <f t="shared" si="20"/>
        <v>4</v>
      </c>
      <c r="B104" s="502"/>
      <c r="C104" s="307" t="s">
        <v>355</v>
      </c>
      <c r="F104" s="503" t="s">
        <v>356</v>
      </c>
      <c r="G104" s="353"/>
      <c r="H104" s="480" t="b">
        <v>0</v>
      </c>
      <c r="I104" s="480" t="b">
        <v>0</v>
      </c>
      <c r="J104" s="480" t="b">
        <v>0</v>
      </c>
      <c r="K104" s="480" t="b">
        <v>0</v>
      </c>
      <c r="L104" s="480" t="b">
        <v>0</v>
      </c>
      <c r="M104" s="480"/>
      <c r="N104" s="480"/>
      <c r="O104" s="480"/>
      <c r="P104" s="480"/>
      <c r="Q104" s="480"/>
    </row>
    <row r="105" ht="14.25" customHeight="1">
      <c r="A105" s="312"/>
      <c r="B105" s="313"/>
      <c r="C105" s="337"/>
      <c r="D105" s="337"/>
      <c r="E105" s="337"/>
      <c r="F105" s="504"/>
      <c r="G105" s="505"/>
      <c r="H105" s="506"/>
      <c r="I105" s="506"/>
      <c r="J105" s="506"/>
      <c r="K105" s="506"/>
      <c r="L105" s="506"/>
      <c r="M105" s="506"/>
      <c r="N105" s="506"/>
      <c r="O105" s="506"/>
      <c r="P105" s="506"/>
      <c r="Q105" s="506"/>
    </row>
    <row r="106" ht="14.25" customHeight="1">
      <c r="A106" s="507"/>
      <c r="B106" s="508"/>
      <c r="C106" s="329" t="s">
        <v>460</v>
      </c>
      <c r="H106" s="509"/>
      <c r="I106" s="509"/>
      <c r="J106" s="509"/>
      <c r="K106" s="509"/>
      <c r="L106" s="509"/>
      <c r="M106" s="509"/>
      <c r="N106" s="509"/>
      <c r="O106" s="509"/>
      <c r="P106" s="509"/>
      <c r="Q106" s="509"/>
    </row>
    <row r="107" ht="14.25" customHeight="1">
      <c r="A107" s="305">
        <v>1.0</v>
      </c>
      <c r="B107" s="502"/>
      <c r="C107" s="503"/>
      <c r="E107" s="465"/>
      <c r="H107" s="353"/>
      <c r="I107" s="353"/>
      <c r="J107" s="353"/>
      <c r="K107" s="353"/>
      <c r="L107" s="353"/>
      <c r="M107" s="353"/>
      <c r="N107" s="353"/>
      <c r="O107" s="353"/>
      <c r="P107" s="353"/>
      <c r="Q107" s="353"/>
    </row>
    <row r="108" ht="14.25" customHeight="1">
      <c r="A108" s="359">
        <f t="shared" ref="A108:A111" si="21">A107+1</f>
        <v>2</v>
      </c>
      <c r="B108" s="420"/>
      <c r="C108" s="504"/>
      <c r="E108" s="510"/>
      <c r="H108" s="505"/>
      <c r="I108" s="505"/>
      <c r="J108" s="505"/>
      <c r="K108" s="505"/>
      <c r="L108" s="505"/>
      <c r="M108" s="505"/>
      <c r="N108" s="505"/>
      <c r="O108" s="505"/>
      <c r="P108" s="505"/>
      <c r="Q108" s="505"/>
    </row>
    <row r="109" ht="14.25" customHeight="1">
      <c r="A109" s="305">
        <f t="shared" si="21"/>
        <v>3</v>
      </c>
      <c r="B109" s="351"/>
      <c r="C109" s="503"/>
      <c r="E109" s="465"/>
      <c r="H109" s="353"/>
      <c r="I109" s="353"/>
      <c r="J109" s="353"/>
      <c r="K109" s="353"/>
      <c r="L109" s="353"/>
      <c r="M109" s="353"/>
      <c r="N109" s="353"/>
      <c r="O109" s="353"/>
      <c r="P109" s="353"/>
      <c r="Q109" s="353"/>
    </row>
    <row r="110" ht="14.25" customHeight="1">
      <c r="A110" s="359">
        <f t="shared" si="21"/>
        <v>4</v>
      </c>
      <c r="B110" s="420"/>
      <c r="C110" s="504"/>
      <c r="E110" s="510"/>
      <c r="H110" s="505"/>
      <c r="I110" s="505"/>
      <c r="J110" s="505"/>
      <c r="K110" s="505"/>
      <c r="L110" s="505"/>
      <c r="M110" s="505"/>
      <c r="N110" s="505"/>
      <c r="O110" s="505"/>
      <c r="P110" s="505"/>
      <c r="Q110" s="505"/>
    </row>
    <row r="111" ht="14.25" customHeight="1">
      <c r="A111" s="305">
        <f t="shared" si="21"/>
        <v>5</v>
      </c>
      <c r="B111" s="351"/>
      <c r="C111" s="503"/>
      <c r="E111" s="465"/>
      <c r="H111" s="353"/>
      <c r="I111" s="353"/>
      <c r="J111" s="353"/>
      <c r="K111" s="353"/>
      <c r="L111" s="353"/>
      <c r="M111" s="353"/>
      <c r="N111" s="353"/>
      <c r="O111" s="353"/>
      <c r="P111" s="353"/>
      <c r="Q111" s="353"/>
    </row>
    <row r="112" ht="14.25" customHeight="1">
      <c r="A112" s="511"/>
      <c r="B112" s="512"/>
      <c r="C112" s="513"/>
      <c r="D112" s="514"/>
      <c r="E112" s="514"/>
      <c r="F112" s="514"/>
      <c r="G112" s="515"/>
      <c r="H112" s="424"/>
      <c r="I112" s="424"/>
      <c r="J112" s="424"/>
      <c r="K112" s="424"/>
      <c r="L112" s="424"/>
      <c r="M112" s="424"/>
      <c r="N112" s="424"/>
      <c r="O112" s="424"/>
      <c r="P112" s="424"/>
      <c r="Q112" s="424"/>
    </row>
    <row r="113" ht="14.25" customHeight="1">
      <c r="A113" s="290"/>
      <c r="B113" s="291"/>
      <c r="C113" s="319" t="s">
        <v>358</v>
      </c>
      <c r="D113" s="293"/>
      <c r="E113" s="293"/>
      <c r="F113" s="293"/>
      <c r="G113" s="406"/>
      <c r="H113" s="407"/>
      <c r="I113" s="407"/>
      <c r="J113" s="407"/>
      <c r="K113" s="407"/>
      <c r="L113" s="407"/>
      <c r="M113" s="407"/>
      <c r="N113" s="407"/>
      <c r="O113" s="407"/>
      <c r="P113" s="407"/>
      <c r="Q113" s="407"/>
    </row>
    <row r="114" ht="14.25" customHeight="1">
      <c r="A114" s="298"/>
      <c r="C114" s="329" t="s">
        <v>359</v>
      </c>
      <c r="O114" s="328"/>
      <c r="P114" s="328"/>
      <c r="Q114" s="328"/>
    </row>
    <row r="115" ht="14.25" customHeight="1">
      <c r="A115" s="305">
        <v>1.0</v>
      </c>
      <c r="B115" s="306" t="b">
        <v>1</v>
      </c>
      <c r="C115" s="516" t="str">
        <f>HYPERLINK("https://docs.google.com/spreadsheets/d/1Ua7P3R1P2QOKt7GLgi8PL3CBwpLonx3cTDT2pV9QdOQ/edit?ts=5eaf7985#gid=0","Production Test Accounts")</f>
        <v>Production Test Accounts</v>
      </c>
      <c r="H115" s="517"/>
      <c r="I115" s="517"/>
      <c r="J115" s="517"/>
      <c r="K115" s="517"/>
      <c r="L115" s="517"/>
      <c r="M115" s="517"/>
      <c r="N115" s="517"/>
      <c r="O115" s="332"/>
      <c r="P115" s="332"/>
      <c r="Q115" s="332"/>
    </row>
    <row r="116" ht="14.25" customHeight="1">
      <c r="A116" s="359"/>
      <c r="B116" s="365"/>
      <c r="C116" s="337"/>
      <c r="D116" s="337"/>
      <c r="E116" s="337"/>
      <c r="F116" s="366"/>
      <c r="G116" s="366"/>
      <c r="H116" s="366"/>
      <c r="I116" s="366"/>
      <c r="J116" s="366"/>
      <c r="K116" s="366"/>
      <c r="L116" s="366"/>
      <c r="M116" s="366"/>
      <c r="N116" s="366"/>
      <c r="O116" s="314"/>
      <c r="P116" s="314"/>
      <c r="Q116" s="314"/>
    </row>
    <row r="117" ht="14.25" customHeight="1">
      <c r="A117" s="298"/>
      <c r="B117" s="518"/>
      <c r="C117" s="329" t="s">
        <v>360</v>
      </c>
      <c r="O117" s="328"/>
      <c r="P117" s="328"/>
      <c r="Q117" s="328"/>
    </row>
    <row r="118" ht="14.25" customHeight="1">
      <c r="A118" s="69"/>
      <c r="B118" s="306"/>
      <c r="C118" s="519"/>
      <c r="E118" s="520"/>
      <c r="G118" s="520"/>
      <c r="I118" s="332"/>
      <c r="J118" s="332"/>
      <c r="K118" s="332"/>
      <c r="L118" s="332"/>
      <c r="M118" s="332"/>
      <c r="N118" s="332"/>
      <c r="O118" s="332"/>
      <c r="P118" s="332"/>
      <c r="Q118" s="332"/>
    </row>
    <row r="119" ht="14.25" customHeight="1">
      <c r="A119" s="359">
        <v>1.0</v>
      </c>
      <c r="B119" s="360"/>
      <c r="C119" s="738" t="s">
        <v>362</v>
      </c>
      <c r="E119" s="504" t="s">
        <v>461</v>
      </c>
      <c r="O119" s="314"/>
      <c r="P119" s="314"/>
      <c r="Q119" s="314"/>
    </row>
    <row r="120" ht="14.25" customHeight="1">
      <c r="A120" s="305">
        <f>A119+1</f>
        <v>2</v>
      </c>
      <c r="B120" s="306" t="s">
        <v>462</v>
      </c>
      <c r="C120" s="519" t="s">
        <v>463</v>
      </c>
      <c r="D120" s="519"/>
      <c r="E120" s="503" t="s">
        <v>461</v>
      </c>
      <c r="O120" s="332"/>
      <c r="P120" s="332"/>
      <c r="Q120" s="332"/>
    </row>
    <row r="121" ht="14.25" customHeight="1">
      <c r="A121" s="312"/>
      <c r="B121" s="360"/>
      <c r="C121" s="738"/>
      <c r="D121" s="738"/>
      <c r="E121" s="738"/>
      <c r="F121" s="738"/>
      <c r="G121" s="738"/>
      <c r="H121" s="314"/>
      <c r="I121" s="314"/>
      <c r="J121" s="314"/>
      <c r="K121" s="314"/>
      <c r="L121" s="314"/>
      <c r="M121" s="314"/>
      <c r="N121" s="314"/>
      <c r="O121" s="314"/>
      <c r="P121" s="314"/>
      <c r="Q121" s="314"/>
    </row>
    <row r="122" ht="14.25" customHeight="1">
      <c r="A122" s="298"/>
      <c r="B122" s="518"/>
      <c r="C122" s="329" t="s">
        <v>373</v>
      </c>
      <c r="H122" s="328"/>
      <c r="I122" s="328"/>
      <c r="J122" s="328"/>
      <c r="K122" s="328"/>
      <c r="L122" s="328"/>
      <c r="M122" s="328"/>
      <c r="N122" s="328"/>
      <c r="O122" s="328"/>
      <c r="P122" s="328"/>
      <c r="Q122" s="328"/>
    </row>
    <row r="123" ht="14.25" customHeight="1">
      <c r="A123" s="305">
        <v>1.0</v>
      </c>
      <c r="B123" s="306" t="b">
        <v>0</v>
      </c>
      <c r="C123" s="739" t="s">
        <v>464</v>
      </c>
      <c r="H123" s="332"/>
      <c r="I123" s="332"/>
      <c r="J123" s="332"/>
      <c r="K123" s="332"/>
      <c r="L123" s="332"/>
      <c r="M123" s="332"/>
      <c r="N123" s="332"/>
      <c r="O123" s="332"/>
      <c r="P123" s="332"/>
      <c r="Q123" s="332"/>
    </row>
    <row r="124" ht="14.25" customHeight="1">
      <c r="A124" s="359">
        <v>2.0</v>
      </c>
      <c r="B124" s="360" t="b">
        <v>0</v>
      </c>
      <c r="C124" s="543" t="s">
        <v>143</v>
      </c>
      <c r="H124" s="314"/>
      <c r="I124" s="314"/>
      <c r="J124" s="314"/>
      <c r="K124" s="314"/>
      <c r="L124" s="314"/>
      <c r="M124" s="314"/>
      <c r="N124" s="314"/>
      <c r="O124" s="314"/>
      <c r="P124" s="314"/>
      <c r="Q124" s="314"/>
    </row>
    <row r="125" ht="14.25" customHeight="1">
      <c r="A125" s="342">
        <f t="shared" ref="A125:A126" si="22">A124+1</f>
        <v>3</v>
      </c>
      <c r="B125" s="306" t="b">
        <v>0</v>
      </c>
      <c r="D125" s="740"/>
      <c r="E125" s="740"/>
      <c r="F125" s="417"/>
      <c r="G125" s="417"/>
      <c r="H125" s="332"/>
      <c r="I125" s="332"/>
      <c r="J125" s="332"/>
      <c r="K125" s="332"/>
      <c r="L125" s="332"/>
      <c r="M125" s="332"/>
      <c r="N125" s="332"/>
      <c r="O125" s="332"/>
      <c r="P125" s="332"/>
      <c r="Q125" s="332"/>
    </row>
    <row r="126" ht="14.25" customHeight="1">
      <c r="A126" s="312">
        <f t="shared" si="22"/>
        <v>4</v>
      </c>
      <c r="B126" s="360" t="b">
        <v>0</v>
      </c>
      <c r="C126" s="741"/>
      <c r="H126" s="314"/>
      <c r="I126" s="314"/>
      <c r="J126" s="314"/>
      <c r="K126" s="314"/>
      <c r="L126" s="314"/>
      <c r="M126" s="314"/>
      <c r="N126" s="314"/>
      <c r="O126" s="314"/>
      <c r="P126" s="314"/>
      <c r="Q126" s="314"/>
    </row>
    <row r="127" ht="14.25" customHeight="1">
      <c r="A127" s="342"/>
      <c r="B127" s="502"/>
      <c r="C127" s="502"/>
      <c r="D127" s="332"/>
      <c r="E127" s="546"/>
      <c r="F127" s="332"/>
      <c r="G127" s="332"/>
      <c r="H127" s="332"/>
      <c r="I127" s="332"/>
      <c r="J127" s="332"/>
      <c r="K127" s="332"/>
      <c r="L127" s="332"/>
      <c r="M127" s="332"/>
      <c r="N127" s="332"/>
      <c r="O127" s="332"/>
      <c r="P127" s="332"/>
      <c r="Q127" s="332"/>
    </row>
    <row r="128" ht="14.25" customHeight="1">
      <c r="A128" s="298"/>
      <c r="B128" s="343"/>
      <c r="C128" s="329" t="s">
        <v>375</v>
      </c>
      <c r="E128" s="329"/>
      <c r="F128" s="329"/>
      <c r="G128" s="329"/>
      <c r="H128" s="329"/>
      <c r="I128" s="329"/>
      <c r="J128" s="329"/>
      <c r="K128" s="478"/>
      <c r="L128" s="478"/>
      <c r="M128" s="478"/>
      <c r="N128" s="478"/>
      <c r="O128" s="478"/>
      <c r="P128" s="328"/>
      <c r="Q128" s="328"/>
    </row>
    <row r="129" ht="14.25" customHeight="1">
      <c r="A129" s="305">
        <v>1.0</v>
      </c>
      <c r="B129" s="548"/>
      <c r="C129" s="549" t="s">
        <v>465</v>
      </c>
      <c r="Q129" s="549"/>
    </row>
    <row r="130" ht="14.25" customHeight="1">
      <c r="A130" s="312">
        <f t="shared" ref="A130:A139" si="23">A129+1</f>
        <v>2</v>
      </c>
      <c r="B130" s="550"/>
      <c r="C130" s="551" t="s">
        <v>377</v>
      </c>
      <c r="E130" s="551" t="s">
        <v>378</v>
      </c>
      <c r="F130" s="551"/>
      <c r="G130" s="551"/>
      <c r="H130" s="551"/>
      <c r="K130" s="552"/>
      <c r="L130" s="552"/>
      <c r="M130" s="552"/>
      <c r="N130" s="552"/>
      <c r="O130" s="552"/>
      <c r="P130" s="552"/>
      <c r="Q130" s="552"/>
    </row>
    <row r="131" ht="14.25" customHeight="1">
      <c r="A131" s="342">
        <f t="shared" si="23"/>
        <v>3</v>
      </c>
      <c r="B131" s="553"/>
      <c r="C131" s="556" t="s">
        <v>466</v>
      </c>
      <c r="E131" s="556" t="s">
        <v>467</v>
      </c>
      <c r="O131" s="549"/>
      <c r="P131" s="549"/>
      <c r="Q131" s="549"/>
    </row>
    <row r="132" ht="14.25" customHeight="1">
      <c r="A132" s="312">
        <f t="shared" si="23"/>
        <v>4</v>
      </c>
      <c r="B132" s="550"/>
      <c r="C132" s="558"/>
      <c r="E132" s="558" t="s">
        <v>468</v>
      </c>
      <c r="O132" s="552"/>
      <c r="P132" s="552"/>
      <c r="Q132" s="552"/>
    </row>
    <row r="133" ht="14.25" customHeight="1">
      <c r="A133" s="342">
        <f t="shared" si="23"/>
        <v>5</v>
      </c>
      <c r="B133" s="553"/>
      <c r="E133" s="556" t="s">
        <v>469</v>
      </c>
    </row>
    <row r="134" ht="14.25" customHeight="1">
      <c r="A134" s="312">
        <f t="shared" si="23"/>
        <v>6</v>
      </c>
      <c r="B134" s="550"/>
      <c r="C134" s="558"/>
      <c r="E134" s="558"/>
      <c r="O134" s="552"/>
      <c r="P134" s="552"/>
      <c r="Q134" s="552"/>
    </row>
    <row r="135" ht="14.25" customHeight="1">
      <c r="A135" s="342">
        <f t="shared" si="23"/>
        <v>7</v>
      </c>
      <c r="B135" s="553"/>
      <c r="C135" s="556"/>
      <c r="E135" s="556"/>
      <c r="O135" s="549"/>
      <c r="P135" s="549"/>
      <c r="Q135" s="549"/>
    </row>
    <row r="136" ht="14.25" customHeight="1">
      <c r="A136" s="312">
        <f t="shared" si="23"/>
        <v>8</v>
      </c>
      <c r="B136" s="550"/>
      <c r="E136" s="558"/>
    </row>
    <row r="137" ht="14.25" customHeight="1">
      <c r="A137" s="342">
        <f t="shared" si="23"/>
        <v>9</v>
      </c>
      <c r="B137" s="553"/>
      <c r="C137" s="568"/>
      <c r="E137" s="556"/>
      <c r="O137" s="549"/>
      <c r="P137" s="549"/>
      <c r="Q137" s="549"/>
    </row>
    <row r="138" ht="14.25" customHeight="1">
      <c r="A138" s="312">
        <f t="shared" si="23"/>
        <v>10</v>
      </c>
      <c r="B138" s="550"/>
      <c r="C138" s="558"/>
      <c r="E138" s="558"/>
      <c r="O138" s="552"/>
      <c r="P138" s="552"/>
      <c r="Q138" s="552"/>
    </row>
    <row r="139" ht="14.25" customHeight="1">
      <c r="A139" s="342">
        <f t="shared" si="23"/>
        <v>11</v>
      </c>
      <c r="B139" s="351"/>
      <c r="C139" s="549"/>
      <c r="E139" s="556"/>
      <c r="O139" s="549"/>
      <c r="P139" s="549"/>
      <c r="Q139" s="549"/>
    </row>
    <row r="140" ht="14.25" customHeight="1">
      <c r="A140" s="312"/>
      <c r="B140" s="420"/>
      <c r="C140" s="420"/>
      <c r="D140" s="420"/>
      <c r="E140" s="420"/>
      <c r="F140" s="420"/>
      <c r="G140" s="420"/>
      <c r="H140" s="420"/>
      <c r="I140" s="420"/>
      <c r="J140" s="314"/>
      <c r="K140" s="424"/>
      <c r="L140" s="424"/>
      <c r="M140" s="424"/>
      <c r="N140" s="424"/>
      <c r="O140" s="424"/>
      <c r="P140" s="314"/>
      <c r="Q140" s="314"/>
    </row>
    <row r="141" ht="14.25" customHeight="1">
      <c r="A141" s="290"/>
      <c r="B141" s="291"/>
      <c r="C141" s="319" t="s">
        <v>384</v>
      </c>
      <c r="N141" s="407"/>
      <c r="O141" s="407"/>
      <c r="P141" s="407"/>
      <c r="Q141" s="407"/>
    </row>
    <row r="142" ht="14.25" customHeight="1">
      <c r="A142" s="507"/>
      <c r="B142" s="742"/>
      <c r="C142" s="743" t="s">
        <v>385</v>
      </c>
      <c r="D142" s="743"/>
      <c r="E142" s="744" t="s">
        <v>470</v>
      </c>
      <c r="F142" s="745" t="s">
        <v>386</v>
      </c>
      <c r="K142" s="328"/>
      <c r="L142" s="478"/>
      <c r="M142" s="478"/>
      <c r="N142" s="478"/>
      <c r="O142" s="328"/>
      <c r="P142" s="328"/>
      <c r="Q142" s="328"/>
    </row>
    <row r="143" ht="14.25" customHeight="1">
      <c r="A143" s="305">
        <v>1.0</v>
      </c>
      <c r="B143" s="556"/>
      <c r="C143" s="556"/>
      <c r="E143" s="746"/>
      <c r="F143" s="747"/>
      <c r="M143" s="748"/>
      <c r="N143" s="748"/>
      <c r="O143" s="748"/>
      <c r="P143" s="748"/>
      <c r="Q143" s="748"/>
    </row>
    <row r="144" ht="14.25" customHeight="1">
      <c r="A144" s="312">
        <f t="shared" ref="A144:A147" si="24">A143+1</f>
        <v>2</v>
      </c>
      <c r="B144" s="749"/>
      <c r="C144" s="558"/>
      <c r="E144" s="750"/>
      <c r="F144" s="751"/>
      <c r="M144" s="751"/>
      <c r="N144" s="751"/>
      <c r="O144" s="751"/>
      <c r="P144" s="751"/>
      <c r="Q144" s="751"/>
    </row>
    <row r="145" ht="14.25" customHeight="1">
      <c r="A145" s="342">
        <f t="shared" si="24"/>
        <v>3</v>
      </c>
      <c r="B145" s="306"/>
      <c r="C145" s="556"/>
      <c r="E145" s="746"/>
      <c r="F145" s="417"/>
      <c r="M145" s="417"/>
      <c r="N145" s="417"/>
      <c r="O145" s="417"/>
      <c r="P145" s="417"/>
      <c r="Q145" s="417"/>
    </row>
    <row r="146" ht="14.25" customHeight="1">
      <c r="A146" s="312">
        <f t="shared" si="24"/>
        <v>4</v>
      </c>
      <c r="B146" s="360"/>
      <c r="C146" s="558"/>
      <c r="E146" s="750"/>
      <c r="F146" s="588"/>
      <c r="M146" s="588"/>
      <c r="N146" s="588"/>
      <c r="O146" s="588"/>
      <c r="P146" s="588"/>
      <c r="Q146" s="588"/>
    </row>
    <row r="147" ht="14.25" customHeight="1">
      <c r="A147" s="342">
        <f t="shared" si="24"/>
        <v>5</v>
      </c>
      <c r="B147" s="306"/>
      <c r="C147" s="556"/>
      <c r="E147" s="746"/>
      <c r="F147" s="417"/>
      <c r="M147" s="417"/>
      <c r="N147" s="417"/>
      <c r="O147" s="417"/>
      <c r="P147" s="417"/>
      <c r="Q147" s="417"/>
    </row>
    <row r="148" ht="14.25" customHeight="1">
      <c r="A148" s="312"/>
      <c r="B148" s="360"/>
      <c r="C148" s="481"/>
      <c r="D148" s="337"/>
      <c r="E148" s="752"/>
      <c r="F148" s="751"/>
      <c r="G148" s="751"/>
      <c r="H148" s="751"/>
      <c r="I148" s="751"/>
      <c r="J148" s="751"/>
      <c r="K148" s="751"/>
      <c r="L148" s="751"/>
      <c r="M148" s="424"/>
      <c r="N148" s="424"/>
      <c r="O148" s="314"/>
      <c r="P148" s="314"/>
      <c r="Q148" s="314"/>
    </row>
    <row r="149" ht="14.25" customHeight="1">
      <c r="A149" s="342"/>
      <c r="B149" s="306"/>
      <c r="C149" s="546"/>
      <c r="D149" s="307"/>
      <c r="E149" s="753"/>
      <c r="F149" s="748"/>
      <c r="G149" s="748"/>
      <c r="H149" s="748"/>
      <c r="I149" s="748"/>
      <c r="J149" s="748"/>
      <c r="K149" s="748"/>
      <c r="L149" s="748"/>
      <c r="M149" s="419"/>
      <c r="N149" s="419"/>
      <c r="O149" s="332"/>
      <c r="P149" s="332"/>
      <c r="Q149" s="332"/>
    </row>
    <row r="150" ht="15.0" customHeight="1">
      <c r="A150" s="290"/>
      <c r="B150" s="291"/>
      <c r="C150" s="319" t="s">
        <v>400</v>
      </c>
      <c r="D150" s="293"/>
      <c r="E150" s="293"/>
      <c r="F150" s="293"/>
      <c r="G150" s="406"/>
      <c r="H150" s="407"/>
      <c r="I150" s="407"/>
      <c r="J150" s="407"/>
      <c r="K150" s="407"/>
      <c r="L150" s="407"/>
      <c r="M150" s="407"/>
      <c r="N150" s="407"/>
      <c r="O150" s="407"/>
      <c r="P150" s="407"/>
      <c r="Q150" s="407"/>
    </row>
    <row r="151">
      <c r="A151" s="612"/>
      <c r="B151" s="613"/>
      <c r="C151" s="614" t="s">
        <v>401</v>
      </c>
      <c r="D151" s="615"/>
      <c r="E151" s="615"/>
      <c r="F151" s="616"/>
      <c r="G151" s="616"/>
      <c r="H151" s="616"/>
      <c r="I151" s="616"/>
      <c r="J151" s="616"/>
      <c r="K151" s="616"/>
      <c r="L151" s="616"/>
      <c r="M151" s="617"/>
      <c r="N151" s="617"/>
      <c r="O151" s="618"/>
      <c r="P151" s="618"/>
      <c r="Q151" s="618"/>
    </row>
    <row r="152">
      <c r="A152" s="312"/>
      <c r="B152" s="365"/>
      <c r="C152" s="620" t="s">
        <v>402</v>
      </c>
      <c r="D152" s="620" t="s">
        <v>403</v>
      </c>
      <c r="E152" s="620" t="s">
        <v>404</v>
      </c>
      <c r="F152" s="312"/>
      <c r="G152" s="312"/>
      <c r="H152" s="312"/>
      <c r="I152" s="312"/>
      <c r="J152" s="312"/>
      <c r="K152" s="312"/>
      <c r="L152" s="312"/>
      <c r="M152" s="312"/>
      <c r="N152" s="312"/>
      <c r="O152" s="312"/>
      <c r="P152" s="312"/>
      <c r="Q152" s="312"/>
    </row>
    <row r="153" ht="14.25" customHeight="1">
      <c r="A153" s="342"/>
      <c r="B153" s="619"/>
      <c r="C153" s="754"/>
      <c r="D153" s="754"/>
      <c r="E153" s="755"/>
      <c r="F153" s="634"/>
      <c r="G153" s="628"/>
      <c r="H153" s="418"/>
      <c r="I153" s="418"/>
      <c r="J153" s="418"/>
      <c r="K153" s="418"/>
      <c r="L153" s="418"/>
      <c r="M153" s="419"/>
      <c r="N153" s="419"/>
      <c r="O153" s="332"/>
      <c r="P153" s="332"/>
      <c r="Q153" s="332"/>
    </row>
    <row r="154" ht="14.25" customHeight="1">
      <c r="A154" s="312"/>
      <c r="B154" s="365"/>
      <c r="C154" s="756"/>
      <c r="D154" s="756"/>
      <c r="E154" s="757"/>
      <c r="F154" s="637"/>
      <c r="G154" s="638"/>
      <c r="H154" s="423"/>
      <c r="I154" s="423"/>
      <c r="J154" s="423"/>
      <c r="K154" s="423"/>
      <c r="L154" s="423"/>
      <c r="M154" s="424"/>
      <c r="N154" s="424"/>
      <c r="O154" s="314"/>
      <c r="P154" s="314"/>
      <c r="Q154" s="314"/>
    </row>
    <row r="155" ht="14.25" customHeight="1">
      <c r="A155" s="342"/>
      <c r="B155" s="619"/>
      <c r="C155" s="632"/>
      <c r="D155" s="632"/>
      <c r="E155" s="633"/>
      <c r="F155" s="634"/>
      <c r="G155" s="628"/>
      <c r="H155" s="418"/>
      <c r="I155" s="418"/>
      <c r="J155" s="418"/>
      <c r="K155" s="418"/>
      <c r="L155" s="418"/>
      <c r="M155" s="419"/>
      <c r="N155" s="419"/>
      <c r="O155" s="332"/>
      <c r="P155" s="332"/>
      <c r="Q155" s="332"/>
    </row>
    <row r="156" ht="14.25" customHeight="1">
      <c r="A156" s="312"/>
      <c r="B156" s="365"/>
      <c r="C156" s="635"/>
      <c r="D156" s="635"/>
      <c r="E156" s="636"/>
      <c r="F156" s="637"/>
      <c r="G156" s="638"/>
      <c r="H156" s="423"/>
      <c r="I156" s="423"/>
      <c r="J156" s="423"/>
      <c r="K156" s="423"/>
      <c r="L156" s="423"/>
      <c r="M156" s="424"/>
      <c r="N156" s="424"/>
      <c r="O156" s="314"/>
      <c r="P156" s="314"/>
      <c r="Q156" s="314"/>
    </row>
    <row r="157" ht="14.25" customHeight="1">
      <c r="A157" s="342"/>
      <c r="B157" s="619"/>
      <c r="C157" s="632"/>
      <c r="D157" s="632"/>
      <c r="E157" s="633"/>
      <c r="F157" s="634"/>
      <c r="G157" s="628"/>
      <c r="H157" s="418"/>
      <c r="I157" s="418"/>
      <c r="J157" s="418"/>
      <c r="K157" s="418"/>
      <c r="L157" s="418"/>
      <c r="M157" s="419"/>
      <c r="N157" s="419"/>
      <c r="O157" s="332"/>
      <c r="P157" s="332"/>
      <c r="Q157" s="332"/>
    </row>
    <row r="158" ht="14.25" customHeight="1">
      <c r="A158" s="312"/>
      <c r="B158" s="365"/>
      <c r="C158" s="635"/>
      <c r="D158" s="635"/>
      <c r="E158" s="636"/>
      <c r="F158" s="637"/>
      <c r="G158" s="638"/>
      <c r="H158" s="423"/>
      <c r="I158" s="423"/>
      <c r="J158" s="423"/>
      <c r="K158" s="423"/>
      <c r="L158" s="423"/>
      <c r="M158" s="424"/>
      <c r="N158" s="424"/>
      <c r="O158" s="314"/>
      <c r="P158" s="314"/>
      <c r="Q158" s="314"/>
    </row>
    <row r="159" ht="14.25" customHeight="1">
      <c r="A159" s="342"/>
      <c r="B159" s="619"/>
      <c r="C159" s="632"/>
      <c r="D159" s="632"/>
      <c r="E159" s="633"/>
      <c r="F159" s="634"/>
      <c r="G159" s="628"/>
      <c r="H159" s="418"/>
      <c r="I159" s="418"/>
      <c r="J159" s="418"/>
      <c r="K159" s="418"/>
      <c r="L159" s="418"/>
      <c r="M159" s="419"/>
      <c r="N159" s="419"/>
      <c r="O159" s="332"/>
      <c r="P159" s="332"/>
      <c r="Q159" s="332"/>
    </row>
    <row r="160" ht="14.25" customHeight="1">
      <c r="A160" s="312"/>
      <c r="B160" s="365"/>
      <c r="C160" s="635"/>
      <c r="D160" s="635"/>
      <c r="E160" s="636"/>
      <c r="F160" s="637"/>
      <c r="G160" s="638"/>
      <c r="H160" s="423"/>
      <c r="I160" s="423"/>
      <c r="J160" s="423"/>
      <c r="K160" s="423"/>
      <c r="L160" s="423"/>
      <c r="M160" s="424"/>
      <c r="N160" s="424"/>
      <c r="O160" s="314"/>
      <c r="P160" s="314"/>
      <c r="Q160" s="314"/>
    </row>
    <row r="161" ht="14.25" customHeight="1">
      <c r="A161" s="342"/>
      <c r="B161" s="619"/>
      <c r="C161" s="632"/>
      <c r="D161" s="632"/>
      <c r="E161" s="633"/>
      <c r="F161" s="634"/>
      <c r="G161" s="628"/>
      <c r="H161" s="418"/>
      <c r="I161" s="418"/>
      <c r="J161" s="418"/>
      <c r="K161" s="418"/>
      <c r="L161" s="418"/>
      <c r="M161" s="419"/>
      <c r="N161" s="419"/>
      <c r="O161" s="332"/>
      <c r="P161" s="332"/>
      <c r="Q161" s="332"/>
    </row>
    <row r="162" ht="14.25" customHeight="1">
      <c r="A162" s="320"/>
      <c r="B162" s="321"/>
      <c r="C162" s="639"/>
      <c r="D162" s="640"/>
      <c r="E162" s="640"/>
      <c r="F162" s="640"/>
      <c r="G162" s="641"/>
      <c r="H162" s="410"/>
      <c r="I162" s="410"/>
      <c r="J162" s="410"/>
      <c r="K162" s="410"/>
      <c r="L162" s="410"/>
      <c r="M162" s="410"/>
      <c r="N162" s="410"/>
      <c r="O162" s="410"/>
      <c r="P162" s="410"/>
      <c r="Q162" s="410"/>
    </row>
    <row r="163" ht="14.25" customHeight="1">
      <c r="A163" s="642"/>
      <c r="B163" s="618"/>
      <c r="C163" s="614" t="s">
        <v>405</v>
      </c>
      <c r="D163" s="643"/>
      <c r="E163" s="643"/>
      <c r="F163" s="615"/>
      <c r="G163" s="643"/>
      <c r="H163" s="643"/>
      <c r="I163" s="643"/>
      <c r="J163" s="643"/>
      <c r="K163" s="643"/>
      <c r="L163" s="643"/>
      <c r="M163" s="644"/>
      <c r="N163" s="644"/>
      <c r="O163" s="644"/>
      <c r="P163" s="644"/>
      <c r="Q163" s="644"/>
    </row>
    <row r="164" ht="14.25" customHeight="1">
      <c r="A164" s="342"/>
      <c r="B164" s="619"/>
      <c r="C164" s="645" t="s">
        <v>167</v>
      </c>
      <c r="D164" s="645" t="s">
        <v>168</v>
      </c>
      <c r="E164" s="645" t="s">
        <v>169</v>
      </c>
      <c r="F164" s="620" t="s">
        <v>406</v>
      </c>
      <c r="G164" s="645" t="s">
        <v>170</v>
      </c>
      <c r="H164" s="646" t="s">
        <v>171</v>
      </c>
      <c r="I164" s="647"/>
      <c r="J164" s="647"/>
      <c r="K164" s="647"/>
      <c r="L164" s="648"/>
      <c r="M164" s="649" t="s">
        <v>172</v>
      </c>
      <c r="N164" s="647"/>
      <c r="O164" s="647"/>
      <c r="P164" s="647"/>
      <c r="Q164" s="648"/>
    </row>
    <row r="165" ht="14.25" customHeight="1">
      <c r="A165" s="359">
        <v>1.0</v>
      </c>
      <c r="B165" s="314"/>
      <c r="C165" s="650" t="s">
        <v>181</v>
      </c>
      <c r="D165" s="636">
        <v>43962.0</v>
      </c>
      <c r="E165" s="650" t="s">
        <v>82</v>
      </c>
      <c r="F165" s="650" t="s">
        <v>407</v>
      </c>
      <c r="G165" s="651" t="s">
        <v>471</v>
      </c>
      <c r="H165" s="635"/>
      <c r="I165" s="656"/>
      <c r="J165" s="656"/>
      <c r="K165" s="656"/>
      <c r="L165" s="657"/>
      <c r="M165" s="635"/>
      <c r="N165" s="656"/>
      <c r="O165" s="656"/>
      <c r="P165" s="656"/>
      <c r="Q165" s="657"/>
    </row>
    <row r="166" ht="14.25" customHeight="1">
      <c r="A166" s="342">
        <f t="shared" ref="A166:A168" si="25">A165+1</f>
        <v>2</v>
      </c>
      <c r="B166" s="332"/>
      <c r="C166" s="659" t="s">
        <v>183</v>
      </c>
      <c r="D166" s="633">
        <v>43963.0</v>
      </c>
      <c r="E166" s="659" t="s">
        <v>82</v>
      </c>
      <c r="F166" s="659" t="s">
        <v>407</v>
      </c>
      <c r="G166" s="660" t="s">
        <v>471</v>
      </c>
      <c r="H166" s="632"/>
      <c r="I166" s="647"/>
      <c r="J166" s="647"/>
      <c r="K166" s="647"/>
      <c r="L166" s="648"/>
      <c r="M166" s="632"/>
      <c r="N166" s="647"/>
      <c r="O166" s="647"/>
      <c r="P166" s="647"/>
      <c r="Q166" s="648"/>
    </row>
    <row r="167" ht="14.25" customHeight="1">
      <c r="A167" s="312">
        <f t="shared" si="25"/>
        <v>3</v>
      </c>
      <c r="B167" s="314"/>
      <c r="C167" s="650" t="s">
        <v>411</v>
      </c>
      <c r="D167" s="636">
        <v>43965.0</v>
      </c>
      <c r="E167" s="650" t="s">
        <v>82</v>
      </c>
      <c r="F167" s="650" t="s">
        <v>407</v>
      </c>
      <c r="G167" s="651" t="s">
        <v>471</v>
      </c>
      <c r="H167" s="635"/>
      <c r="I167" s="653"/>
      <c r="J167" s="653"/>
      <c r="K167" s="653"/>
      <c r="L167" s="654"/>
      <c r="M167" s="635"/>
      <c r="N167" s="656"/>
      <c r="O167" s="656"/>
      <c r="P167" s="656"/>
      <c r="Q167" s="657"/>
    </row>
    <row r="168" ht="14.25" customHeight="1">
      <c r="A168" s="342">
        <f t="shared" si="25"/>
        <v>4</v>
      </c>
      <c r="B168" s="332"/>
      <c r="C168" s="659" t="s">
        <v>472</v>
      </c>
      <c r="D168" s="633">
        <v>43966.0</v>
      </c>
      <c r="E168" s="659" t="s">
        <v>82</v>
      </c>
      <c r="F168" s="659" t="s">
        <v>407</v>
      </c>
      <c r="G168" s="660" t="s">
        <v>471</v>
      </c>
      <c r="H168" s="632"/>
      <c r="I168" s="647"/>
      <c r="J168" s="647"/>
      <c r="K168" s="647"/>
      <c r="L168" s="648"/>
      <c r="M168" s="632"/>
      <c r="N168" s="647"/>
      <c r="O168" s="647"/>
      <c r="P168" s="647"/>
      <c r="Q168" s="648"/>
    </row>
    <row r="169" ht="14.25" customHeight="1">
      <c r="A169" s="312"/>
      <c r="B169" s="314"/>
      <c r="C169" s="650" t="s">
        <v>473</v>
      </c>
      <c r="D169" s="636">
        <v>43971.0</v>
      </c>
      <c r="E169" s="650" t="s">
        <v>82</v>
      </c>
      <c r="F169" s="650" t="s">
        <v>407</v>
      </c>
      <c r="G169" s="651" t="s">
        <v>471</v>
      </c>
      <c r="H169" s="635"/>
      <c r="I169" s="656"/>
      <c r="J169" s="656"/>
      <c r="K169" s="656"/>
      <c r="L169" s="657"/>
      <c r="M169" s="758"/>
      <c r="N169" s="656"/>
      <c r="O169" s="656"/>
      <c r="P169" s="656"/>
      <c r="Q169" s="657"/>
    </row>
    <row r="170" ht="14.25" customHeight="1">
      <c r="A170" s="670"/>
      <c r="B170" s="671"/>
      <c r="C170" s="671"/>
      <c r="D170" s="671"/>
      <c r="E170" s="671"/>
      <c r="F170" s="671"/>
      <c r="G170" s="671"/>
      <c r="H170" s="671"/>
      <c r="I170" s="671"/>
      <c r="J170" s="671"/>
      <c r="K170" s="671"/>
      <c r="L170" s="671"/>
      <c r="M170" s="671"/>
      <c r="N170" s="671"/>
      <c r="O170" s="671"/>
      <c r="P170" s="671"/>
      <c r="Q170" s="671"/>
    </row>
    <row r="171" ht="14.25" customHeight="1">
      <c r="A171" s="408"/>
      <c r="B171" s="409"/>
      <c r="C171" s="409"/>
      <c r="D171" s="409"/>
      <c r="E171" s="409"/>
      <c r="F171" s="409"/>
      <c r="G171" s="409"/>
      <c r="H171" s="409"/>
      <c r="I171" s="409"/>
      <c r="J171" s="409"/>
      <c r="K171" s="409"/>
      <c r="L171" s="409"/>
      <c r="M171" s="409"/>
      <c r="N171" s="409"/>
      <c r="O171" s="409"/>
      <c r="P171" s="409"/>
      <c r="Q171" s="409"/>
    </row>
    <row r="172" ht="14.25" customHeight="1">
      <c r="A172" s="319"/>
      <c r="B172" s="291"/>
      <c r="C172" s="319" t="s">
        <v>412</v>
      </c>
      <c r="D172" s="293"/>
      <c r="E172" s="293"/>
      <c r="F172" s="293"/>
      <c r="G172" s="406"/>
      <c r="H172" s="407"/>
      <c r="I172" s="407"/>
      <c r="J172" s="407"/>
      <c r="K172" s="407"/>
      <c r="L172" s="407"/>
      <c r="M172" s="407"/>
      <c r="N172" s="407"/>
      <c r="O172" s="407"/>
      <c r="P172" s="407"/>
      <c r="Q172" s="407"/>
    </row>
    <row r="173" ht="14.25" customHeight="1">
      <c r="A173" s="666"/>
      <c r="B173" s="666"/>
      <c r="C173" s="667" t="s">
        <v>413</v>
      </c>
      <c r="D173" s="666"/>
      <c r="E173" s="666"/>
      <c r="F173" s="666"/>
      <c r="G173" s="666"/>
      <c r="H173" s="666"/>
      <c r="I173" s="666"/>
      <c r="J173" s="666"/>
      <c r="K173" s="666"/>
      <c r="L173" s="332"/>
      <c r="M173" s="332"/>
      <c r="N173" s="332"/>
      <c r="O173" s="332"/>
      <c r="P173" s="332"/>
      <c r="Q173" s="332"/>
    </row>
    <row r="174" ht="14.25" customHeight="1">
      <c r="A174" s="408"/>
      <c r="B174" s="409"/>
      <c r="C174" s="668" t="s">
        <v>414</v>
      </c>
      <c r="D174" s="669" t="s">
        <v>415</v>
      </c>
      <c r="E174" s="27"/>
      <c r="F174" s="669" t="s">
        <v>416</v>
      </c>
      <c r="G174" s="657"/>
      <c r="H174" s="669" t="s">
        <v>417</v>
      </c>
      <c r="I174" s="657"/>
      <c r="J174" s="669" t="s">
        <v>418</v>
      </c>
      <c r="K174" s="657"/>
      <c r="L174" s="314"/>
      <c r="M174" s="314"/>
      <c r="N174" s="314"/>
      <c r="O174" s="314"/>
      <c r="P174" s="314"/>
      <c r="Q174" s="314"/>
    </row>
    <row r="175" ht="14.25" customHeight="1">
      <c r="A175" s="670"/>
      <c r="B175" s="671"/>
      <c r="C175" s="672" t="s">
        <v>419</v>
      </c>
      <c r="D175" s="673"/>
      <c r="E175" s="27"/>
      <c r="F175" s="673" t="s">
        <v>420</v>
      </c>
      <c r="G175" s="648"/>
      <c r="H175" s="674" t="s">
        <v>421</v>
      </c>
      <c r="I175" s="648"/>
      <c r="J175" s="674"/>
      <c r="K175" s="648"/>
      <c r="L175" s="332"/>
      <c r="M175" s="332"/>
      <c r="N175" s="332"/>
      <c r="O175" s="332"/>
      <c r="P175" s="332"/>
      <c r="Q175" s="332"/>
    </row>
    <row r="176" ht="14.25" customHeight="1">
      <c r="A176" s="408"/>
      <c r="B176" s="409"/>
      <c r="C176" s="672"/>
      <c r="D176" s="673"/>
      <c r="E176" s="27"/>
      <c r="F176" s="673"/>
      <c r="G176" s="657"/>
      <c r="H176" s="675"/>
      <c r="I176" s="657"/>
      <c r="J176" s="675"/>
      <c r="K176" s="657"/>
      <c r="L176" s="314"/>
      <c r="M176" s="314"/>
      <c r="N176" s="314"/>
      <c r="O176" s="314"/>
      <c r="P176" s="314"/>
      <c r="Q176" s="314"/>
    </row>
    <row r="177" ht="14.25" customHeight="1">
      <c r="A177" s="670"/>
      <c r="B177" s="671"/>
      <c r="C177" s="672"/>
      <c r="D177" s="673"/>
      <c r="E177" s="27"/>
      <c r="F177" s="673"/>
      <c r="G177" s="648"/>
      <c r="H177" s="674"/>
      <c r="I177" s="648"/>
      <c r="J177" s="674"/>
      <c r="K177" s="648"/>
      <c r="L177" s="332"/>
      <c r="M177" s="332"/>
      <c r="N177" s="332"/>
      <c r="O177" s="332"/>
      <c r="P177" s="332"/>
      <c r="Q177" s="332"/>
    </row>
    <row r="178" ht="14.25" customHeight="1">
      <c r="A178" s="408"/>
      <c r="B178" s="409"/>
      <c r="C178" s="409"/>
      <c r="D178" s="409"/>
      <c r="E178" s="409"/>
      <c r="F178" s="409"/>
      <c r="G178" s="409"/>
      <c r="H178" s="409"/>
      <c r="I178" s="409"/>
      <c r="J178" s="409"/>
      <c r="K178" s="409"/>
      <c r="L178" s="409"/>
      <c r="M178" s="409"/>
      <c r="N178" s="409"/>
      <c r="O178" s="409"/>
      <c r="P178" s="409"/>
      <c r="Q178" s="409"/>
    </row>
    <row r="179" ht="14.25" customHeight="1">
      <c r="A179" s="666"/>
      <c r="B179" s="666"/>
      <c r="C179" s="667" t="s">
        <v>422</v>
      </c>
      <c r="D179" s="666"/>
      <c r="E179" s="666"/>
      <c r="F179" s="666"/>
      <c r="G179" s="666"/>
      <c r="H179" s="666"/>
      <c r="I179" s="666"/>
      <c r="J179" s="666"/>
      <c r="K179" s="666"/>
      <c r="L179" s="759"/>
      <c r="M179" s="759"/>
      <c r="N179" s="759"/>
      <c r="O179" s="759"/>
      <c r="P179" s="759"/>
      <c r="Q179" s="759"/>
    </row>
    <row r="180" ht="99.75" customHeight="1">
      <c r="A180" s="760"/>
      <c r="B180" s="761"/>
      <c r="C180" s="762" t="s">
        <v>474</v>
      </c>
      <c r="D180" s="763"/>
      <c r="E180" s="764" t="s">
        <v>423</v>
      </c>
      <c r="F180" s="764" t="s">
        <v>424</v>
      </c>
      <c r="G180" s="765" t="s">
        <v>475</v>
      </c>
      <c r="H180" s="766" t="s">
        <v>476</v>
      </c>
      <c r="I180" s="767"/>
      <c r="J180" s="766" t="s">
        <v>427</v>
      </c>
      <c r="K180" s="767"/>
      <c r="L180" s="766" t="s">
        <v>428</v>
      </c>
      <c r="M180" s="767"/>
      <c r="N180" s="766" t="s">
        <v>429</v>
      </c>
      <c r="O180" s="767"/>
      <c r="P180" s="768" t="s">
        <v>430</v>
      </c>
      <c r="Q180" s="769"/>
    </row>
    <row r="181" ht="48.75" customHeight="1">
      <c r="A181" s="305"/>
      <c r="B181" s="332"/>
      <c r="C181" s="770"/>
      <c r="D181" s="690"/>
      <c r="E181" s="771"/>
      <c r="F181" s="771"/>
      <c r="G181" s="659" t="s">
        <v>477</v>
      </c>
      <c r="H181" s="772" t="s">
        <v>478</v>
      </c>
      <c r="I181" s="648"/>
      <c r="J181" s="772" t="s">
        <v>479</v>
      </c>
      <c r="K181" s="648"/>
      <c r="L181" s="772" t="s">
        <v>480</v>
      </c>
      <c r="M181" s="648"/>
      <c r="N181" s="772" t="s">
        <v>481</v>
      </c>
      <c r="O181" s="648"/>
      <c r="P181" s="714"/>
      <c r="Q181" s="773"/>
    </row>
    <row r="182" ht="14.25" customHeight="1">
      <c r="A182" s="359">
        <v>1.0</v>
      </c>
      <c r="B182" s="314"/>
      <c r="C182" s="774" t="str">
        <f>CONCATENATE('Backup of Everyday RewardsFSC D'!Campaign_Code,"_",text(#REF!, "YYYYMMDD"),"_",E182)</f>
        <v>#REF!</v>
      </c>
      <c r="D182" s="657"/>
      <c r="E182" s="775">
        <v>1.0</v>
      </c>
      <c r="F182" s="776" t="s">
        <v>482</v>
      </c>
      <c r="G182" s="776" t="s">
        <v>41</v>
      </c>
      <c r="H182" s="675" t="s">
        <v>41</v>
      </c>
      <c r="I182" s="657"/>
      <c r="J182" s="675"/>
      <c r="K182" s="657"/>
      <c r="L182" s="675"/>
      <c r="M182" s="657"/>
      <c r="N182" s="675"/>
      <c r="O182" s="657"/>
      <c r="P182" s="777"/>
      <c r="Q182" s="778"/>
    </row>
    <row r="183" ht="14.25" customHeight="1">
      <c r="A183" s="342">
        <f t="shared" ref="A183:A191" si="26">A182+1</f>
        <v>2</v>
      </c>
      <c r="B183" s="332"/>
      <c r="C183" s="779" t="str">
        <f>CONCATENATE('Backup of Everyday RewardsFSC D'!Campaign_Code,"_",text(#REF!, "YYYYMMDD"),"_",E183)</f>
        <v>#REF!</v>
      </c>
      <c r="D183" s="648"/>
      <c r="E183" s="780">
        <f t="shared" ref="E183:E191" si="27">E182+1</f>
        <v>2</v>
      </c>
      <c r="F183" s="781" t="s">
        <v>482</v>
      </c>
      <c r="G183" s="781" t="s">
        <v>39</v>
      </c>
      <c r="H183" s="674" t="s">
        <v>39</v>
      </c>
      <c r="I183" s="648"/>
      <c r="J183" s="674"/>
      <c r="K183" s="648"/>
      <c r="L183" s="674"/>
      <c r="M183" s="648"/>
      <c r="N183" s="674"/>
      <c r="O183" s="648"/>
      <c r="P183" s="714"/>
      <c r="Q183" s="773"/>
    </row>
    <row r="184" ht="14.25" customHeight="1">
      <c r="A184" s="312">
        <f t="shared" si="26"/>
        <v>3</v>
      </c>
      <c r="B184" s="314"/>
      <c r="C184" s="774" t="str">
        <f>CONCATENATE('Backup of Everyday RewardsFSC D'!Campaign_Code,"_",text(#REF!, "YYYYMMDD"),"_",E184)</f>
        <v>#REF!</v>
      </c>
      <c r="D184" s="657"/>
      <c r="E184" s="775">
        <f t="shared" si="27"/>
        <v>3</v>
      </c>
      <c r="F184" s="776" t="s">
        <v>482</v>
      </c>
      <c r="G184" s="776" t="s">
        <v>41</v>
      </c>
      <c r="H184" s="675" t="s">
        <v>39</v>
      </c>
      <c r="I184" s="657"/>
      <c r="J184" s="675"/>
      <c r="K184" s="657"/>
      <c r="L184" s="675"/>
      <c r="M184" s="657"/>
      <c r="N184" s="675"/>
      <c r="O184" s="657"/>
      <c r="P184" s="777"/>
      <c r="Q184" s="778"/>
    </row>
    <row r="185" ht="14.25" customHeight="1">
      <c r="A185" s="342">
        <f t="shared" si="26"/>
        <v>4</v>
      </c>
      <c r="B185" s="332"/>
      <c r="C185" s="779" t="str">
        <f>CONCATENATE('Backup of Everyday RewardsFSC D'!Campaign_Code,"_",text(#REF!, "YYYYMMDD"),"_",E185)</f>
        <v>#REF!</v>
      </c>
      <c r="D185" s="648"/>
      <c r="E185" s="780">
        <f t="shared" si="27"/>
        <v>4</v>
      </c>
      <c r="F185" s="781" t="s">
        <v>482</v>
      </c>
      <c r="G185" s="781" t="s">
        <v>39</v>
      </c>
      <c r="H185" s="674" t="s">
        <v>41</v>
      </c>
      <c r="I185" s="648"/>
      <c r="J185" s="674"/>
      <c r="K185" s="648"/>
      <c r="L185" s="674"/>
      <c r="M185" s="648"/>
      <c r="N185" s="674"/>
      <c r="O185" s="648"/>
      <c r="P185" s="714"/>
      <c r="Q185" s="773"/>
    </row>
    <row r="186" ht="14.25" customHeight="1">
      <c r="A186" s="312">
        <f t="shared" si="26"/>
        <v>5</v>
      </c>
      <c r="B186" s="314"/>
      <c r="C186" s="774" t="str">
        <f>CONCATENATE('Backup of Everyday RewardsFSC D'!Campaign_Code,"_",text(#REF!, "YYYYMMDD"),"_",E186)</f>
        <v>#REF!</v>
      </c>
      <c r="D186" s="657"/>
      <c r="E186" s="775">
        <f t="shared" si="27"/>
        <v>5</v>
      </c>
      <c r="F186" s="650"/>
      <c r="G186" s="776"/>
      <c r="H186" s="782"/>
      <c r="I186" s="657"/>
      <c r="J186" s="774"/>
      <c r="K186" s="657"/>
      <c r="L186" s="782"/>
      <c r="M186" s="657"/>
      <c r="N186" s="782"/>
      <c r="O186" s="657"/>
      <c r="P186" s="777"/>
      <c r="Q186" s="778"/>
    </row>
    <row r="187" ht="14.25" customHeight="1">
      <c r="A187" s="342">
        <f t="shared" si="26"/>
        <v>6</v>
      </c>
      <c r="B187" s="332"/>
      <c r="C187" s="779" t="str">
        <f>CONCATENATE('Backup of Everyday RewardsFSC D'!Campaign_Code,"_",text(#REF!, "YYYYMMDD"),"_",E187)</f>
        <v>#REF!</v>
      </c>
      <c r="D187" s="648"/>
      <c r="E187" s="780">
        <f t="shared" si="27"/>
        <v>6</v>
      </c>
      <c r="F187" s="781"/>
      <c r="G187" s="659"/>
      <c r="H187" s="772"/>
      <c r="I187" s="648"/>
      <c r="J187" s="779"/>
      <c r="K187" s="648"/>
      <c r="L187" s="772"/>
      <c r="M187" s="648"/>
      <c r="N187" s="772"/>
      <c r="O187" s="648"/>
      <c r="P187" s="714"/>
      <c r="Q187" s="773"/>
    </row>
    <row r="188" ht="14.25" customHeight="1">
      <c r="A188" s="312">
        <f t="shared" si="26"/>
        <v>7</v>
      </c>
      <c r="B188" s="314"/>
      <c r="C188" s="774" t="str">
        <f>CONCATENATE('Backup of Everyday RewardsFSC D'!Campaign_Code,"_",text(#REF!, "YYYYMMDD"),"_",E188)</f>
        <v>#REF!</v>
      </c>
      <c r="D188" s="657"/>
      <c r="E188" s="775">
        <f t="shared" si="27"/>
        <v>7</v>
      </c>
      <c r="F188" s="776"/>
      <c r="G188" s="650"/>
      <c r="H188" s="782"/>
      <c r="I188" s="657"/>
      <c r="J188" s="774"/>
      <c r="K188" s="657"/>
      <c r="L188" s="782"/>
      <c r="M188" s="657"/>
      <c r="N188" s="782"/>
      <c r="O188" s="657"/>
      <c r="P188" s="777"/>
      <c r="Q188" s="778"/>
    </row>
    <row r="189" ht="14.25" customHeight="1">
      <c r="A189" s="342">
        <f t="shared" si="26"/>
        <v>8</v>
      </c>
      <c r="B189" s="332"/>
      <c r="C189" s="779" t="str">
        <f>CONCATENATE('Backup of Everyday RewardsFSC D'!Campaign_Code,"_",text(#REF!, "YYYYMMDD"),"_",E189)</f>
        <v>#REF!</v>
      </c>
      <c r="D189" s="648"/>
      <c r="E189" s="780">
        <f t="shared" si="27"/>
        <v>8</v>
      </c>
      <c r="F189" s="781"/>
      <c r="G189" s="659"/>
      <c r="H189" s="772"/>
      <c r="I189" s="648"/>
      <c r="J189" s="779"/>
      <c r="K189" s="648"/>
      <c r="L189" s="772"/>
      <c r="M189" s="648"/>
      <c r="N189" s="772"/>
      <c r="O189" s="648"/>
      <c r="P189" s="714"/>
      <c r="Q189" s="773"/>
    </row>
    <row r="190" ht="14.25" customHeight="1">
      <c r="A190" s="312">
        <f t="shared" si="26"/>
        <v>9</v>
      </c>
      <c r="B190" s="314"/>
      <c r="C190" s="774" t="str">
        <f>CONCATENATE('Backup of Everyday RewardsFSC D'!Campaign_Code,"_",text(#REF!, "YYYYMMDD"),"_",E190)</f>
        <v>#REF!</v>
      </c>
      <c r="D190" s="657"/>
      <c r="E190" s="775">
        <f t="shared" si="27"/>
        <v>9</v>
      </c>
      <c r="F190" s="650"/>
      <c r="G190" s="650"/>
      <c r="H190" s="782"/>
      <c r="I190" s="657"/>
      <c r="J190" s="774"/>
      <c r="K190" s="657"/>
      <c r="L190" s="782"/>
      <c r="M190" s="657"/>
      <c r="N190" s="782"/>
      <c r="O190" s="657"/>
      <c r="P190" s="777"/>
      <c r="Q190" s="778"/>
    </row>
    <row r="191" ht="14.25" customHeight="1">
      <c r="A191" s="342">
        <f t="shared" si="26"/>
        <v>10</v>
      </c>
      <c r="B191" s="332"/>
      <c r="C191" s="779" t="str">
        <f>CONCATENATE('Backup of Everyday RewardsFSC D'!Campaign_Code,"_",text(#REF!, "YYYYMMDD"),"_",E191)</f>
        <v>#REF!</v>
      </c>
      <c r="D191" s="648"/>
      <c r="E191" s="780">
        <f t="shared" si="27"/>
        <v>10</v>
      </c>
      <c r="F191" s="659"/>
      <c r="G191" s="659"/>
      <c r="H191" s="779"/>
      <c r="I191" s="648"/>
      <c r="J191" s="779"/>
      <c r="K191" s="648"/>
      <c r="L191" s="772"/>
      <c r="M191" s="648"/>
      <c r="N191" s="772"/>
      <c r="O191" s="648"/>
      <c r="P191" s="771"/>
      <c r="Q191" s="773"/>
    </row>
    <row r="192" ht="14.25" customHeight="1">
      <c r="A192" s="408"/>
      <c r="B192" s="414"/>
      <c r="C192" s="414"/>
      <c r="D192" s="414"/>
      <c r="E192" s="414"/>
      <c r="F192" s="414"/>
      <c r="G192" s="414"/>
      <c r="H192" s="414"/>
      <c r="I192" s="414"/>
      <c r="J192" s="414"/>
      <c r="K192" s="414"/>
      <c r="L192" s="414"/>
      <c r="M192" s="414"/>
      <c r="N192" s="414"/>
      <c r="O192" s="414"/>
      <c r="P192" s="414"/>
      <c r="Q192" s="414"/>
    </row>
    <row r="193" ht="14.25" customHeight="1">
      <c r="A193" s="290"/>
      <c r="B193" s="291"/>
      <c r="C193" s="292" t="s">
        <v>231</v>
      </c>
      <c r="D193" s="293"/>
      <c r="E193" s="293"/>
      <c r="F193" s="293"/>
      <c r="G193" s="406"/>
      <c r="H193" s="407"/>
      <c r="I193" s="407"/>
      <c r="J193" s="407"/>
      <c r="K193" s="407"/>
      <c r="L193" s="407"/>
      <c r="M193" s="407"/>
      <c r="N193" s="407"/>
      <c r="O193" s="407"/>
      <c r="P193" s="407"/>
      <c r="Q193" s="407"/>
    </row>
  </sheetData>
  <mergeCells count="233">
    <mergeCell ref="F21:L21"/>
    <mergeCell ref="G22:L22"/>
    <mergeCell ref="G23:L23"/>
    <mergeCell ref="C15:E15"/>
    <mergeCell ref="C16:E16"/>
    <mergeCell ref="F17:G17"/>
    <mergeCell ref="C18:E18"/>
    <mergeCell ref="C19:E19"/>
    <mergeCell ref="F19:L19"/>
    <mergeCell ref="F20:L20"/>
    <mergeCell ref="C27:E27"/>
    <mergeCell ref="C28:E28"/>
    <mergeCell ref="C29:E29"/>
    <mergeCell ref="G29:M29"/>
    <mergeCell ref="C30:E30"/>
    <mergeCell ref="G30:M30"/>
    <mergeCell ref="C31:E31"/>
    <mergeCell ref="C20:E20"/>
    <mergeCell ref="C21:E21"/>
    <mergeCell ref="C22:E22"/>
    <mergeCell ref="C23:E23"/>
    <mergeCell ref="C24:E24"/>
    <mergeCell ref="C25:E25"/>
    <mergeCell ref="C26:E26"/>
    <mergeCell ref="G42:M42"/>
    <mergeCell ref="G43:M43"/>
    <mergeCell ref="G44:M44"/>
    <mergeCell ref="G31:M31"/>
    <mergeCell ref="G33:M33"/>
    <mergeCell ref="G34:M34"/>
    <mergeCell ref="G35:K35"/>
    <mergeCell ref="F37:L37"/>
    <mergeCell ref="G40:M40"/>
    <mergeCell ref="G41:M41"/>
    <mergeCell ref="C33:E33"/>
    <mergeCell ref="C34:E34"/>
    <mergeCell ref="C35:E35"/>
    <mergeCell ref="C40:E40"/>
    <mergeCell ref="C41:E41"/>
    <mergeCell ref="C42:E42"/>
    <mergeCell ref="C43:E43"/>
    <mergeCell ref="C44:E44"/>
    <mergeCell ref="C47:E47"/>
    <mergeCell ref="C48:E48"/>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71:G71"/>
    <mergeCell ref="C72:G72"/>
    <mergeCell ref="C73:G73"/>
    <mergeCell ref="C74:G74"/>
    <mergeCell ref="C75:G75"/>
    <mergeCell ref="C76:G76"/>
    <mergeCell ref="C77:G77"/>
    <mergeCell ref="C79:G79"/>
    <mergeCell ref="C80:G80"/>
    <mergeCell ref="C81:G81"/>
    <mergeCell ref="C82:G82"/>
    <mergeCell ref="C83:G83"/>
    <mergeCell ref="C84:G84"/>
    <mergeCell ref="C85:G85"/>
    <mergeCell ref="C87:E87"/>
    <mergeCell ref="C88:G88"/>
    <mergeCell ref="C90:G90"/>
    <mergeCell ref="C107:D107"/>
    <mergeCell ref="C108:D108"/>
    <mergeCell ref="C109:D109"/>
    <mergeCell ref="C110:D110"/>
    <mergeCell ref="C111:D111"/>
    <mergeCell ref="E108:G108"/>
    <mergeCell ref="E109:G109"/>
    <mergeCell ref="E110:G110"/>
    <mergeCell ref="E111:G111"/>
    <mergeCell ref="C91:G91"/>
    <mergeCell ref="C92:G92"/>
    <mergeCell ref="C93:G93"/>
    <mergeCell ref="C95:G95"/>
    <mergeCell ref="C96:G96"/>
    <mergeCell ref="C97:G97"/>
    <mergeCell ref="C98:G98"/>
    <mergeCell ref="C99:G99"/>
    <mergeCell ref="C101:G101"/>
    <mergeCell ref="C102:G102"/>
    <mergeCell ref="C103:E103"/>
    <mergeCell ref="C104:E104"/>
    <mergeCell ref="C106:G106"/>
    <mergeCell ref="E107:G107"/>
    <mergeCell ref="C114:N114"/>
    <mergeCell ref="C115:G115"/>
    <mergeCell ref="C117:N117"/>
    <mergeCell ref="C118:D118"/>
    <mergeCell ref="E118:F118"/>
    <mergeCell ref="G118:H118"/>
    <mergeCell ref="C119:D119"/>
    <mergeCell ref="E119:N119"/>
    <mergeCell ref="E120:N120"/>
    <mergeCell ref="C122:G122"/>
    <mergeCell ref="C123:G123"/>
    <mergeCell ref="C124:G124"/>
    <mergeCell ref="C126:G126"/>
    <mergeCell ref="C129:P129"/>
    <mergeCell ref="C130:D130"/>
    <mergeCell ref="C131:D131"/>
    <mergeCell ref="E131:N131"/>
    <mergeCell ref="C132:D132"/>
    <mergeCell ref="E132:N132"/>
    <mergeCell ref="C133:D133"/>
    <mergeCell ref="E133:N133"/>
    <mergeCell ref="C137:D137"/>
    <mergeCell ref="C138:D138"/>
    <mergeCell ref="C139:D139"/>
    <mergeCell ref="C143:D143"/>
    <mergeCell ref="C144:D144"/>
    <mergeCell ref="C145:D145"/>
    <mergeCell ref="C146:D146"/>
    <mergeCell ref="C147:D147"/>
    <mergeCell ref="F146:L146"/>
    <mergeCell ref="F147:L147"/>
    <mergeCell ref="L181:M181"/>
    <mergeCell ref="N181:O181"/>
    <mergeCell ref="H182:I182"/>
    <mergeCell ref="J182:K182"/>
    <mergeCell ref="L182:M182"/>
    <mergeCell ref="N182:O182"/>
    <mergeCell ref="H183:I183"/>
    <mergeCell ref="J183:K183"/>
    <mergeCell ref="L183:M183"/>
    <mergeCell ref="N183:O183"/>
    <mergeCell ref="H184:I184"/>
    <mergeCell ref="J184:K184"/>
    <mergeCell ref="L184:M184"/>
    <mergeCell ref="N184:O184"/>
    <mergeCell ref="C187:D187"/>
    <mergeCell ref="C188:D188"/>
    <mergeCell ref="C189:D189"/>
    <mergeCell ref="C190:D190"/>
    <mergeCell ref="C191:D191"/>
    <mergeCell ref="C182:D182"/>
    <mergeCell ref="C183:D183"/>
    <mergeCell ref="C184:D184"/>
    <mergeCell ref="C185:D185"/>
    <mergeCell ref="L185:M185"/>
    <mergeCell ref="N185:O185"/>
    <mergeCell ref="C186:D186"/>
    <mergeCell ref="J191:K191"/>
    <mergeCell ref="L191:M191"/>
    <mergeCell ref="H186:I186"/>
    <mergeCell ref="J186:K186"/>
    <mergeCell ref="H190:I190"/>
    <mergeCell ref="J190:K190"/>
    <mergeCell ref="L190:M190"/>
    <mergeCell ref="N190:O190"/>
    <mergeCell ref="H191:I191"/>
    <mergeCell ref="N191:O191"/>
    <mergeCell ref="C134:D134"/>
    <mergeCell ref="E134:N134"/>
    <mergeCell ref="C135:D135"/>
    <mergeCell ref="E135:N135"/>
    <mergeCell ref="C136:D136"/>
    <mergeCell ref="E136:N136"/>
    <mergeCell ref="E137:N137"/>
    <mergeCell ref="E138:N138"/>
    <mergeCell ref="E139:N139"/>
    <mergeCell ref="C141:M141"/>
    <mergeCell ref="F142:J142"/>
    <mergeCell ref="F143:L143"/>
    <mergeCell ref="F144:L144"/>
    <mergeCell ref="F145:L145"/>
    <mergeCell ref="H164:L164"/>
    <mergeCell ref="M164:Q164"/>
    <mergeCell ref="H165:L165"/>
    <mergeCell ref="M165:Q165"/>
    <mergeCell ref="H166:L166"/>
    <mergeCell ref="M166:Q166"/>
    <mergeCell ref="M167:Q167"/>
    <mergeCell ref="H168:L168"/>
    <mergeCell ref="M168:Q168"/>
    <mergeCell ref="H169:L169"/>
    <mergeCell ref="M169:Q169"/>
    <mergeCell ref="F174:G174"/>
    <mergeCell ref="H174:I174"/>
    <mergeCell ref="J174:K174"/>
    <mergeCell ref="H176:I176"/>
    <mergeCell ref="J176:K176"/>
    <mergeCell ref="D174:E174"/>
    <mergeCell ref="D175:E175"/>
    <mergeCell ref="F175:G175"/>
    <mergeCell ref="H175:I175"/>
    <mergeCell ref="J175:K175"/>
    <mergeCell ref="D176:E176"/>
    <mergeCell ref="F176:G176"/>
    <mergeCell ref="D177:E177"/>
    <mergeCell ref="F177:G177"/>
    <mergeCell ref="H177:I177"/>
    <mergeCell ref="J177:K177"/>
    <mergeCell ref="C180:D181"/>
    <mergeCell ref="E180:E181"/>
    <mergeCell ref="F180:F181"/>
    <mergeCell ref="L189:M189"/>
    <mergeCell ref="N189:O189"/>
    <mergeCell ref="H180:I180"/>
    <mergeCell ref="J180:K180"/>
    <mergeCell ref="L180:M180"/>
    <mergeCell ref="N180:O180"/>
    <mergeCell ref="P180:P191"/>
    <mergeCell ref="H181:I181"/>
    <mergeCell ref="J181:K181"/>
    <mergeCell ref="H185:I185"/>
    <mergeCell ref="J185:K185"/>
    <mergeCell ref="L186:M186"/>
    <mergeCell ref="N186:O186"/>
    <mergeCell ref="H187:I187"/>
    <mergeCell ref="J187:K187"/>
    <mergeCell ref="L187:M187"/>
    <mergeCell ref="N187:O187"/>
    <mergeCell ref="H188:I188"/>
    <mergeCell ref="J188:K188"/>
    <mergeCell ref="L188:M188"/>
    <mergeCell ref="N188:O188"/>
    <mergeCell ref="H189:I189"/>
    <mergeCell ref="J189:K189"/>
  </mergeCells>
  <conditionalFormatting sqref="C193">
    <cfRule type="containsText" dxfId="1" priority="1" operator="containsText" text="e.g.:">
      <formula>NOT(ISERROR(SEARCH(("e.g.:"),(C193))))</formula>
    </cfRule>
  </conditionalFormatting>
  <conditionalFormatting sqref="C193">
    <cfRule type="notContainsText" dxfId="2" priority="2" operator="notContains" text="e.g.:">
      <formula>ISERROR(SEARCH(("e.g.:"),(C193)))</formula>
    </cfRule>
  </conditionalFormatting>
  <conditionalFormatting sqref="A1:A2">
    <cfRule type="notContainsBlanks" dxfId="0" priority="3">
      <formula>LEN(TRIM(A1))&gt;0</formula>
    </cfRule>
  </conditionalFormatting>
  <conditionalFormatting sqref="F17:G17">
    <cfRule type="expression" dxfId="10" priority="4" operator="notContains">
      <formula>ISERROR(SEARCH((H17),(F17)))</formula>
    </cfRule>
  </conditionalFormatting>
  <conditionalFormatting sqref="H53">
    <cfRule type="expression" dxfId="8" priority="5" operator="notContains">
      <formula>ISERROR(SEARCH((M53),(H53)))</formula>
    </cfRule>
  </conditionalFormatting>
  <conditionalFormatting sqref="H54">
    <cfRule type="expression" dxfId="8" priority="6" operator="notContains">
      <formula>ISERROR(SEARCH((M54),(H54)))</formula>
    </cfRule>
  </conditionalFormatting>
  <conditionalFormatting sqref="H55">
    <cfRule type="expression" dxfId="8" priority="7" operator="notContains">
      <formula>ISERROR(SEARCH((M55),(H55)))</formula>
    </cfRule>
  </conditionalFormatting>
  <conditionalFormatting sqref="H56">
    <cfRule type="expression" dxfId="8" priority="8" operator="notContains">
      <formula>ISERROR(SEARCH((M56),(H56)))</formula>
    </cfRule>
  </conditionalFormatting>
  <conditionalFormatting sqref="H57">
    <cfRule type="expression" dxfId="8" priority="9" operator="notContains">
      <formula>ISERROR(SEARCH((M57),(H57)))</formula>
    </cfRule>
  </conditionalFormatting>
  <conditionalFormatting sqref="H58">
    <cfRule type="expression" dxfId="8" priority="10" operator="notContains">
      <formula>ISERROR(SEARCH((M58),(H58)))</formula>
    </cfRule>
  </conditionalFormatting>
  <conditionalFormatting sqref="H59">
    <cfRule type="expression" dxfId="11" priority="11" operator="notContains">
      <formula>ISERROR(SEARCH((M59),(H59)))</formula>
    </cfRule>
  </conditionalFormatting>
  <conditionalFormatting sqref="H60">
    <cfRule type="expression" dxfId="8" priority="12" operator="notContains">
      <formula>ISERROR(SEARCH((M60),(H60)))</formula>
    </cfRule>
  </conditionalFormatting>
  <conditionalFormatting sqref="I53">
    <cfRule type="expression" dxfId="8" priority="13" operator="notContains">
      <formula>ISERROR(SEARCH((N53),(I53)))</formula>
    </cfRule>
  </conditionalFormatting>
  <conditionalFormatting sqref="I54">
    <cfRule type="expression" dxfId="9" priority="14" operator="notContains">
      <formula>ISERROR(SEARCH((N54),(I54)))</formula>
    </cfRule>
  </conditionalFormatting>
  <conditionalFormatting sqref="I55">
    <cfRule type="expression" dxfId="9" priority="15" operator="notContains">
      <formula>ISERROR(SEARCH((N55),(I55)))</formula>
    </cfRule>
  </conditionalFormatting>
  <conditionalFormatting sqref="I56">
    <cfRule type="expression" dxfId="8" priority="16" operator="notContains">
      <formula>ISERROR(SEARCH((N56),(I56)))</formula>
    </cfRule>
  </conditionalFormatting>
  <conditionalFormatting sqref="I57">
    <cfRule type="expression" dxfId="8" priority="17" operator="notContains">
      <formula>ISERROR(SEARCH((N57),(I57)))</formula>
    </cfRule>
  </conditionalFormatting>
  <conditionalFormatting sqref="I58">
    <cfRule type="expression" dxfId="8" priority="18" operator="notContains">
      <formula>ISERROR(SEARCH((N58),(I58)))</formula>
    </cfRule>
  </conditionalFormatting>
  <conditionalFormatting sqref="I59">
    <cfRule type="expression" dxfId="9" priority="19" operator="notContains">
      <formula>ISERROR(SEARCH((N59),(I59)))</formula>
    </cfRule>
  </conditionalFormatting>
  <conditionalFormatting sqref="I60">
    <cfRule type="expression" dxfId="8" priority="20" operator="notContains">
      <formula>ISERROR(SEARCH((N60),(I60)))</formula>
    </cfRule>
  </conditionalFormatting>
  <conditionalFormatting sqref="J53">
    <cfRule type="expression" dxfId="8" priority="21" operator="notContains">
      <formula>ISERROR(SEARCH((O53),(J53)))</formula>
    </cfRule>
  </conditionalFormatting>
  <conditionalFormatting sqref="J54">
    <cfRule type="expression" dxfId="8" priority="22" operator="notContains">
      <formula>ISERROR(SEARCH((O54),(J54)))</formula>
    </cfRule>
  </conditionalFormatting>
  <conditionalFormatting sqref="J55">
    <cfRule type="expression" dxfId="8" priority="23" operator="notContains">
      <formula>ISERROR(SEARCH((O55),(J55)))</formula>
    </cfRule>
  </conditionalFormatting>
  <conditionalFormatting sqref="J56">
    <cfRule type="expression" dxfId="8" priority="24" operator="notContains">
      <formula>ISERROR(SEARCH((O56),(J56)))</formula>
    </cfRule>
  </conditionalFormatting>
  <conditionalFormatting sqref="J57">
    <cfRule type="expression" dxfId="8" priority="25" operator="notContains">
      <formula>ISERROR(SEARCH((O57),(J57)))</formula>
    </cfRule>
  </conditionalFormatting>
  <conditionalFormatting sqref="J58">
    <cfRule type="expression" dxfId="8" priority="26" operator="notContains">
      <formula>ISERROR(SEARCH((O58),(J58)))</formula>
    </cfRule>
  </conditionalFormatting>
  <conditionalFormatting sqref="J59">
    <cfRule type="expression" dxfId="8" priority="27" operator="notContains">
      <formula>ISERROR(SEARCH((O59),(J59)))</formula>
    </cfRule>
  </conditionalFormatting>
  <conditionalFormatting sqref="J60">
    <cfRule type="expression" dxfId="8" priority="28" operator="notContains">
      <formula>ISERROR(SEARCH((O60),(J60)))</formula>
    </cfRule>
  </conditionalFormatting>
  <conditionalFormatting sqref="H71">
    <cfRule type="expression" dxfId="8" priority="29" operator="notContains">
      <formula>ISERROR(SEARCH((M71),(H71)))</formula>
    </cfRule>
  </conditionalFormatting>
  <conditionalFormatting sqref="H72">
    <cfRule type="expression" dxfId="8" priority="30" operator="notContains">
      <formula>ISERROR(SEARCH((M72),(H72)))</formula>
    </cfRule>
  </conditionalFormatting>
  <conditionalFormatting sqref="H73">
    <cfRule type="expression" dxfId="8" priority="31" operator="notContains">
      <formula>ISERROR(SEARCH((M73),(H73)))</formula>
    </cfRule>
  </conditionalFormatting>
  <conditionalFormatting sqref="H74">
    <cfRule type="expression" dxfId="8" priority="32" operator="notContains">
      <formula>ISERROR(SEARCH((M74),(H74)))</formula>
    </cfRule>
  </conditionalFormatting>
  <conditionalFormatting sqref="H75">
    <cfRule type="expression" dxfId="8" priority="33" operator="notContains">
      <formula>ISERROR(SEARCH((M75),(H75)))</formula>
    </cfRule>
  </conditionalFormatting>
  <conditionalFormatting sqref="H79">
    <cfRule type="expression" dxfId="8" priority="34" operator="notContains">
      <formula>ISERROR(SEARCH((M79),(H79)))</formula>
    </cfRule>
  </conditionalFormatting>
  <conditionalFormatting sqref="H80">
    <cfRule type="expression" dxfId="8" priority="35" operator="notContains">
      <formula>ISERROR(SEARCH((M80),(H80)))</formula>
    </cfRule>
  </conditionalFormatting>
  <conditionalFormatting sqref="H81">
    <cfRule type="expression" dxfId="8" priority="36" operator="notContains">
      <formula>ISERROR(SEARCH((M81),(H81)))</formula>
    </cfRule>
  </conditionalFormatting>
  <conditionalFormatting sqref="H82">
    <cfRule type="expression" dxfId="8" priority="37" operator="notContains">
      <formula>ISERROR(SEARCH((M82),(H82)))</formula>
    </cfRule>
  </conditionalFormatting>
  <conditionalFormatting sqref="H83">
    <cfRule type="expression" dxfId="8" priority="38" operator="notContains">
      <formula>ISERROR(SEARCH((M83),(H83)))</formula>
    </cfRule>
  </conditionalFormatting>
  <conditionalFormatting sqref="H84">
    <cfRule type="expression" dxfId="8" priority="39" operator="notContains">
      <formula>ISERROR(SEARCH((M84),(H84)))</formula>
    </cfRule>
  </conditionalFormatting>
  <conditionalFormatting sqref="H85">
    <cfRule type="expression" dxfId="8" priority="40" operator="notContains">
      <formula>ISERROR(SEARCH((M85),(H85)))</formula>
    </cfRule>
  </conditionalFormatting>
  <conditionalFormatting sqref="H86">
    <cfRule type="expression" dxfId="8" priority="41" operator="notContains">
      <formula>ISERROR(SEARCH((M86),(H86)))</formula>
    </cfRule>
  </conditionalFormatting>
  <conditionalFormatting sqref="I71">
    <cfRule type="expression" dxfId="8" priority="42" operator="notContains">
      <formula>ISERROR(SEARCH((N71),(I71)))</formula>
    </cfRule>
  </conditionalFormatting>
  <conditionalFormatting sqref="I72">
    <cfRule type="expression" dxfId="8" priority="43" operator="notContains">
      <formula>ISERROR(SEARCH((N72),(I72)))</formula>
    </cfRule>
  </conditionalFormatting>
  <conditionalFormatting sqref="I73">
    <cfRule type="expression" dxfId="8" priority="44" operator="notContains">
      <formula>ISERROR(SEARCH((N73),(I73)))</formula>
    </cfRule>
  </conditionalFormatting>
  <conditionalFormatting sqref="I74">
    <cfRule type="expression" dxfId="8" priority="45" operator="notContains">
      <formula>ISERROR(SEARCH((N74),(I74)))</formula>
    </cfRule>
  </conditionalFormatting>
  <conditionalFormatting sqref="I75">
    <cfRule type="expression" dxfId="8" priority="46" operator="notContains">
      <formula>ISERROR(SEARCH((N75),(I75)))</formula>
    </cfRule>
  </conditionalFormatting>
  <conditionalFormatting sqref="I79">
    <cfRule type="expression" dxfId="8" priority="47" operator="notContains">
      <formula>ISERROR(SEARCH((N79),(I79)))</formula>
    </cfRule>
  </conditionalFormatting>
  <conditionalFormatting sqref="I80">
    <cfRule type="expression" dxfId="8" priority="48" operator="notContains">
      <formula>ISERROR(SEARCH((N80),(I80)))</formula>
    </cfRule>
  </conditionalFormatting>
  <conditionalFormatting sqref="I81">
    <cfRule type="expression" dxfId="8" priority="49" operator="notContains">
      <formula>ISERROR(SEARCH((N81),(I81)))</formula>
    </cfRule>
  </conditionalFormatting>
  <conditionalFormatting sqref="I82">
    <cfRule type="expression" dxfId="8" priority="50" operator="notContains">
      <formula>ISERROR(SEARCH((N82),(I82)))</formula>
    </cfRule>
  </conditionalFormatting>
  <conditionalFormatting sqref="I83">
    <cfRule type="expression" dxfId="8" priority="51" operator="notContains">
      <formula>ISERROR(SEARCH((N83),(I83)))</formula>
    </cfRule>
  </conditionalFormatting>
  <conditionalFormatting sqref="I84">
    <cfRule type="expression" dxfId="8" priority="52" operator="notContains">
      <formula>ISERROR(SEARCH((N84),(I84)))</formula>
    </cfRule>
  </conditionalFormatting>
  <conditionalFormatting sqref="I85">
    <cfRule type="expression" dxfId="8" priority="53" operator="notContains">
      <formula>ISERROR(SEARCH((N85),(I85)))</formula>
    </cfRule>
  </conditionalFormatting>
  <conditionalFormatting sqref="I86">
    <cfRule type="expression" dxfId="8" priority="54" operator="notContains">
      <formula>ISERROR(SEARCH((N86),(I86)))</formula>
    </cfRule>
  </conditionalFormatting>
  <conditionalFormatting sqref="J71">
    <cfRule type="expression" dxfId="8" priority="55" operator="notContains">
      <formula>ISERROR(SEARCH((O71),(J71)))</formula>
    </cfRule>
  </conditionalFormatting>
  <conditionalFormatting sqref="J72">
    <cfRule type="expression" dxfId="8" priority="56" operator="notContains">
      <formula>ISERROR(SEARCH((O72),(J72)))</formula>
    </cfRule>
  </conditionalFormatting>
  <conditionalFormatting sqref="J73">
    <cfRule type="expression" dxfId="8" priority="57" operator="notContains">
      <formula>ISERROR(SEARCH((O73),(J73)))</formula>
    </cfRule>
  </conditionalFormatting>
  <conditionalFormatting sqref="J74">
    <cfRule type="expression" dxfId="8" priority="58" operator="notContains">
      <formula>ISERROR(SEARCH((O74),(J74)))</formula>
    </cfRule>
  </conditionalFormatting>
  <conditionalFormatting sqref="J75">
    <cfRule type="expression" dxfId="8" priority="59" operator="notContains">
      <formula>ISERROR(SEARCH((O75),(J75)))</formula>
    </cfRule>
  </conditionalFormatting>
  <conditionalFormatting sqref="J79">
    <cfRule type="expression" dxfId="8" priority="60" operator="notContains">
      <formula>ISERROR(SEARCH((O79),(J79)))</formula>
    </cfRule>
  </conditionalFormatting>
  <conditionalFormatting sqref="J80">
    <cfRule type="expression" dxfId="8" priority="61" operator="notContains">
      <formula>ISERROR(SEARCH((O80),(J80)))</formula>
    </cfRule>
  </conditionalFormatting>
  <conditionalFormatting sqref="J81">
    <cfRule type="expression" dxfId="8" priority="62" operator="notContains">
      <formula>ISERROR(SEARCH((O81),(J81)))</formula>
    </cfRule>
  </conditionalFormatting>
  <conditionalFormatting sqref="J82">
    <cfRule type="expression" dxfId="8" priority="63" operator="notContains">
      <formula>ISERROR(SEARCH((O82),(J82)))</formula>
    </cfRule>
  </conditionalFormatting>
  <conditionalFormatting sqref="J83">
    <cfRule type="expression" dxfId="8" priority="64" operator="notContains">
      <formula>ISERROR(SEARCH((O83),(J83)))</formula>
    </cfRule>
  </conditionalFormatting>
  <conditionalFormatting sqref="J84">
    <cfRule type="expression" dxfId="8" priority="65" operator="notContains">
      <formula>ISERROR(SEARCH((O84),(J84)))</formula>
    </cfRule>
  </conditionalFormatting>
  <conditionalFormatting sqref="J85">
    <cfRule type="expression" dxfId="8" priority="66" operator="notContains">
      <formula>ISERROR(SEARCH((O85),(J85)))</formula>
    </cfRule>
  </conditionalFormatting>
  <conditionalFormatting sqref="J86">
    <cfRule type="expression" dxfId="8" priority="67" operator="notContains">
      <formula>ISERROR(SEARCH((O86),(J86)))</formula>
    </cfRule>
  </conditionalFormatting>
  <conditionalFormatting sqref="H63">
    <cfRule type="expression" dxfId="8" priority="68" operator="notContains">
      <formula>ISERROR(SEARCH((M63),(H63)))</formula>
    </cfRule>
  </conditionalFormatting>
  <conditionalFormatting sqref="H64">
    <cfRule type="expression" dxfId="8" priority="69" operator="notContains">
      <formula>ISERROR(SEARCH((M64),(H64)))</formula>
    </cfRule>
  </conditionalFormatting>
  <conditionalFormatting sqref="H65">
    <cfRule type="expression" dxfId="8" priority="70" operator="notContains">
      <formula>ISERROR(SEARCH((M65),(H65)))</formula>
    </cfRule>
  </conditionalFormatting>
  <conditionalFormatting sqref="H66">
    <cfRule type="expression" dxfId="8" priority="71" operator="notContains">
      <formula>ISERROR(SEARCH((M66),(H66)))</formula>
    </cfRule>
  </conditionalFormatting>
  <conditionalFormatting sqref="I63">
    <cfRule type="expression" dxfId="8" priority="72" operator="notContains">
      <formula>ISERROR(SEARCH((N63),(I63)))</formula>
    </cfRule>
  </conditionalFormatting>
  <conditionalFormatting sqref="I64">
    <cfRule type="expression" dxfId="8" priority="73" operator="notContains">
      <formula>ISERROR(SEARCH((N64),(I64)))</formula>
    </cfRule>
  </conditionalFormatting>
  <conditionalFormatting sqref="I65">
    <cfRule type="expression" dxfId="8" priority="74" operator="notContains">
      <formula>ISERROR(SEARCH((N65),(I65)))</formula>
    </cfRule>
  </conditionalFormatting>
  <conditionalFormatting sqref="I66">
    <cfRule type="expression" dxfId="8" priority="75" operator="notContains">
      <formula>ISERROR(SEARCH((N66),(I66)))</formula>
    </cfRule>
  </conditionalFormatting>
  <conditionalFormatting sqref="J63">
    <cfRule type="expression" dxfId="8" priority="76" operator="notContains">
      <formula>ISERROR(SEARCH((O63),(J63)))</formula>
    </cfRule>
  </conditionalFormatting>
  <conditionalFormatting sqref="J64">
    <cfRule type="expression" dxfId="8" priority="77" operator="notContains">
      <formula>ISERROR(SEARCH((O64),(J64)))</formula>
    </cfRule>
  </conditionalFormatting>
  <conditionalFormatting sqref="J65">
    <cfRule type="expression" dxfId="8" priority="78" operator="notContains">
      <formula>ISERROR(SEARCH((O65),(J65)))</formula>
    </cfRule>
  </conditionalFormatting>
  <conditionalFormatting sqref="J66">
    <cfRule type="expression" dxfId="8" priority="79" operator="notContains">
      <formula>ISERROR(SEARCH((O66),(J66)))</formula>
    </cfRule>
  </conditionalFormatting>
  <dataValidations>
    <dataValidation type="list" allowBlank="1" sqref="F26">
      <formula1>meta!$N$2:$N193</formula1>
    </dataValidation>
    <dataValidation type="list" allowBlank="1" sqref="H53:Q60 H63:Q66">
      <formula1>meta!$J$2:$J193</formula1>
    </dataValidation>
    <dataValidation type="list" allowBlank="1" sqref="F165:F169">
      <formula1>meta!$G$1:$G$3</formula1>
    </dataValidation>
    <dataValidation type="list" allowBlank="1" sqref="G181:H181 J181 L181 N181">
      <formula1>meta!$D$3:$D$1001</formula1>
    </dataValidation>
    <dataValidation type="list" allowBlank="1" sqref="H51:Q51 E165:E169">
      <formula1>meta!$F$2:$F193</formula1>
    </dataValidation>
    <dataValidation type="list" allowBlank="1" sqref="C53:C60">
      <formula1>meta!$K$2:$K193</formula1>
    </dataValidation>
    <dataValidation type="list" allowBlank="1" sqref="F17">
      <formula1>meta!$C$2:$C$1001</formula1>
    </dataValidation>
    <dataValidation type="list" allowBlank="1" sqref="F25">
      <formula1>meta!$M$2:$M193</formula1>
    </dataValidation>
    <dataValidation type="custom" allowBlank="1" showDropDown="1" showInputMessage="1" showErrorMessage="1" prompt="The offer length days must be within the Campaign Start and End Date" sqref="F28">
      <formula1>F28&lt;=F23-F22=TRUE</formula1>
    </dataValidation>
    <dataValidation type="list" allowBlank="1" sqref="C165:C169">
      <formula1>meta!$I$2:$I193</formula1>
    </dataValidation>
    <dataValidation type="custom" allowBlank="1" showDropDown="1" sqref="F22 E153:E161 D165:D169">
      <formula1>OR(NOT(ISERROR(DATEVALUE(D22))), AND(ISNUMBER(D22), LEFT(CELL("format", D22))="D"))</formula1>
    </dataValidation>
    <dataValidation type="custom" allowBlank="1" showDropDown="1" showInputMessage="1" showErrorMessage="1" prompt="Campaign End Date is before Campaign Start Date" sqref="F23">
      <formula1>F23&gt;=F22=True</formula1>
    </dataValidation>
    <dataValidation type="decimal" operator="greaterThan" allowBlank="1" showDropDown="1" sqref="F27">
      <formula1>0.0</formula1>
    </dataValidation>
    <dataValidation type="list" allowBlank="1" sqref="C63:C66">
      <formula1>meta!$L$2:$L193</formula1>
    </dataValidation>
    <dataValidation type="list" allowBlank="1" sqref="G165:G169">
      <formula1>meta!$H$2:$H193</formula1>
    </dataValidation>
  </dataValidations>
  <hyperlinks>
    <hyperlink r:id="rId1" location="gid=1329109951" ref="G18"/>
    <hyperlink r:id="rId2" ref="G26"/>
    <hyperlink r:id="rId3" ref="G28"/>
    <hyperlink r:id="rId4" ref="C124"/>
  </hyperlinks>
  <printOptions/>
  <pageMargins bottom="0.3937007874015748" footer="0.0" header="0.0" left="0.3937007874015748" right="0.3937007874015748" top="0.3937007874015748"/>
  <pageSetup fitToWidth="0" paperSize="9" orientation="portrait"/>
  <drawing r:id="rId5"/>
  <tableParts count="2">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6.29"/>
    <col customWidth="1" min="2" max="2" width="13.29"/>
    <col customWidth="1" min="3" max="3" width="22.0"/>
    <col customWidth="1" min="4" max="4" width="28.71"/>
    <col customWidth="1" min="5" max="5" width="26.14"/>
    <col customWidth="1" min="6" max="6" width="16.71"/>
    <col customWidth="1" min="7" max="7" width="16.29"/>
    <col customWidth="1" min="8" max="8" width="16.57"/>
    <col customWidth="1" min="9" max="9" width="21.86"/>
    <col customWidth="1" min="10" max="10" width="16.57"/>
    <col customWidth="1" min="11" max="11" width="12.86"/>
    <col customWidth="1" min="12" max="12" width="12.0"/>
    <col customWidth="1" min="13" max="47" width="16.57"/>
  </cols>
  <sheetData>
    <row r="1" ht="14.25" customHeight="1">
      <c r="A1" s="290"/>
      <c r="B1" s="291"/>
      <c r="C1" s="292"/>
      <c r="D1" s="293"/>
      <c r="E1" s="293"/>
      <c r="F1" s="293"/>
      <c r="G1" s="406"/>
      <c r="H1" s="407"/>
      <c r="I1" s="407"/>
      <c r="J1" s="407"/>
      <c r="K1" s="407"/>
      <c r="L1" s="407"/>
      <c r="M1" s="407"/>
      <c r="N1" s="407"/>
      <c r="O1" s="407"/>
      <c r="P1" s="407"/>
      <c r="Q1" s="783">
        <f>sum(Q2:Q11)</f>
        <v>0</v>
      </c>
      <c r="R1" s="293"/>
      <c r="S1" s="293"/>
      <c r="T1" s="293"/>
      <c r="U1" s="293"/>
      <c r="V1" s="293"/>
      <c r="W1" s="293"/>
      <c r="X1" s="293"/>
      <c r="Y1" s="293"/>
      <c r="Z1" s="293"/>
      <c r="AA1" s="293"/>
      <c r="AB1" s="293"/>
      <c r="AC1" s="293"/>
      <c r="AD1" s="293"/>
      <c r="AE1" s="293"/>
      <c r="AF1" s="293"/>
      <c r="AG1" s="293"/>
      <c r="AH1" s="293"/>
      <c r="AI1" s="293"/>
      <c r="AJ1" s="293"/>
      <c r="AK1" s="293"/>
      <c r="AL1" s="293"/>
      <c r="AM1" s="293"/>
      <c r="AN1" s="293"/>
      <c r="AO1" s="293"/>
      <c r="AP1" s="293"/>
      <c r="AQ1" s="293"/>
      <c r="AR1" s="293"/>
      <c r="AS1" s="293"/>
      <c r="AT1" s="293"/>
      <c r="AU1" s="293"/>
    </row>
    <row r="2" ht="14.25" customHeight="1">
      <c r="A2" s="408"/>
      <c r="B2" s="409"/>
      <c r="C2" s="409"/>
      <c r="D2" s="409"/>
      <c r="E2" s="409"/>
      <c r="F2" s="409"/>
      <c r="G2" s="409"/>
      <c r="H2" s="409"/>
      <c r="I2" s="409"/>
      <c r="J2" s="409"/>
      <c r="K2" s="409"/>
      <c r="L2" s="409"/>
      <c r="M2" s="409"/>
      <c r="N2" s="409"/>
      <c r="O2" s="409"/>
      <c r="P2" s="409"/>
      <c r="Q2" s="240"/>
      <c r="R2" s="409"/>
      <c r="S2" s="409"/>
      <c r="T2" s="409"/>
      <c r="U2" s="409"/>
      <c r="V2" s="409"/>
      <c r="W2" s="409"/>
      <c r="X2" s="409"/>
      <c r="Y2" s="409"/>
      <c r="Z2" s="409"/>
      <c r="AA2" s="409"/>
      <c r="AB2" s="409"/>
      <c r="AC2" s="409"/>
      <c r="AD2" s="409"/>
      <c r="AE2" s="409"/>
      <c r="AF2" s="409"/>
      <c r="AG2" s="409"/>
      <c r="AH2" s="409"/>
      <c r="AI2" s="409"/>
      <c r="AJ2" s="409"/>
      <c r="AK2" s="409"/>
      <c r="AL2" s="409"/>
      <c r="AM2" s="409"/>
      <c r="AN2" s="409"/>
      <c r="AO2" s="409"/>
      <c r="AP2" s="409"/>
      <c r="AQ2" s="409"/>
      <c r="AR2" s="409"/>
      <c r="AS2" s="409"/>
      <c r="AT2" s="409"/>
      <c r="AU2" s="409"/>
    </row>
    <row r="3" ht="14.25" customHeight="1">
      <c r="A3" s="408"/>
      <c r="B3" s="409"/>
      <c r="C3" s="409"/>
      <c r="D3" s="409"/>
      <c r="E3" s="409"/>
      <c r="F3" s="409"/>
      <c r="G3" s="409"/>
      <c r="H3" s="409"/>
      <c r="I3" s="409"/>
      <c r="J3" s="409"/>
      <c r="K3" s="409"/>
      <c r="L3" s="409"/>
      <c r="M3" s="409"/>
      <c r="N3" s="409"/>
      <c r="O3" s="409"/>
      <c r="P3" s="409"/>
      <c r="Q3" s="240"/>
      <c r="R3" s="409"/>
      <c r="S3" s="409"/>
      <c r="T3" s="409"/>
      <c r="U3" s="409"/>
      <c r="V3" s="409"/>
      <c r="W3" s="409"/>
      <c r="X3" s="409"/>
      <c r="Y3" s="409"/>
      <c r="Z3" s="409"/>
      <c r="AA3" s="409"/>
      <c r="AB3" s="409"/>
      <c r="AC3" s="409"/>
      <c r="AD3" s="409"/>
      <c r="AE3" s="409"/>
      <c r="AF3" s="409"/>
      <c r="AG3" s="409"/>
      <c r="AH3" s="409"/>
      <c r="AI3" s="409"/>
      <c r="AJ3" s="409"/>
      <c r="AK3" s="409"/>
      <c r="AL3" s="409"/>
      <c r="AM3" s="409"/>
      <c r="AN3" s="409"/>
      <c r="AO3" s="409"/>
      <c r="AP3" s="409"/>
      <c r="AQ3" s="409"/>
      <c r="AR3" s="409"/>
      <c r="AS3" s="409"/>
      <c r="AT3" s="409"/>
      <c r="AU3" s="409"/>
    </row>
    <row r="4" ht="14.25" customHeight="1">
      <c r="A4" s="408"/>
      <c r="B4" s="409"/>
      <c r="C4" s="409"/>
      <c r="D4" s="409"/>
      <c r="E4" s="409"/>
      <c r="F4" s="409"/>
      <c r="G4" s="409"/>
      <c r="H4" s="409"/>
      <c r="I4" s="409"/>
      <c r="J4" s="409"/>
      <c r="K4" s="409"/>
      <c r="L4" s="409"/>
      <c r="M4" s="409"/>
      <c r="N4" s="409"/>
      <c r="O4" s="409"/>
      <c r="P4" s="409"/>
      <c r="Q4" s="240"/>
      <c r="R4" s="409"/>
      <c r="S4" s="409"/>
      <c r="T4" s="409"/>
      <c r="U4" s="409"/>
      <c r="V4" s="409"/>
      <c r="W4" s="409"/>
      <c r="X4" s="409"/>
      <c r="Y4" s="409"/>
      <c r="Z4" s="409"/>
      <c r="AA4" s="409"/>
      <c r="AB4" s="409"/>
      <c r="AC4" s="409"/>
      <c r="AD4" s="409"/>
      <c r="AE4" s="409"/>
      <c r="AF4" s="409"/>
      <c r="AG4" s="409"/>
      <c r="AH4" s="409"/>
      <c r="AI4" s="409"/>
      <c r="AJ4" s="409"/>
      <c r="AK4" s="409"/>
      <c r="AL4" s="409"/>
      <c r="AM4" s="409"/>
      <c r="AN4" s="409"/>
      <c r="AO4" s="409"/>
      <c r="AP4" s="409"/>
      <c r="AQ4" s="409"/>
      <c r="AR4" s="409"/>
      <c r="AS4" s="409"/>
      <c r="AT4" s="409"/>
      <c r="AU4" s="409"/>
    </row>
    <row r="5" ht="14.25" customHeight="1">
      <c r="A5" s="408"/>
      <c r="B5" s="409"/>
      <c r="C5" s="410"/>
      <c r="D5" s="9"/>
      <c r="E5" s="9"/>
      <c r="F5" s="409"/>
      <c r="G5" s="409"/>
      <c r="H5" s="409"/>
      <c r="I5" s="409"/>
      <c r="J5" s="409"/>
      <c r="K5" s="9"/>
      <c r="L5" s="9"/>
      <c r="M5" s="9"/>
      <c r="N5" s="409"/>
      <c r="O5" s="409"/>
      <c r="P5" s="409"/>
      <c r="Q5" s="240"/>
      <c r="R5" s="409"/>
      <c r="S5" s="409"/>
      <c r="T5" s="409"/>
      <c r="U5" s="409"/>
      <c r="V5" s="409"/>
      <c r="W5" s="409"/>
      <c r="X5" s="409"/>
      <c r="Y5" s="409"/>
      <c r="Z5" s="409"/>
      <c r="AA5" s="409"/>
      <c r="AB5" s="409"/>
      <c r="AC5" s="409"/>
      <c r="AD5" s="409"/>
      <c r="AE5" s="409"/>
      <c r="AF5" s="409"/>
      <c r="AG5" s="409"/>
      <c r="AH5" s="409"/>
      <c r="AI5" s="409"/>
      <c r="AJ5" s="409"/>
      <c r="AK5" s="409"/>
      <c r="AL5" s="409"/>
      <c r="AM5" s="409"/>
      <c r="AN5" s="409"/>
      <c r="AO5" s="409"/>
      <c r="AP5" s="409"/>
      <c r="AQ5" s="409"/>
      <c r="AR5" s="409"/>
      <c r="AS5" s="409"/>
      <c r="AT5" s="409"/>
      <c r="AU5" s="409"/>
    </row>
    <row r="6" ht="14.25" customHeight="1">
      <c r="A6" s="408"/>
      <c r="B6" s="411" t="s">
        <v>10</v>
      </c>
      <c r="C6" s="9"/>
      <c r="D6" s="412"/>
      <c r="E6" s="409"/>
      <c r="F6" s="409"/>
      <c r="G6" s="410"/>
      <c r="H6" s="409"/>
      <c r="I6" s="409"/>
      <c r="J6" s="409"/>
      <c r="K6" s="9"/>
      <c r="L6" s="9"/>
      <c r="M6" s="9"/>
      <c r="N6" s="409"/>
      <c r="O6" s="409"/>
      <c r="P6" s="409"/>
      <c r="Q6" s="240"/>
      <c r="R6" s="409"/>
      <c r="S6" s="409"/>
      <c r="T6" s="409"/>
      <c r="U6" s="409"/>
      <c r="V6" s="409"/>
      <c r="W6" s="409"/>
      <c r="X6" s="409"/>
      <c r="Y6" s="409"/>
      <c r="Z6" s="409"/>
      <c r="AA6" s="409"/>
      <c r="AB6" s="409"/>
      <c r="AC6" s="409"/>
      <c r="AD6" s="409"/>
      <c r="AE6" s="409"/>
      <c r="AF6" s="409"/>
      <c r="AG6" s="409"/>
      <c r="AH6" s="409"/>
      <c r="AI6" s="409"/>
      <c r="AJ6" s="409"/>
      <c r="AK6" s="409"/>
      <c r="AL6" s="409"/>
      <c r="AM6" s="409"/>
      <c r="AN6" s="409"/>
      <c r="AO6" s="409"/>
      <c r="AP6" s="409"/>
      <c r="AQ6" s="409"/>
      <c r="AR6" s="409"/>
      <c r="AS6" s="409"/>
      <c r="AT6" s="409"/>
      <c r="AU6" s="409"/>
    </row>
    <row r="7" ht="14.25" customHeight="1">
      <c r="A7" s="408"/>
      <c r="B7" s="413" t="s">
        <v>449</v>
      </c>
      <c r="C7" s="9"/>
      <c r="D7" s="70"/>
      <c r="E7" s="409"/>
      <c r="F7" s="409"/>
      <c r="G7" s="410"/>
      <c r="H7" s="409"/>
      <c r="I7" s="409"/>
      <c r="J7" s="409"/>
      <c r="K7" s="9"/>
      <c r="L7" s="9"/>
      <c r="M7" s="9"/>
      <c r="N7" s="409"/>
      <c r="O7" s="409"/>
      <c r="P7" s="409"/>
      <c r="Q7" s="240"/>
      <c r="R7" s="409"/>
      <c r="S7" s="409"/>
      <c r="T7" s="409"/>
      <c r="U7" s="409"/>
      <c r="V7" s="409"/>
      <c r="W7" s="409"/>
      <c r="X7" s="409"/>
      <c r="Y7" s="409"/>
      <c r="Z7" s="409"/>
      <c r="AA7" s="409"/>
      <c r="AB7" s="409"/>
      <c r="AC7" s="409"/>
      <c r="AD7" s="409"/>
      <c r="AE7" s="409"/>
      <c r="AF7" s="409"/>
      <c r="AG7" s="409"/>
      <c r="AH7" s="409"/>
      <c r="AI7" s="409"/>
      <c r="AJ7" s="409"/>
      <c r="AK7" s="409"/>
      <c r="AL7" s="409"/>
      <c r="AM7" s="409"/>
      <c r="AN7" s="409"/>
      <c r="AO7" s="409"/>
      <c r="AP7" s="409"/>
      <c r="AQ7" s="409"/>
      <c r="AR7" s="409"/>
      <c r="AS7" s="409"/>
      <c r="AT7" s="409"/>
      <c r="AU7" s="409"/>
    </row>
    <row r="8" ht="14.25" customHeight="1">
      <c r="A8" s="408"/>
      <c r="B8" s="409"/>
      <c r="C8" s="9"/>
      <c r="D8" s="9"/>
      <c r="E8" s="409"/>
      <c r="F8" s="409"/>
      <c r="G8" s="410"/>
      <c r="H8" s="409"/>
      <c r="I8" s="409"/>
      <c r="J8" s="409"/>
      <c r="K8" s="9"/>
      <c r="L8" s="9"/>
      <c r="M8" s="9"/>
      <c r="N8" s="409"/>
      <c r="O8" s="409"/>
      <c r="P8" s="409"/>
      <c r="Q8" s="240"/>
      <c r="R8" s="409"/>
      <c r="S8" s="409"/>
      <c r="T8" s="409"/>
      <c r="U8" s="409"/>
      <c r="V8" s="409"/>
      <c r="W8" s="409"/>
      <c r="X8" s="409"/>
      <c r="Y8" s="409"/>
      <c r="Z8" s="409"/>
      <c r="AA8" s="409"/>
      <c r="AB8" s="409"/>
      <c r="AC8" s="409"/>
      <c r="AD8" s="409"/>
      <c r="AE8" s="409"/>
      <c r="AF8" s="409"/>
      <c r="AG8" s="409"/>
      <c r="AH8" s="409"/>
      <c r="AI8" s="409"/>
      <c r="AJ8" s="409"/>
      <c r="AK8" s="409"/>
      <c r="AL8" s="409"/>
      <c r="AM8" s="409"/>
      <c r="AN8" s="409"/>
      <c r="AO8" s="409"/>
      <c r="AP8" s="409"/>
      <c r="AQ8" s="409"/>
      <c r="AR8" s="409"/>
      <c r="AS8" s="409"/>
      <c r="AT8" s="409"/>
      <c r="AU8" s="409"/>
    </row>
    <row r="9" ht="14.25" customHeight="1">
      <c r="A9" s="408"/>
      <c r="B9" s="414"/>
      <c r="C9" s="414"/>
      <c r="D9" s="414"/>
      <c r="E9" s="414"/>
      <c r="F9" s="414"/>
      <c r="G9" s="414"/>
      <c r="H9" s="414"/>
      <c r="I9" s="414"/>
      <c r="J9" s="414"/>
      <c r="K9" s="414"/>
      <c r="L9" s="414"/>
      <c r="M9" s="414"/>
      <c r="N9" s="414"/>
      <c r="O9" s="414"/>
      <c r="P9" s="409"/>
      <c r="Q9" s="240"/>
      <c r="R9" s="409"/>
      <c r="S9" s="409"/>
      <c r="T9" s="409"/>
      <c r="U9" s="409"/>
      <c r="V9" s="409"/>
      <c r="W9" s="409"/>
      <c r="X9" s="409"/>
      <c r="Y9" s="409"/>
      <c r="Z9" s="409"/>
      <c r="AA9" s="409"/>
      <c r="AB9" s="409"/>
      <c r="AC9" s="409"/>
      <c r="AD9" s="409"/>
      <c r="AE9" s="409"/>
      <c r="AF9" s="409"/>
      <c r="AG9" s="409"/>
      <c r="AH9" s="409"/>
      <c r="AI9" s="409"/>
      <c r="AJ9" s="409"/>
      <c r="AK9" s="409"/>
      <c r="AL9" s="409"/>
      <c r="AM9" s="409"/>
      <c r="AN9" s="409"/>
      <c r="AO9" s="409"/>
      <c r="AP9" s="409"/>
      <c r="AQ9" s="409"/>
      <c r="AR9" s="409"/>
      <c r="AS9" s="409"/>
      <c r="AT9" s="409"/>
      <c r="AU9" s="409"/>
    </row>
    <row r="10" ht="14.25" customHeight="1">
      <c r="A10" s="408"/>
      <c r="B10" s="409"/>
      <c r="C10" s="409"/>
      <c r="D10" s="409"/>
      <c r="E10" s="409"/>
      <c r="F10" s="409"/>
      <c r="G10" s="9"/>
      <c r="H10" s="9"/>
      <c r="I10" s="9"/>
      <c r="J10" s="9"/>
      <c r="K10" s="9"/>
      <c r="L10" s="9"/>
      <c r="M10" s="9"/>
      <c r="N10" s="9"/>
      <c r="O10" s="9"/>
      <c r="P10" s="409"/>
      <c r="Q10" s="240"/>
      <c r="R10" s="409"/>
      <c r="S10" s="409"/>
      <c r="T10" s="409"/>
      <c r="U10" s="409"/>
      <c r="V10" s="409"/>
      <c r="W10" s="409"/>
      <c r="X10" s="409"/>
      <c r="Y10" s="409"/>
      <c r="Z10" s="409"/>
      <c r="AA10" s="409"/>
      <c r="AB10" s="409"/>
      <c r="AC10" s="409"/>
      <c r="AD10" s="409"/>
      <c r="AE10" s="409"/>
      <c r="AF10" s="409"/>
      <c r="AG10" s="409"/>
      <c r="AH10" s="409"/>
      <c r="AI10" s="409"/>
      <c r="AJ10" s="409"/>
      <c r="AK10" s="409"/>
      <c r="AL10" s="409"/>
      <c r="AM10" s="409"/>
      <c r="AN10" s="409"/>
      <c r="AO10" s="409"/>
      <c r="AP10" s="409"/>
      <c r="AQ10" s="409"/>
      <c r="AR10" s="409"/>
      <c r="AS10" s="409"/>
      <c r="AT10" s="409"/>
      <c r="AU10" s="409"/>
    </row>
    <row r="11" ht="14.25" customHeight="1">
      <c r="A11" s="408"/>
      <c r="B11" s="409"/>
      <c r="C11" s="415" t="s">
        <v>483</v>
      </c>
      <c r="D11" s="409"/>
      <c r="E11" s="410"/>
      <c r="F11" s="409"/>
      <c r="G11" s="9"/>
      <c r="H11" s="9"/>
      <c r="I11" s="9"/>
      <c r="J11" s="9"/>
      <c r="K11" s="409"/>
      <c r="L11" s="409"/>
      <c r="M11" s="409"/>
      <c r="N11" s="409"/>
      <c r="O11" s="409"/>
      <c r="P11" s="409"/>
      <c r="Q11" s="240"/>
      <c r="R11" s="409"/>
      <c r="S11" s="409"/>
      <c r="T11" s="409"/>
      <c r="U11" s="409"/>
      <c r="V11" s="409"/>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row>
    <row r="12" ht="14.25" customHeight="1">
      <c r="A12" s="408"/>
      <c r="B12" s="409"/>
      <c r="C12" s="411"/>
      <c r="D12" s="409"/>
      <c r="E12" s="409"/>
      <c r="F12" s="409"/>
      <c r="G12" s="9"/>
      <c r="H12" s="9"/>
      <c r="I12" s="9"/>
      <c r="J12" s="9"/>
      <c r="K12" s="409"/>
      <c r="L12" s="409"/>
      <c r="M12" s="409"/>
      <c r="N12" s="409"/>
      <c r="O12" s="409"/>
      <c r="P12" s="409"/>
      <c r="Q12" s="240"/>
      <c r="R12" s="409"/>
      <c r="S12" s="409"/>
      <c r="T12" s="409"/>
      <c r="U12" s="409"/>
      <c r="V12" s="409"/>
      <c r="W12" s="409"/>
      <c r="X12" s="409"/>
      <c r="Y12" s="409"/>
      <c r="Z12" s="409"/>
      <c r="AA12" s="409"/>
      <c r="AB12" s="409"/>
      <c r="AC12" s="409"/>
      <c r="AD12" s="409"/>
      <c r="AE12" s="409"/>
      <c r="AF12" s="409"/>
      <c r="AG12" s="409"/>
      <c r="AH12" s="409"/>
      <c r="AI12" s="409"/>
      <c r="AJ12" s="409"/>
      <c r="AK12" s="409"/>
      <c r="AL12" s="409"/>
      <c r="AM12" s="409"/>
      <c r="AN12" s="409"/>
      <c r="AO12" s="409"/>
      <c r="AP12" s="409"/>
      <c r="AQ12" s="409"/>
      <c r="AR12" s="409"/>
      <c r="AS12" s="409"/>
      <c r="AT12" s="409"/>
      <c r="AU12" s="409"/>
    </row>
    <row r="13" ht="14.25" customHeight="1">
      <c r="A13" s="416" t="s">
        <v>310</v>
      </c>
      <c r="B13" s="414"/>
      <c r="C13" s="414"/>
      <c r="D13" s="414"/>
      <c r="E13" s="414"/>
      <c r="F13" s="414"/>
      <c r="G13" s="414"/>
      <c r="H13" s="414"/>
      <c r="I13" s="414"/>
      <c r="J13" s="414"/>
      <c r="K13" s="414"/>
      <c r="L13" s="414"/>
      <c r="M13" s="414"/>
      <c r="N13" s="414"/>
      <c r="O13" s="414"/>
      <c r="P13" s="410"/>
      <c r="Q13" s="784"/>
      <c r="R13" s="409"/>
      <c r="S13" s="409"/>
      <c r="T13" s="409"/>
      <c r="U13" s="409"/>
      <c r="V13" s="409"/>
      <c r="W13" s="409"/>
      <c r="X13" s="409"/>
      <c r="Y13" s="409"/>
      <c r="Z13" s="409"/>
      <c r="AA13" s="409"/>
      <c r="AB13" s="409"/>
      <c r="AC13" s="409"/>
      <c r="AD13" s="409"/>
      <c r="AE13" s="409"/>
      <c r="AF13" s="409"/>
      <c r="AG13" s="409"/>
      <c r="AH13" s="409"/>
      <c r="AI13" s="409"/>
      <c r="AJ13" s="409"/>
      <c r="AK13" s="409"/>
      <c r="AL13" s="409"/>
      <c r="AM13" s="409"/>
      <c r="AN13" s="409"/>
      <c r="AO13" s="409"/>
      <c r="AP13" s="409"/>
      <c r="AQ13" s="409"/>
      <c r="AR13" s="409"/>
      <c r="AS13" s="409"/>
      <c r="AT13" s="409"/>
      <c r="AU13" s="409"/>
    </row>
    <row r="14" ht="14.25" customHeight="1">
      <c r="A14" s="290"/>
      <c r="B14" s="291"/>
      <c r="C14" s="319" t="s">
        <v>311</v>
      </c>
      <c r="D14" s="293"/>
      <c r="E14" s="293"/>
      <c r="F14" s="293"/>
      <c r="G14" s="406"/>
      <c r="H14" s="407"/>
      <c r="I14" s="407"/>
      <c r="J14" s="407"/>
      <c r="K14" s="407"/>
      <c r="L14" s="407"/>
      <c r="M14" s="407"/>
      <c r="N14" s="407"/>
      <c r="O14" s="407"/>
      <c r="P14" s="407"/>
      <c r="Q14" s="78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row>
    <row r="15" ht="14.25" customHeight="1">
      <c r="A15" s="305">
        <v>1.0</v>
      </c>
      <c r="B15" s="351"/>
      <c r="C15" s="785" t="s">
        <v>16</v>
      </c>
      <c r="F15" s="786" t="s">
        <v>484</v>
      </c>
      <c r="G15" s="787"/>
      <c r="H15" s="787"/>
      <c r="I15" s="787"/>
      <c r="J15" s="787"/>
      <c r="K15" s="787"/>
      <c r="L15" s="787"/>
      <c r="M15" s="419"/>
      <c r="N15" s="419"/>
      <c r="O15" s="419"/>
      <c r="P15" s="419"/>
      <c r="Q15" s="788"/>
      <c r="R15" s="332"/>
      <c r="S15" s="332"/>
      <c r="T15" s="332"/>
      <c r="U15" s="332"/>
      <c r="V15" s="332"/>
      <c r="W15" s="332"/>
      <c r="X15" s="332"/>
      <c r="Y15" s="332"/>
      <c r="Z15" s="332"/>
      <c r="AA15" s="332"/>
      <c r="AB15" s="332"/>
      <c r="AC15" s="332"/>
      <c r="AD15" s="332"/>
      <c r="AE15" s="332"/>
      <c r="AF15" s="332"/>
      <c r="AG15" s="332"/>
      <c r="AH15" s="332"/>
      <c r="AI15" s="332"/>
      <c r="AJ15" s="332"/>
      <c r="AK15" s="332"/>
      <c r="AL15" s="332"/>
      <c r="AM15" s="332"/>
      <c r="AN15" s="332"/>
      <c r="AO15" s="332"/>
      <c r="AP15" s="332"/>
      <c r="AQ15" s="332"/>
      <c r="AR15" s="332"/>
      <c r="AS15" s="332"/>
      <c r="AT15" s="332"/>
      <c r="AU15" s="332"/>
    </row>
    <row r="16" ht="14.25" customHeight="1">
      <c r="A16" s="312">
        <f t="shared" ref="A16:A28" si="1">A15+1</f>
        <v>2</v>
      </c>
      <c r="B16" s="420"/>
      <c r="C16" s="789" t="s">
        <v>313</v>
      </c>
      <c r="F16" s="790" t="str">
        <f>LOWER(left($F$15,3))</f>
        <v>onl</v>
      </c>
      <c r="G16" s="791"/>
      <c r="H16" s="792"/>
      <c r="I16" s="792"/>
      <c r="J16" s="792"/>
      <c r="K16" s="792"/>
      <c r="L16" s="792"/>
      <c r="M16" s="424"/>
      <c r="N16" s="424"/>
      <c r="O16" s="424"/>
      <c r="P16" s="424"/>
      <c r="Q16" s="793"/>
      <c r="R16" s="314"/>
      <c r="S16" s="314"/>
      <c r="T16" s="314"/>
      <c r="U16" s="314"/>
      <c r="V16" s="314"/>
      <c r="W16" s="314"/>
      <c r="X16" s="314"/>
      <c r="Y16" s="314"/>
      <c r="Z16" s="314"/>
      <c r="AA16" s="314"/>
      <c r="AB16" s="314"/>
      <c r="AC16" s="314"/>
      <c r="AD16" s="314"/>
      <c r="AE16" s="314"/>
      <c r="AF16" s="314"/>
      <c r="AG16" s="314"/>
      <c r="AH16" s="314"/>
      <c r="AI16" s="314"/>
      <c r="AJ16" s="314"/>
      <c r="AK16" s="314"/>
      <c r="AL16" s="314"/>
      <c r="AM16" s="314"/>
      <c r="AN16" s="314"/>
      <c r="AO16" s="314"/>
      <c r="AP16" s="314"/>
      <c r="AQ16" s="314"/>
      <c r="AR16" s="314"/>
      <c r="AS16" s="314"/>
      <c r="AT16" s="314"/>
      <c r="AU16" s="314"/>
    </row>
    <row r="17" ht="14.25" customHeight="1">
      <c r="A17" s="342">
        <f t="shared" si="1"/>
        <v>3</v>
      </c>
      <c r="B17" s="351"/>
      <c r="C17" s="794" t="s">
        <v>314</v>
      </c>
      <c r="D17" s="795"/>
      <c r="E17" s="785"/>
      <c r="F17" s="786" t="s">
        <v>485</v>
      </c>
      <c r="H17" s="796"/>
      <c r="I17" s="787"/>
      <c r="J17" s="787"/>
      <c r="K17" s="787"/>
      <c r="L17" s="787"/>
      <c r="M17" s="419"/>
      <c r="N17" s="419"/>
      <c r="O17" s="419"/>
      <c r="P17" s="419"/>
      <c r="Q17" s="788"/>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row>
    <row r="18" ht="14.25" customHeight="1">
      <c r="A18" s="312">
        <f t="shared" si="1"/>
        <v>4</v>
      </c>
      <c r="B18" s="420"/>
      <c r="C18" s="797" t="str">
        <f>HYPERLINK("https://docs.google.com/spreadsheets/d/1XQaTYaKkzuTidSYCj1Sr0cqNyuLL8kdKhd630ztvOYI/edit#gid=1329109951","Campaign Name / Type")</f>
        <v>Campaign Name / Type</v>
      </c>
      <c r="F18" s="798" t="s">
        <v>486</v>
      </c>
      <c r="G18" s="791"/>
      <c r="H18" s="791"/>
      <c r="I18" s="791"/>
      <c r="J18" s="791"/>
      <c r="K18" s="791"/>
      <c r="L18" s="791"/>
      <c r="M18" s="433"/>
      <c r="N18" s="424"/>
      <c r="O18" s="424"/>
      <c r="P18" s="424"/>
      <c r="Q18" s="793"/>
      <c r="R18" s="314"/>
      <c r="S18" s="314"/>
      <c r="T18" s="314"/>
      <c r="U18" s="314"/>
      <c r="V18" s="314"/>
      <c r="W18" s="314"/>
      <c r="X18" s="314"/>
      <c r="Y18" s="314"/>
      <c r="Z18" s="314"/>
      <c r="AA18" s="314"/>
      <c r="AB18" s="314"/>
      <c r="AC18" s="314"/>
      <c r="AD18" s="314"/>
      <c r="AE18" s="314"/>
      <c r="AF18" s="314"/>
      <c r="AG18" s="314"/>
      <c r="AH18" s="314"/>
      <c r="AI18" s="314"/>
      <c r="AJ18" s="314"/>
      <c r="AK18" s="314"/>
      <c r="AL18" s="314"/>
      <c r="AM18" s="314"/>
      <c r="AN18" s="314"/>
      <c r="AO18" s="314"/>
      <c r="AP18" s="314"/>
      <c r="AQ18" s="314"/>
      <c r="AR18" s="314"/>
      <c r="AS18" s="314"/>
      <c r="AT18" s="314"/>
      <c r="AU18" s="314"/>
    </row>
    <row r="19" ht="14.25" customHeight="1">
      <c r="A19" s="342">
        <f t="shared" si="1"/>
        <v>5</v>
      </c>
      <c r="B19" s="351"/>
      <c r="C19" s="785" t="s">
        <v>316</v>
      </c>
      <c r="F19" s="799" t="s">
        <v>487</v>
      </c>
      <c r="M19" s="419"/>
      <c r="N19" s="419"/>
      <c r="O19" s="419"/>
      <c r="P19" s="419"/>
      <c r="Q19" s="788"/>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row>
    <row r="20" ht="14.25" customHeight="1">
      <c r="A20" s="312">
        <f t="shared" si="1"/>
        <v>6</v>
      </c>
      <c r="B20" s="420"/>
      <c r="C20" s="789" t="s">
        <v>318</v>
      </c>
      <c r="F20" s="790" t="s">
        <v>488</v>
      </c>
      <c r="M20" s="424"/>
      <c r="N20" s="424"/>
      <c r="O20" s="424"/>
      <c r="P20" s="424"/>
      <c r="Q20" s="793"/>
      <c r="R20" s="314"/>
      <c r="S20" s="314"/>
      <c r="T20" s="314"/>
      <c r="U20" s="314"/>
      <c r="V20" s="314"/>
      <c r="W20" s="314"/>
      <c r="X20" s="314"/>
      <c r="Y20" s="314"/>
      <c r="Z20" s="314"/>
      <c r="AA20" s="314"/>
      <c r="AB20" s="314"/>
      <c r="AC20" s="314"/>
      <c r="AD20" s="314"/>
      <c r="AE20" s="314"/>
      <c r="AF20" s="314"/>
      <c r="AG20" s="314"/>
      <c r="AH20" s="314"/>
      <c r="AI20" s="314"/>
      <c r="AJ20" s="314"/>
      <c r="AK20" s="314"/>
      <c r="AL20" s="314"/>
      <c r="AM20" s="314"/>
      <c r="AN20" s="314"/>
      <c r="AO20" s="314"/>
      <c r="AP20" s="314"/>
      <c r="AQ20" s="314"/>
      <c r="AR20" s="314"/>
      <c r="AS20" s="314"/>
      <c r="AT20" s="314"/>
      <c r="AU20" s="314"/>
    </row>
    <row r="21" ht="14.25" customHeight="1">
      <c r="A21" s="342">
        <f t="shared" si="1"/>
        <v>7</v>
      </c>
      <c r="B21" s="351"/>
      <c r="C21" s="785" t="s">
        <v>320</v>
      </c>
      <c r="F21" s="786" t="s">
        <v>489</v>
      </c>
      <c r="M21" s="419"/>
      <c r="N21" s="419"/>
      <c r="O21" s="419"/>
      <c r="P21" s="419"/>
      <c r="Q21" s="788"/>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c r="AP21" s="332"/>
      <c r="AQ21" s="332"/>
      <c r="AR21" s="332"/>
      <c r="AS21" s="332"/>
      <c r="AT21" s="332"/>
      <c r="AU21" s="332"/>
    </row>
    <row r="22" ht="14.25" customHeight="1">
      <c r="A22" s="312">
        <f t="shared" si="1"/>
        <v>8</v>
      </c>
      <c r="B22" s="420"/>
      <c r="C22" s="789" t="s">
        <v>322</v>
      </c>
      <c r="F22" s="800">
        <v>44810.0</v>
      </c>
      <c r="G22" s="801" t="str">
        <f t="shared" ref="G22:G23" si="2">K22</f>
        <v/>
      </c>
      <c r="M22" s="424"/>
      <c r="N22" s="424"/>
      <c r="O22" s="424"/>
      <c r="P22" s="424"/>
      <c r="Q22" s="793"/>
      <c r="R22" s="314"/>
      <c r="S22" s="314"/>
      <c r="T22" s="314"/>
      <c r="U22" s="314"/>
      <c r="V22" s="314"/>
      <c r="W22" s="314"/>
      <c r="X22" s="314"/>
      <c r="Y22" s="314"/>
      <c r="Z22" s="314"/>
      <c r="AA22" s="314"/>
      <c r="AB22" s="314"/>
      <c r="AC22" s="314"/>
      <c r="AD22" s="314"/>
      <c r="AE22" s="314"/>
      <c r="AF22" s="314"/>
      <c r="AG22" s="314"/>
      <c r="AH22" s="314"/>
      <c r="AI22" s="314"/>
      <c r="AJ22" s="314"/>
      <c r="AK22" s="314"/>
      <c r="AL22" s="314"/>
      <c r="AM22" s="314"/>
      <c r="AN22" s="314"/>
      <c r="AO22" s="314"/>
      <c r="AP22" s="314"/>
      <c r="AQ22" s="314"/>
      <c r="AR22" s="314"/>
      <c r="AS22" s="314"/>
      <c r="AT22" s="314"/>
      <c r="AU22" s="314"/>
    </row>
    <row r="23" ht="14.25" customHeight="1">
      <c r="A23" s="342">
        <f t="shared" si="1"/>
        <v>9</v>
      </c>
      <c r="B23" s="351"/>
      <c r="C23" s="785" t="s">
        <v>323</v>
      </c>
      <c r="F23" s="802">
        <v>44824.0</v>
      </c>
      <c r="G23" s="803" t="str">
        <f t="shared" si="2"/>
        <v/>
      </c>
      <c r="M23" s="419"/>
      <c r="N23" s="419"/>
      <c r="O23" s="419"/>
      <c r="P23" s="419"/>
      <c r="Q23" s="788"/>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row>
    <row r="24" ht="14.25" customHeight="1">
      <c r="A24" s="312">
        <f t="shared" si="1"/>
        <v>10</v>
      </c>
      <c r="B24" s="420"/>
      <c r="C24" s="789" t="s">
        <v>324</v>
      </c>
      <c r="F24" s="790" t="str">
        <f>CONCATENATE(sum(F23-F22)," day(s)")</f>
        <v>14 day(s)</v>
      </c>
      <c r="G24" s="804"/>
      <c r="H24" s="804"/>
      <c r="I24" s="804"/>
      <c r="J24" s="804"/>
      <c r="K24" s="804"/>
      <c r="L24" s="804"/>
      <c r="M24" s="424"/>
      <c r="N24" s="424"/>
      <c r="O24" s="424"/>
      <c r="P24" s="424"/>
      <c r="Q24" s="793"/>
      <c r="R24" s="314"/>
      <c r="S24" s="314"/>
      <c r="T24" s="314"/>
      <c r="U24" s="314"/>
      <c r="V24" s="314"/>
      <c r="W24" s="314"/>
      <c r="X24" s="314"/>
      <c r="Y24" s="314"/>
      <c r="Z24" s="314"/>
      <c r="AA24" s="314"/>
      <c r="AB24" s="314"/>
      <c r="AC24" s="314"/>
      <c r="AD24" s="314"/>
      <c r="AE24" s="314"/>
      <c r="AF24" s="314"/>
      <c r="AG24" s="314"/>
      <c r="AH24" s="314"/>
      <c r="AI24" s="314"/>
      <c r="AJ24" s="314"/>
      <c r="AK24" s="314"/>
      <c r="AL24" s="314"/>
      <c r="AM24" s="314"/>
      <c r="AN24" s="314"/>
      <c r="AO24" s="314"/>
      <c r="AP24" s="314"/>
      <c r="AQ24" s="314"/>
      <c r="AR24" s="314"/>
      <c r="AS24" s="314"/>
      <c r="AT24" s="314"/>
      <c r="AU24" s="314"/>
    </row>
    <row r="25" ht="14.25" customHeight="1">
      <c r="A25" s="342">
        <f t="shared" si="1"/>
        <v>11</v>
      </c>
      <c r="B25" s="351"/>
      <c r="C25" s="785" t="s">
        <v>51</v>
      </c>
      <c r="F25" s="786" t="s">
        <v>325</v>
      </c>
      <c r="G25" s="805"/>
      <c r="H25" s="805"/>
      <c r="I25" s="805"/>
      <c r="J25" s="805"/>
      <c r="K25" s="805"/>
      <c r="L25" s="805"/>
      <c r="M25" s="419"/>
      <c r="N25" s="419"/>
      <c r="O25" s="419"/>
      <c r="P25" s="419"/>
      <c r="Q25" s="788"/>
      <c r="R25" s="332"/>
      <c r="S25" s="332"/>
      <c r="T25" s="332"/>
      <c r="U25" s="332"/>
      <c r="V25" s="332"/>
      <c r="W25" s="332"/>
      <c r="X25" s="332"/>
      <c r="Y25" s="332"/>
      <c r="Z25" s="332"/>
      <c r="AA25" s="332"/>
      <c r="AB25" s="332"/>
      <c r="AC25" s="332"/>
      <c r="AD25" s="332"/>
      <c r="AE25" s="332"/>
      <c r="AF25" s="332"/>
      <c r="AG25" s="332"/>
      <c r="AH25" s="332"/>
      <c r="AI25" s="332"/>
      <c r="AJ25" s="332"/>
      <c r="AK25" s="332"/>
      <c r="AL25" s="332"/>
      <c r="AM25" s="332"/>
      <c r="AN25" s="332"/>
      <c r="AO25" s="332"/>
      <c r="AP25" s="332"/>
      <c r="AQ25" s="332"/>
      <c r="AR25" s="332"/>
      <c r="AS25" s="332"/>
      <c r="AT25" s="332"/>
      <c r="AU25" s="332"/>
    </row>
    <row r="26" ht="14.25" customHeight="1">
      <c r="A26" s="312">
        <f t="shared" si="1"/>
        <v>12</v>
      </c>
      <c r="B26" s="420"/>
      <c r="C26" s="789" t="s">
        <v>326</v>
      </c>
      <c r="F26" s="790" t="s">
        <v>327</v>
      </c>
      <c r="G26" s="790"/>
      <c r="H26" s="804"/>
      <c r="I26" s="804"/>
      <c r="J26" s="804"/>
      <c r="K26" s="804"/>
      <c r="L26" s="804"/>
      <c r="M26" s="424"/>
      <c r="N26" s="424"/>
      <c r="O26" s="424"/>
      <c r="P26" s="424"/>
      <c r="Q26" s="793"/>
      <c r="R26" s="314"/>
      <c r="S26" s="314"/>
      <c r="T26" s="314"/>
      <c r="U26" s="314"/>
      <c r="V26" s="314"/>
      <c r="W26" s="314"/>
      <c r="X26" s="314"/>
      <c r="Y26" s="314"/>
      <c r="Z26" s="314"/>
      <c r="AA26" s="314"/>
      <c r="AB26" s="314"/>
      <c r="AC26" s="314"/>
      <c r="AD26" s="314"/>
      <c r="AE26" s="314"/>
      <c r="AF26" s="314"/>
      <c r="AG26" s="314"/>
      <c r="AH26" s="314"/>
      <c r="AI26" s="314"/>
      <c r="AJ26" s="314"/>
      <c r="AK26" s="314"/>
      <c r="AL26" s="314"/>
      <c r="AM26" s="314"/>
      <c r="AN26" s="314"/>
      <c r="AO26" s="314"/>
      <c r="AP26" s="314"/>
      <c r="AQ26" s="314"/>
      <c r="AR26" s="314"/>
      <c r="AS26" s="314"/>
      <c r="AT26" s="314"/>
      <c r="AU26" s="314"/>
    </row>
    <row r="27" ht="14.25" customHeight="1">
      <c r="A27" s="342">
        <f t="shared" si="1"/>
        <v>13</v>
      </c>
      <c r="B27" s="351"/>
      <c r="C27" s="736" t="s">
        <v>57</v>
      </c>
      <c r="F27" s="417">
        <v>14.0</v>
      </c>
      <c r="G27" s="806"/>
      <c r="H27" s="452"/>
      <c r="I27" s="452"/>
      <c r="J27" s="452"/>
      <c r="K27" s="452"/>
      <c r="L27" s="452"/>
      <c r="M27" s="419"/>
      <c r="N27" s="419"/>
      <c r="O27" s="419"/>
      <c r="P27" s="419"/>
      <c r="Q27" s="788"/>
      <c r="R27" s="332"/>
      <c r="S27" s="332"/>
      <c r="T27" s="332"/>
      <c r="U27" s="332"/>
      <c r="V27" s="332"/>
      <c r="W27" s="332"/>
      <c r="X27" s="332"/>
      <c r="Y27" s="332"/>
      <c r="Z27" s="332"/>
      <c r="AA27" s="332"/>
      <c r="AB27" s="332"/>
      <c r="AC27" s="332"/>
      <c r="AD27" s="332"/>
      <c r="AE27" s="332"/>
      <c r="AF27" s="332"/>
      <c r="AG27" s="332"/>
      <c r="AH27" s="332"/>
      <c r="AI27" s="332"/>
      <c r="AJ27" s="332"/>
      <c r="AK27" s="332"/>
      <c r="AL27" s="332"/>
      <c r="AM27" s="332"/>
      <c r="AN27" s="332"/>
      <c r="AO27" s="332"/>
      <c r="AP27" s="332"/>
      <c r="AQ27" s="332"/>
      <c r="AR27" s="332"/>
      <c r="AS27" s="332"/>
      <c r="AT27" s="332"/>
      <c r="AU27" s="332"/>
    </row>
    <row r="28" ht="14.25" customHeight="1">
      <c r="A28" s="312">
        <f t="shared" si="1"/>
        <v>14</v>
      </c>
      <c r="B28" s="420"/>
      <c r="C28" s="807" t="s">
        <v>490</v>
      </c>
      <c r="D28" s="314"/>
      <c r="E28" s="808" t="s">
        <v>491</v>
      </c>
      <c r="F28" s="421" t="b">
        <v>1</v>
      </c>
      <c r="G28" s="314"/>
      <c r="H28" s="314"/>
      <c r="I28" s="314"/>
      <c r="J28" s="314"/>
      <c r="K28" s="314"/>
      <c r="L28" s="314"/>
      <c r="M28" s="424"/>
      <c r="N28" s="424"/>
      <c r="O28" s="424"/>
      <c r="P28" s="424"/>
      <c r="Q28" s="793"/>
      <c r="R28" s="314"/>
      <c r="S28" s="314"/>
      <c r="T28" s="314"/>
      <c r="U28" s="314"/>
      <c r="V28" s="314"/>
      <c r="W28" s="314"/>
      <c r="X28" s="314"/>
      <c r="Y28" s="314"/>
      <c r="Z28" s="314"/>
      <c r="AA28" s="314"/>
      <c r="AB28" s="314"/>
      <c r="AC28" s="314"/>
      <c r="AD28" s="314"/>
      <c r="AE28" s="314"/>
      <c r="AF28" s="314"/>
      <c r="AG28" s="314"/>
      <c r="AH28" s="314"/>
      <c r="AI28" s="314"/>
      <c r="AJ28" s="314"/>
      <c r="AK28" s="314"/>
      <c r="AL28" s="314"/>
      <c r="AM28" s="314"/>
      <c r="AN28" s="314"/>
      <c r="AO28" s="314"/>
      <c r="AP28" s="314"/>
      <c r="AQ28" s="314"/>
      <c r="AR28" s="314"/>
      <c r="AS28" s="314"/>
      <c r="AT28" s="314"/>
      <c r="AU28" s="314"/>
    </row>
    <row r="29" ht="14.25" customHeight="1">
      <c r="A29" s="342"/>
      <c r="B29" s="351"/>
      <c r="C29" s="69"/>
      <c r="D29" s="332"/>
      <c r="E29" s="332"/>
      <c r="F29" s="332"/>
      <c r="M29" s="419"/>
      <c r="N29" s="419"/>
      <c r="O29" s="419"/>
      <c r="P29" s="419"/>
      <c r="Q29" s="788"/>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row>
    <row r="30" ht="14.25" customHeight="1">
      <c r="A30" s="290"/>
      <c r="B30" s="291"/>
      <c r="C30" s="292" t="s">
        <v>231</v>
      </c>
      <c r="D30" s="293"/>
      <c r="E30" s="293"/>
      <c r="F30" s="293"/>
      <c r="G30" s="406"/>
      <c r="H30" s="407"/>
      <c r="I30" s="407"/>
      <c r="J30" s="407"/>
      <c r="K30" s="407"/>
      <c r="L30" s="407"/>
      <c r="M30" s="407"/>
      <c r="N30" s="407"/>
      <c r="O30" s="407"/>
      <c r="P30" s="407"/>
      <c r="Q30" s="78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row>
    <row r="31" ht="14.25" customHeight="1">
      <c r="A31" s="298"/>
      <c r="B31" s="299"/>
      <c r="C31" s="329" t="s">
        <v>335</v>
      </c>
      <c r="D31" s="328"/>
      <c r="E31" s="328"/>
      <c r="F31" s="328"/>
      <c r="G31" s="328"/>
      <c r="H31" s="328"/>
      <c r="I31" s="328"/>
      <c r="J31" s="328"/>
      <c r="K31" s="328"/>
      <c r="L31" s="328"/>
      <c r="M31" s="328"/>
      <c r="N31" s="328"/>
      <c r="O31" s="328"/>
      <c r="P31" s="328"/>
      <c r="Q31" s="50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row>
    <row r="32" ht="14.25" customHeight="1">
      <c r="A32" s="305">
        <v>1.0</v>
      </c>
      <c r="B32" s="306"/>
      <c r="C32" s="332" t="s">
        <v>234</v>
      </c>
      <c r="F32" s="417" t="b">
        <v>1</v>
      </c>
      <c r="G32" s="332"/>
      <c r="N32" s="332"/>
      <c r="O32" s="332"/>
      <c r="P32" s="332"/>
      <c r="Q32" s="502"/>
      <c r="R32" s="332"/>
      <c r="S32" s="332"/>
      <c r="T32" s="332"/>
      <c r="U32" s="419"/>
      <c r="V32" s="332"/>
      <c r="W32" s="419"/>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c r="AU32" s="332"/>
    </row>
    <row r="33" ht="14.25" customHeight="1">
      <c r="A33" s="312">
        <f t="shared" ref="A33:A34" si="3">A32+1</f>
        <v>2</v>
      </c>
      <c r="B33" s="360"/>
      <c r="C33" s="314" t="s">
        <v>236</v>
      </c>
      <c r="F33" s="421" t="b">
        <v>1</v>
      </c>
      <c r="G33" s="314"/>
      <c r="N33" s="314"/>
      <c r="O33" s="314"/>
      <c r="P33" s="314"/>
      <c r="Q33" s="313"/>
      <c r="R33" s="314"/>
      <c r="S33" s="314"/>
      <c r="T33" s="314"/>
      <c r="U33" s="424"/>
      <c r="V33" s="314"/>
      <c r="W33" s="424"/>
      <c r="X33" s="314"/>
      <c r="Y33" s="314"/>
      <c r="Z33" s="314"/>
      <c r="AA33" s="314"/>
      <c r="AB33" s="314"/>
      <c r="AC33" s="314"/>
      <c r="AD33" s="314"/>
      <c r="AE33" s="314"/>
      <c r="AF33" s="314"/>
      <c r="AG33" s="314"/>
      <c r="AH33" s="314"/>
      <c r="AI33" s="314"/>
      <c r="AJ33" s="314"/>
      <c r="AK33" s="314"/>
      <c r="AL33" s="314"/>
      <c r="AM33" s="314"/>
      <c r="AN33" s="314"/>
      <c r="AO33" s="314"/>
      <c r="AP33" s="314"/>
      <c r="AQ33" s="314"/>
      <c r="AR33" s="314"/>
      <c r="AS33" s="314"/>
      <c r="AT33" s="314"/>
      <c r="AU33" s="314"/>
    </row>
    <row r="34" ht="14.25" customHeight="1">
      <c r="A34" s="342">
        <f t="shared" si="3"/>
        <v>3</v>
      </c>
      <c r="B34" s="306"/>
      <c r="C34" s="307" t="s">
        <v>336</v>
      </c>
      <c r="F34" s="417" t="b">
        <v>1</v>
      </c>
      <c r="G34" s="463"/>
      <c r="N34" s="332"/>
      <c r="O34" s="332"/>
      <c r="P34" s="332"/>
      <c r="Q34" s="502"/>
      <c r="R34" s="332"/>
      <c r="S34" s="332"/>
      <c r="T34" s="332"/>
      <c r="U34" s="419"/>
      <c r="V34" s="332"/>
      <c r="W34" s="419"/>
      <c r="X34" s="332"/>
      <c r="Y34" s="332"/>
      <c r="Z34" s="332"/>
      <c r="AA34" s="332"/>
      <c r="AB34" s="332"/>
      <c r="AC34" s="332"/>
      <c r="AD34" s="332"/>
      <c r="AE34" s="332"/>
      <c r="AF34" s="332"/>
      <c r="AG34" s="332"/>
      <c r="AH34" s="332"/>
      <c r="AI34" s="332"/>
      <c r="AJ34" s="332"/>
      <c r="AK34" s="332"/>
      <c r="AL34" s="332"/>
      <c r="AM34" s="332"/>
      <c r="AN34" s="332"/>
      <c r="AO34" s="332"/>
      <c r="AP34" s="332"/>
      <c r="AQ34" s="332"/>
      <c r="AR34" s="332"/>
      <c r="AS34" s="332"/>
      <c r="AT34" s="332"/>
      <c r="AU34" s="332"/>
    </row>
    <row r="35" ht="14.25" customHeight="1">
      <c r="A35" s="312"/>
      <c r="B35" s="466"/>
      <c r="C35" s="466"/>
      <c r="D35" s="466"/>
      <c r="E35" s="466"/>
      <c r="F35" s="466"/>
      <c r="G35" s="466"/>
      <c r="H35" s="466"/>
      <c r="I35" s="466"/>
      <c r="J35" s="466"/>
      <c r="K35" s="466"/>
      <c r="L35" s="466"/>
      <c r="M35" s="466"/>
      <c r="N35" s="466"/>
      <c r="O35" s="466"/>
      <c r="P35" s="466"/>
      <c r="Q35" s="313"/>
      <c r="R35" s="466"/>
      <c r="S35" s="466"/>
      <c r="T35" s="466"/>
      <c r="U35" s="466"/>
      <c r="V35" s="466"/>
      <c r="W35" s="466"/>
      <c r="X35" s="314"/>
      <c r="Y35" s="314"/>
      <c r="Z35" s="466"/>
      <c r="AA35" s="466"/>
      <c r="AB35" s="466"/>
      <c r="AC35" s="466"/>
      <c r="AD35" s="466"/>
      <c r="AE35" s="466"/>
      <c r="AF35" s="466"/>
      <c r="AG35" s="466"/>
      <c r="AH35" s="466"/>
      <c r="AI35" s="466"/>
      <c r="AJ35" s="466"/>
      <c r="AK35" s="466"/>
      <c r="AL35" s="466"/>
      <c r="AM35" s="466"/>
      <c r="AN35" s="466"/>
      <c r="AO35" s="466"/>
      <c r="AP35" s="466"/>
      <c r="AQ35" s="466"/>
      <c r="AR35" s="466"/>
      <c r="AS35" s="466"/>
      <c r="AT35" s="466"/>
      <c r="AU35" s="466"/>
    </row>
    <row r="36" ht="14.25" customHeight="1">
      <c r="A36" s="290"/>
      <c r="B36" s="291"/>
      <c r="C36" s="292" t="s">
        <v>70</v>
      </c>
      <c r="D36" s="293"/>
      <c r="E36" s="293"/>
      <c r="F36" s="293"/>
      <c r="G36" s="406"/>
      <c r="H36" s="407"/>
      <c r="I36" s="407"/>
      <c r="J36" s="407"/>
      <c r="K36" s="407"/>
      <c r="L36" s="407"/>
      <c r="M36" s="407"/>
      <c r="N36" s="407"/>
      <c r="O36" s="407"/>
      <c r="P36" s="407"/>
      <c r="Q36" s="783"/>
      <c r="R36" s="293"/>
      <c r="S36" s="293"/>
      <c r="T36" s="293"/>
      <c r="U36" s="293"/>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row>
    <row r="37" ht="14.25" customHeight="1">
      <c r="A37" s="298"/>
      <c r="B37" s="299"/>
      <c r="C37" s="300" t="s">
        <v>72</v>
      </c>
      <c r="F37" s="328"/>
      <c r="G37" s="328"/>
      <c r="H37" s="328"/>
      <c r="I37" s="328"/>
      <c r="J37" s="328"/>
      <c r="K37" s="328"/>
      <c r="L37" s="328"/>
      <c r="M37" s="328"/>
      <c r="N37" s="328"/>
      <c r="O37" s="328"/>
      <c r="P37" s="328"/>
      <c r="Q37" s="299"/>
      <c r="R37" s="328"/>
      <c r="S37" s="328"/>
      <c r="T37" s="328"/>
      <c r="U37" s="328"/>
      <c r="V37" s="328"/>
      <c r="W37" s="328"/>
      <c r="X37" s="328"/>
      <c r="Y37" s="328"/>
      <c r="Z37" s="328"/>
      <c r="AA37" s="328"/>
      <c r="AB37" s="328"/>
      <c r="AC37" s="328"/>
      <c r="AD37" s="328"/>
      <c r="AE37" s="328"/>
      <c r="AF37" s="328"/>
      <c r="AG37" s="328"/>
      <c r="AH37" s="328"/>
      <c r="AI37" s="328"/>
      <c r="AJ37" s="328"/>
      <c r="AK37" s="328"/>
      <c r="AL37" s="328"/>
      <c r="AM37" s="328"/>
      <c r="AN37" s="328"/>
      <c r="AO37" s="328"/>
      <c r="AP37" s="328"/>
      <c r="AQ37" s="328"/>
      <c r="AR37" s="328"/>
      <c r="AS37" s="328"/>
      <c r="AT37" s="328"/>
      <c r="AU37" s="328"/>
    </row>
    <row r="38" ht="14.25" customHeight="1">
      <c r="A38" s="305">
        <v>1.0</v>
      </c>
      <c r="B38" s="306"/>
      <c r="C38" s="307" t="s">
        <v>492</v>
      </c>
      <c r="F38" s="417" t="b">
        <v>1</v>
      </c>
      <c r="G38" s="419"/>
      <c r="H38" s="419"/>
      <c r="I38" s="419"/>
      <c r="J38" s="419"/>
      <c r="K38" s="419"/>
      <c r="L38" s="419"/>
      <c r="M38" s="419"/>
      <c r="N38" s="419"/>
      <c r="O38" s="419"/>
      <c r="P38" s="419"/>
      <c r="Q38" s="502"/>
      <c r="R38" s="332"/>
      <c r="S38" s="332"/>
      <c r="T38" s="332"/>
      <c r="U38" s="332"/>
      <c r="V38" s="332"/>
      <c r="W38" s="332"/>
      <c r="X38" s="332"/>
      <c r="Y38" s="332"/>
      <c r="Z38" s="332"/>
      <c r="AA38" s="332"/>
      <c r="AB38" s="332"/>
      <c r="AC38" s="332"/>
      <c r="AD38" s="332"/>
      <c r="AE38" s="332"/>
      <c r="AF38" s="332"/>
      <c r="AG38" s="332"/>
      <c r="AH38" s="332"/>
      <c r="AI38" s="332"/>
      <c r="AJ38" s="332"/>
      <c r="AK38" s="332"/>
      <c r="AL38" s="332"/>
      <c r="AM38" s="332"/>
      <c r="AN38" s="332"/>
      <c r="AO38" s="332"/>
      <c r="AP38" s="332"/>
      <c r="AQ38" s="332"/>
      <c r="AR38" s="332"/>
      <c r="AS38" s="332"/>
      <c r="AT38" s="332"/>
      <c r="AU38" s="332"/>
    </row>
    <row r="39" ht="14.25" customHeight="1">
      <c r="A39" s="312"/>
      <c r="B39" s="313"/>
      <c r="C39" s="313"/>
      <c r="D39" s="314"/>
      <c r="E39" s="314"/>
      <c r="F39" s="314"/>
      <c r="G39" s="314"/>
      <c r="H39" s="314"/>
      <c r="I39" s="314"/>
      <c r="J39" s="314"/>
      <c r="K39" s="314"/>
      <c r="L39" s="314"/>
      <c r="M39" s="314"/>
      <c r="N39" s="314"/>
      <c r="O39" s="314"/>
      <c r="P39" s="314"/>
      <c r="Q39" s="313"/>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row>
    <row r="40" ht="14.25" customHeight="1">
      <c r="A40" s="290"/>
      <c r="B40" s="291"/>
      <c r="C40" s="319" t="s">
        <v>257</v>
      </c>
      <c r="D40" s="293"/>
      <c r="E40" s="293"/>
      <c r="F40" s="293"/>
      <c r="G40" s="293"/>
      <c r="H40" s="407"/>
      <c r="I40" s="407"/>
      <c r="J40" s="407"/>
      <c r="K40" s="407"/>
      <c r="L40" s="407"/>
      <c r="M40" s="407"/>
      <c r="N40" s="407"/>
      <c r="O40" s="407"/>
      <c r="P40" s="407"/>
      <c r="Q40" s="783"/>
      <c r="R40" s="293"/>
      <c r="S40" s="293"/>
      <c r="T40" s="293"/>
      <c r="U40" s="293"/>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row>
    <row r="41" ht="14.25" customHeight="1">
      <c r="A41" s="320"/>
      <c r="B41" s="321"/>
      <c r="C41" s="322"/>
      <c r="D41" s="323"/>
      <c r="E41" s="323"/>
      <c r="F41" s="323"/>
      <c r="G41" s="809"/>
      <c r="H41" s="810" t="s">
        <v>82</v>
      </c>
      <c r="I41" s="810" t="s">
        <v>493</v>
      </c>
      <c r="J41" s="810" t="s">
        <v>494</v>
      </c>
      <c r="K41" s="810" t="s">
        <v>76</v>
      </c>
      <c r="L41" s="810" t="s">
        <v>76</v>
      </c>
      <c r="M41" s="810" t="s">
        <v>76</v>
      </c>
      <c r="N41" s="810" t="s">
        <v>76</v>
      </c>
      <c r="O41" s="810" t="s">
        <v>76</v>
      </c>
      <c r="P41" s="355"/>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row>
    <row r="42" ht="14.25" customHeight="1">
      <c r="A42" s="298"/>
      <c r="B42" s="328"/>
      <c r="C42" s="329" t="s">
        <v>258</v>
      </c>
      <c r="F42" s="329"/>
      <c r="G42" s="477"/>
      <c r="H42" s="478"/>
      <c r="I42" s="478"/>
      <c r="J42" s="478"/>
      <c r="K42" s="478"/>
      <c r="L42" s="478"/>
      <c r="M42" s="478"/>
      <c r="N42" s="478"/>
      <c r="O42" s="478"/>
      <c r="P42" s="508"/>
      <c r="Q42" s="328"/>
      <c r="R42" s="328"/>
      <c r="S42" s="328"/>
      <c r="T42" s="328"/>
      <c r="U42" s="328"/>
      <c r="V42" s="328"/>
      <c r="W42" s="328"/>
      <c r="X42" s="328"/>
      <c r="Y42" s="328"/>
      <c r="Z42" s="328"/>
      <c r="AA42" s="328"/>
      <c r="AB42" s="328"/>
      <c r="AC42" s="328"/>
      <c r="AD42" s="328"/>
      <c r="AE42" s="328"/>
      <c r="AF42" s="328"/>
      <c r="AG42" s="328"/>
      <c r="AH42" s="328"/>
      <c r="AI42" s="328"/>
      <c r="AJ42" s="328"/>
      <c r="AK42" s="328"/>
      <c r="AL42" s="328"/>
      <c r="AM42" s="328"/>
      <c r="AN42" s="328"/>
      <c r="AO42" s="328"/>
      <c r="AP42" s="328"/>
      <c r="AQ42" s="328"/>
      <c r="AR42" s="328"/>
      <c r="AS42" s="328"/>
      <c r="AT42" s="328"/>
    </row>
    <row r="43" ht="14.25" customHeight="1">
      <c r="A43" s="305">
        <v>1.0</v>
      </c>
      <c r="B43" s="332"/>
      <c r="C43" s="307" t="s">
        <v>495</v>
      </c>
      <c r="F43" s="307"/>
      <c r="G43" s="479"/>
      <c r="H43" s="480" t="s">
        <v>260</v>
      </c>
      <c r="I43" s="480" t="s">
        <v>261</v>
      </c>
      <c r="J43" s="480" t="s">
        <v>261</v>
      </c>
      <c r="K43" s="480" t="s">
        <v>76</v>
      </c>
      <c r="L43" s="480" t="s">
        <v>76</v>
      </c>
      <c r="M43" s="480" t="s">
        <v>76</v>
      </c>
      <c r="N43" s="480" t="s">
        <v>76</v>
      </c>
      <c r="O43" s="480" t="s">
        <v>76</v>
      </c>
      <c r="P43" s="50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c r="AP43" s="332"/>
      <c r="AQ43" s="332"/>
      <c r="AR43" s="332"/>
      <c r="AS43" s="332"/>
      <c r="AT43" s="332"/>
    </row>
    <row r="44" ht="14.25" customHeight="1">
      <c r="A44" s="359">
        <v>2.0</v>
      </c>
      <c r="B44" s="314"/>
      <c r="C44" s="337" t="s">
        <v>496</v>
      </c>
      <c r="F44" s="337"/>
      <c r="G44" s="481"/>
      <c r="H44" s="482"/>
      <c r="I44" s="482"/>
      <c r="J44" s="482"/>
      <c r="K44" s="482" t="s">
        <v>76</v>
      </c>
      <c r="L44" s="482" t="s">
        <v>76</v>
      </c>
      <c r="M44" s="482" t="s">
        <v>76</v>
      </c>
      <c r="N44" s="482" t="s">
        <v>76</v>
      </c>
      <c r="O44" s="482" t="s">
        <v>76</v>
      </c>
      <c r="P44" s="313"/>
      <c r="Q44" s="314"/>
      <c r="R44" s="314"/>
      <c r="S44" s="314"/>
      <c r="T44" s="314"/>
      <c r="U44" s="314"/>
      <c r="V44" s="314"/>
      <c r="W44" s="314"/>
      <c r="X44" s="314"/>
      <c r="Y44" s="314"/>
      <c r="Z44" s="314"/>
      <c r="AA44" s="314"/>
      <c r="AB44" s="314"/>
      <c r="AC44" s="314"/>
      <c r="AD44" s="314"/>
      <c r="AE44" s="314"/>
      <c r="AF44" s="314"/>
      <c r="AG44" s="314"/>
      <c r="AH44" s="314"/>
      <c r="AI44" s="314"/>
      <c r="AJ44" s="314"/>
      <c r="AK44" s="314"/>
      <c r="AL44" s="314"/>
      <c r="AM44" s="314"/>
      <c r="AN44" s="314"/>
      <c r="AO44" s="314"/>
      <c r="AP44" s="314"/>
      <c r="AQ44" s="314"/>
      <c r="AR44" s="314"/>
      <c r="AS44" s="314"/>
      <c r="AT44" s="314"/>
    </row>
    <row r="45" ht="14.25" customHeight="1">
      <c r="A45" s="408"/>
      <c r="B45" s="409"/>
      <c r="C45" s="737"/>
      <c r="F45" s="737"/>
      <c r="G45" s="737"/>
      <c r="H45" s="410"/>
      <c r="I45" s="410"/>
      <c r="J45" s="410"/>
      <c r="K45" s="410"/>
      <c r="L45" s="410"/>
      <c r="M45" s="410"/>
      <c r="N45" s="410"/>
      <c r="O45" s="410"/>
      <c r="P45" s="240"/>
      <c r="Q45" s="409"/>
      <c r="R45" s="409"/>
      <c r="S45" s="409"/>
      <c r="T45" s="409"/>
      <c r="U45" s="409"/>
      <c r="V45" s="409"/>
      <c r="W45" s="409"/>
      <c r="X45" s="409"/>
      <c r="Y45" s="409"/>
      <c r="Z45" s="409"/>
      <c r="AA45" s="409"/>
      <c r="AB45" s="409"/>
      <c r="AC45" s="409"/>
      <c r="AD45" s="409"/>
      <c r="AE45" s="409"/>
      <c r="AF45" s="409"/>
      <c r="AG45" s="409"/>
      <c r="AH45" s="409"/>
      <c r="AI45" s="409"/>
      <c r="AJ45" s="409"/>
      <c r="AK45" s="409"/>
      <c r="AL45" s="409"/>
      <c r="AM45" s="409"/>
      <c r="AN45" s="409"/>
      <c r="AO45" s="409"/>
      <c r="AP45" s="409"/>
      <c r="AQ45" s="409"/>
      <c r="AR45" s="409"/>
      <c r="AS45" s="409"/>
      <c r="AT45" s="409"/>
    </row>
    <row r="46" ht="14.25" customHeight="1">
      <c r="A46" s="290"/>
      <c r="B46" s="291"/>
      <c r="C46" s="319" t="s">
        <v>269</v>
      </c>
      <c r="D46" s="293"/>
      <c r="E46" s="293"/>
      <c r="F46" s="293"/>
      <c r="G46" s="491"/>
      <c r="H46" s="407"/>
      <c r="I46" s="407"/>
      <c r="J46" s="407"/>
      <c r="K46" s="407"/>
      <c r="L46" s="407"/>
      <c r="M46" s="407"/>
      <c r="N46" s="407"/>
      <c r="O46" s="407"/>
      <c r="P46" s="78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row>
    <row r="47" ht="14.25" customHeight="1">
      <c r="A47" s="354"/>
      <c r="B47" s="321"/>
      <c r="C47" s="355"/>
      <c r="D47" s="321"/>
      <c r="E47" s="321"/>
      <c r="F47" s="321"/>
      <c r="G47" s="492"/>
      <c r="H47" s="493" t="str">
        <f>H$41</f>
        <v>Email</v>
      </c>
      <c r="I47" s="493" t="str">
        <f t="shared" ref="I47:J47" si="4">I41</f>
        <v>WOW App</v>
      </c>
      <c r="J47" s="493" t="str">
        <f t="shared" si="4"/>
        <v>CRO (for ONL)</v>
      </c>
      <c r="K47" s="493" t="str">
        <f t="shared" ref="K47:O47" si="5">K$41</f>
        <v>.</v>
      </c>
      <c r="L47" s="493" t="str">
        <f t="shared" si="5"/>
        <v>.</v>
      </c>
      <c r="M47" s="493" t="str">
        <f t="shared" si="5"/>
        <v>.</v>
      </c>
      <c r="N47" s="493" t="str">
        <f t="shared" si="5"/>
        <v>.</v>
      </c>
      <c r="O47" s="493" t="str">
        <f t="shared" si="5"/>
        <v>.</v>
      </c>
      <c r="P47" s="355"/>
      <c r="Q47" s="321"/>
      <c r="R47" s="321"/>
      <c r="S47" s="321"/>
      <c r="T47" s="321"/>
      <c r="U47" s="321"/>
      <c r="V47" s="321"/>
      <c r="W47" s="321"/>
      <c r="X47" s="321"/>
      <c r="Y47" s="321"/>
      <c r="Z47" s="321"/>
      <c r="AA47" s="321"/>
      <c r="AB47" s="321"/>
      <c r="AC47" s="321"/>
      <c r="AD47" s="321"/>
      <c r="AE47" s="321"/>
      <c r="AF47" s="321"/>
      <c r="AG47" s="321"/>
      <c r="AH47" s="321"/>
      <c r="AI47" s="321"/>
      <c r="AJ47" s="321"/>
      <c r="AK47" s="321"/>
      <c r="AL47" s="321"/>
      <c r="AM47" s="321"/>
      <c r="AN47" s="321"/>
      <c r="AO47" s="321"/>
      <c r="AP47" s="321"/>
      <c r="AQ47" s="321"/>
      <c r="AR47" s="321"/>
      <c r="AS47" s="321"/>
      <c r="AT47" s="321"/>
    </row>
    <row r="48" ht="14.25" customHeight="1">
      <c r="A48" s="298"/>
      <c r="B48" s="299"/>
      <c r="C48" s="329" t="s">
        <v>270</v>
      </c>
      <c r="D48" s="328"/>
      <c r="E48" s="328"/>
      <c r="F48" s="328"/>
      <c r="G48" s="478"/>
      <c r="H48" s="478"/>
      <c r="I48" s="478"/>
      <c r="J48" s="478"/>
      <c r="K48" s="478"/>
      <c r="L48" s="478"/>
      <c r="M48" s="478"/>
      <c r="N48" s="478"/>
      <c r="O48" s="478"/>
      <c r="P48" s="343"/>
      <c r="Q48" s="328"/>
      <c r="R48" s="328"/>
      <c r="S48" s="328"/>
      <c r="T48" s="328"/>
      <c r="U48" s="328"/>
      <c r="V48" s="328"/>
      <c r="W48" s="328"/>
      <c r="X48" s="328"/>
      <c r="Y48" s="328"/>
      <c r="Z48" s="328"/>
      <c r="AA48" s="328"/>
      <c r="AB48" s="328"/>
      <c r="AC48" s="328"/>
      <c r="AD48" s="328"/>
      <c r="AE48" s="328"/>
      <c r="AF48" s="328"/>
      <c r="AG48" s="328"/>
      <c r="AH48" s="328"/>
      <c r="AI48" s="328"/>
      <c r="AJ48" s="328"/>
      <c r="AK48" s="328"/>
      <c r="AL48" s="328"/>
      <c r="AM48" s="328"/>
      <c r="AN48" s="328"/>
      <c r="AO48" s="328"/>
      <c r="AP48" s="328"/>
      <c r="AQ48" s="328"/>
      <c r="AR48" s="328"/>
      <c r="AS48" s="328"/>
      <c r="AT48" s="328"/>
    </row>
    <row r="49" ht="14.25" customHeight="1">
      <c r="A49" s="305">
        <v>1.0</v>
      </c>
      <c r="B49" s="306"/>
      <c r="C49" s="444" t="s">
        <v>497</v>
      </c>
      <c r="H49" s="499" t="b">
        <v>0</v>
      </c>
      <c r="I49" s="499" t="b">
        <v>1</v>
      </c>
      <c r="J49" s="811" t="b">
        <v>0</v>
      </c>
      <c r="K49" s="811" t="b">
        <v>0</v>
      </c>
      <c r="L49" s="811" t="b">
        <v>0</v>
      </c>
      <c r="M49" s="811" t="b">
        <v>0</v>
      </c>
      <c r="N49" s="811" t="b">
        <v>0</v>
      </c>
      <c r="O49" s="811" t="b">
        <v>0</v>
      </c>
      <c r="P49" s="502"/>
      <c r="Q49" s="332"/>
      <c r="R49" s="332"/>
      <c r="S49" s="332"/>
      <c r="T49" s="332"/>
      <c r="U49" s="332"/>
      <c r="V49" s="332"/>
      <c r="W49" s="332"/>
      <c r="X49" s="332"/>
      <c r="Y49" s="332"/>
      <c r="Z49" s="332"/>
      <c r="AA49" s="332"/>
      <c r="AB49" s="332"/>
      <c r="AC49" s="332"/>
      <c r="AD49" s="332"/>
      <c r="AE49" s="332"/>
      <c r="AF49" s="332"/>
      <c r="AG49" s="332"/>
      <c r="AH49" s="332"/>
      <c r="AI49" s="332"/>
      <c r="AJ49" s="332"/>
      <c r="AK49" s="332"/>
      <c r="AL49" s="332"/>
      <c r="AM49" s="332"/>
      <c r="AN49" s="332"/>
      <c r="AO49" s="332"/>
      <c r="AP49" s="332"/>
      <c r="AQ49" s="332"/>
      <c r="AR49" s="332"/>
      <c r="AS49" s="332"/>
      <c r="AT49" s="332"/>
    </row>
    <row r="50" ht="14.25" customHeight="1">
      <c r="A50" s="359">
        <v>2.0</v>
      </c>
      <c r="B50" s="360"/>
      <c r="C50" s="444" t="s">
        <v>498</v>
      </c>
      <c r="H50" s="496" t="b">
        <v>1</v>
      </c>
      <c r="I50" s="496" t="b">
        <v>1</v>
      </c>
      <c r="J50" s="496" t="b">
        <v>1</v>
      </c>
      <c r="K50" s="506" t="b">
        <v>0</v>
      </c>
      <c r="L50" s="506" t="b">
        <v>0</v>
      </c>
      <c r="M50" s="506" t="b">
        <v>0</v>
      </c>
      <c r="N50" s="506" t="b">
        <v>0</v>
      </c>
      <c r="O50" s="506" t="b">
        <v>0</v>
      </c>
      <c r="P50" s="313"/>
      <c r="Q50" s="314"/>
      <c r="R50" s="314"/>
      <c r="S50" s="314"/>
      <c r="T50" s="314"/>
      <c r="U50" s="314"/>
      <c r="V50" s="314"/>
      <c r="W50" s="314"/>
      <c r="X50" s="314"/>
      <c r="Y50" s="314"/>
      <c r="Z50" s="314"/>
      <c r="AA50" s="314"/>
      <c r="AB50" s="314"/>
      <c r="AC50" s="314"/>
      <c r="AD50" s="314"/>
      <c r="AE50" s="314"/>
      <c r="AF50" s="314"/>
      <c r="AG50" s="314"/>
      <c r="AH50" s="314"/>
      <c r="AI50" s="314"/>
      <c r="AJ50" s="314"/>
      <c r="AK50" s="314"/>
      <c r="AL50" s="314"/>
      <c r="AM50" s="314"/>
      <c r="AN50" s="314"/>
      <c r="AO50" s="314"/>
      <c r="AP50" s="314"/>
      <c r="AQ50" s="314"/>
      <c r="AR50" s="314"/>
      <c r="AS50" s="314"/>
      <c r="AT50" s="314"/>
    </row>
    <row r="51" ht="14.25" customHeight="1">
      <c r="A51" s="305">
        <v>3.0</v>
      </c>
      <c r="B51" s="306"/>
      <c r="C51" s="437" t="s">
        <v>106</v>
      </c>
      <c r="H51" s="499" t="b">
        <v>1</v>
      </c>
      <c r="I51" s="499" t="b">
        <v>1</v>
      </c>
      <c r="J51" s="499" t="b">
        <v>1</v>
      </c>
      <c r="K51" s="811" t="b">
        <v>0</v>
      </c>
      <c r="L51" s="811" t="b">
        <v>0</v>
      </c>
      <c r="M51" s="811" t="b">
        <v>0</v>
      </c>
      <c r="N51" s="811" t="b">
        <v>0</v>
      </c>
      <c r="O51" s="811" t="b">
        <v>0</v>
      </c>
      <c r="P51" s="502"/>
      <c r="Q51" s="332"/>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c r="AP51" s="332"/>
      <c r="AQ51" s="332"/>
      <c r="AR51" s="332"/>
      <c r="AS51" s="332"/>
      <c r="AT51" s="332"/>
    </row>
    <row r="52" ht="14.25" customHeight="1">
      <c r="A52" s="359">
        <v>4.0</v>
      </c>
      <c r="B52" s="360"/>
      <c r="C52" s="444" t="s">
        <v>499</v>
      </c>
      <c r="H52" s="496" t="b">
        <v>1</v>
      </c>
      <c r="I52" s="496" t="b">
        <v>1</v>
      </c>
      <c r="J52" s="496" t="b">
        <v>1</v>
      </c>
      <c r="K52" s="496" t="b">
        <v>0</v>
      </c>
      <c r="L52" s="496" t="b">
        <v>0</v>
      </c>
      <c r="M52" s="496" t="b">
        <v>0</v>
      </c>
      <c r="N52" s="496" t="b">
        <v>0</v>
      </c>
      <c r="O52" s="496" t="b">
        <v>0</v>
      </c>
      <c r="P52" s="313"/>
      <c r="Q52" s="314"/>
      <c r="R52" s="314"/>
      <c r="S52" s="314"/>
      <c r="T52" s="314"/>
      <c r="U52" s="314"/>
      <c r="V52" s="314"/>
      <c r="W52" s="314"/>
      <c r="X52" s="314"/>
      <c r="Y52" s="314"/>
      <c r="Z52" s="314"/>
      <c r="AA52" s="314"/>
      <c r="AB52" s="314"/>
      <c r="AC52" s="314"/>
      <c r="AD52" s="314"/>
      <c r="AE52" s="314"/>
      <c r="AF52" s="314"/>
      <c r="AG52" s="314"/>
      <c r="AH52" s="314"/>
      <c r="AI52" s="314"/>
      <c r="AJ52" s="314"/>
      <c r="AK52" s="314"/>
      <c r="AL52" s="314"/>
      <c r="AM52" s="314"/>
      <c r="AN52" s="314"/>
      <c r="AO52" s="314"/>
      <c r="AP52" s="314"/>
      <c r="AQ52" s="314"/>
      <c r="AR52" s="314"/>
      <c r="AS52" s="314"/>
      <c r="AT52" s="314"/>
    </row>
    <row r="53" ht="14.25" customHeight="1">
      <c r="A53" s="342"/>
      <c r="B53" s="619"/>
      <c r="C53" s="517"/>
      <c r="H53" s="419"/>
      <c r="I53" s="419"/>
      <c r="J53" s="419"/>
      <c r="K53" s="419"/>
      <c r="L53" s="419"/>
      <c r="M53" s="419"/>
      <c r="N53" s="419"/>
      <c r="O53" s="419"/>
      <c r="P53" s="502"/>
      <c r="Q53" s="332"/>
      <c r="R53" s="332"/>
      <c r="S53" s="332"/>
      <c r="T53" s="332"/>
      <c r="U53" s="332"/>
      <c r="V53" s="332"/>
      <c r="W53" s="332"/>
      <c r="X53" s="332"/>
      <c r="Y53" s="332"/>
      <c r="Z53" s="332"/>
      <c r="AA53" s="332"/>
      <c r="AB53" s="332"/>
      <c r="AC53" s="332"/>
      <c r="AD53" s="332"/>
      <c r="AE53" s="332"/>
      <c r="AF53" s="332"/>
      <c r="AG53" s="332"/>
      <c r="AH53" s="332"/>
      <c r="AI53" s="332"/>
      <c r="AJ53" s="332"/>
      <c r="AK53" s="332"/>
      <c r="AL53" s="332"/>
      <c r="AM53" s="332"/>
      <c r="AN53" s="332"/>
      <c r="AO53" s="332"/>
      <c r="AP53" s="332"/>
      <c r="AQ53" s="332"/>
      <c r="AR53" s="332"/>
      <c r="AS53" s="332"/>
      <c r="AT53" s="332"/>
    </row>
    <row r="54" ht="14.25" customHeight="1">
      <c r="A54" s="298"/>
      <c r="B54" s="343"/>
      <c r="C54" s="329" t="s">
        <v>274</v>
      </c>
      <c r="H54" s="484"/>
      <c r="I54" s="484"/>
      <c r="J54" s="484"/>
      <c r="K54" s="484"/>
      <c r="L54" s="484"/>
      <c r="M54" s="484"/>
      <c r="N54" s="484"/>
      <c r="O54" s="484"/>
      <c r="P54" s="343"/>
      <c r="Q54" s="328"/>
      <c r="R54" s="328"/>
      <c r="S54" s="328"/>
      <c r="T54" s="328"/>
      <c r="U54" s="328"/>
      <c r="V54" s="328"/>
      <c r="W54" s="328"/>
      <c r="X54" s="328"/>
      <c r="Y54" s="328"/>
      <c r="Z54" s="328"/>
      <c r="AA54" s="328"/>
      <c r="AB54" s="328"/>
      <c r="AC54" s="328"/>
      <c r="AD54" s="328"/>
      <c r="AE54" s="328"/>
      <c r="AF54" s="328"/>
      <c r="AG54" s="328"/>
      <c r="AH54" s="328"/>
      <c r="AI54" s="328"/>
      <c r="AJ54" s="328"/>
      <c r="AK54" s="328"/>
      <c r="AL54" s="328"/>
      <c r="AM54" s="328"/>
      <c r="AN54" s="328"/>
      <c r="AO54" s="328"/>
      <c r="AP54" s="328"/>
      <c r="AQ54" s="328"/>
      <c r="AR54" s="328"/>
      <c r="AS54" s="328"/>
      <c r="AT54" s="328"/>
    </row>
    <row r="55" ht="14.25" customHeight="1">
      <c r="A55" s="369"/>
      <c r="B55" s="370"/>
      <c r="C55" s="371"/>
      <c r="D55" s="370"/>
      <c r="E55" s="370"/>
      <c r="F55" s="370"/>
      <c r="G55" s="494"/>
      <c r="H55" s="495" t="str">
        <f>H$41</f>
        <v>Email</v>
      </c>
      <c r="I55" s="495" t="str">
        <f t="shared" ref="I55:J55" si="6">I47</f>
        <v>WOW App</v>
      </c>
      <c r="J55" s="495" t="str">
        <f t="shared" si="6"/>
        <v>CRO (for ONL)</v>
      </c>
      <c r="K55" s="495" t="str">
        <f t="shared" ref="K55:O55" si="7">K$41</f>
        <v>.</v>
      </c>
      <c r="L55" s="495" t="str">
        <f t="shared" si="7"/>
        <v>.</v>
      </c>
      <c r="M55" s="495" t="str">
        <f t="shared" si="7"/>
        <v>.</v>
      </c>
      <c r="N55" s="495" t="str">
        <f t="shared" si="7"/>
        <v>.</v>
      </c>
      <c r="O55" s="495" t="str">
        <f t="shared" si="7"/>
        <v>.</v>
      </c>
      <c r="P55" s="371"/>
      <c r="Q55" s="370"/>
      <c r="R55" s="370"/>
      <c r="S55" s="370"/>
      <c r="T55" s="370"/>
      <c r="U55" s="370"/>
      <c r="V55" s="370"/>
      <c r="W55" s="370"/>
      <c r="X55" s="370"/>
      <c r="Y55" s="370"/>
      <c r="Z55" s="370"/>
      <c r="AA55" s="370"/>
      <c r="AB55" s="370"/>
      <c r="AC55" s="370"/>
      <c r="AD55" s="370"/>
      <c r="AE55" s="370"/>
      <c r="AF55" s="370"/>
      <c r="AG55" s="370"/>
      <c r="AH55" s="370"/>
      <c r="AI55" s="370"/>
      <c r="AJ55" s="370"/>
      <c r="AK55" s="370"/>
      <c r="AL55" s="370"/>
      <c r="AM55" s="370"/>
      <c r="AN55" s="370"/>
      <c r="AO55" s="370"/>
      <c r="AP55" s="370"/>
      <c r="AQ55" s="370"/>
      <c r="AR55" s="370"/>
      <c r="AS55" s="370"/>
      <c r="AT55" s="370"/>
    </row>
    <row r="56" ht="14.25" customHeight="1">
      <c r="A56" s="359">
        <v>1.0</v>
      </c>
      <c r="B56" s="360"/>
      <c r="C56" s="337" t="s">
        <v>107</v>
      </c>
      <c r="H56" s="496" t="b">
        <v>1</v>
      </c>
      <c r="I56" s="496" t="b">
        <v>1</v>
      </c>
      <c r="J56" s="496" t="b">
        <v>1</v>
      </c>
      <c r="K56" s="506" t="b">
        <v>0</v>
      </c>
      <c r="L56" s="506" t="b">
        <v>0</v>
      </c>
      <c r="M56" s="506" t="b">
        <v>0</v>
      </c>
      <c r="N56" s="506" t="b">
        <v>0</v>
      </c>
      <c r="O56" s="506" t="b">
        <v>0</v>
      </c>
      <c r="P56" s="313"/>
      <c r="Q56" s="314"/>
      <c r="R56" s="314"/>
      <c r="S56" s="314"/>
      <c r="T56" s="314"/>
      <c r="U56" s="314"/>
      <c r="V56" s="314"/>
      <c r="W56" s="314"/>
      <c r="X56" s="314"/>
      <c r="Y56" s="314"/>
      <c r="Z56" s="314"/>
      <c r="AA56" s="314"/>
      <c r="AB56" s="314"/>
      <c r="AC56" s="314"/>
      <c r="AD56" s="314"/>
      <c r="AE56" s="314"/>
      <c r="AF56" s="314"/>
      <c r="AG56" s="314"/>
      <c r="AH56" s="314"/>
      <c r="AI56" s="314"/>
      <c r="AJ56" s="314"/>
      <c r="AK56" s="314"/>
      <c r="AL56" s="314"/>
      <c r="AM56" s="314"/>
      <c r="AN56" s="314"/>
      <c r="AO56" s="314"/>
      <c r="AP56" s="314"/>
      <c r="AQ56" s="314"/>
      <c r="AR56" s="314"/>
      <c r="AS56" s="314"/>
      <c r="AT56" s="314"/>
    </row>
    <row r="57" ht="14.25" customHeight="1">
      <c r="A57" s="342">
        <f t="shared" ref="A57:A58" si="8">A56+1</f>
        <v>2</v>
      </c>
      <c r="B57" s="306"/>
      <c r="C57" s="307" t="s">
        <v>275</v>
      </c>
      <c r="H57" s="499" t="b">
        <v>1</v>
      </c>
      <c r="I57" s="499" t="b">
        <v>1</v>
      </c>
      <c r="J57" s="499" t="b">
        <v>1</v>
      </c>
      <c r="K57" s="811" t="b">
        <v>0</v>
      </c>
      <c r="L57" s="811" t="b">
        <v>0</v>
      </c>
      <c r="M57" s="811" t="b">
        <v>0</v>
      </c>
      <c r="N57" s="811" t="b">
        <v>0</v>
      </c>
      <c r="O57" s="811" t="b">
        <v>0</v>
      </c>
      <c r="P57" s="502"/>
      <c r="Q57" s="332"/>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row>
    <row r="58" ht="14.25" customHeight="1">
      <c r="A58" s="312">
        <f t="shared" si="8"/>
        <v>3</v>
      </c>
      <c r="B58" s="360"/>
      <c r="C58" s="430" t="str">
        <f>HYPERLINK("https://www.health.gov.au/health-topics/alcohol/about-alcohol/alcohol-laws-in-australia","Dry Postcodes (for Liquor Campaigns)")</f>
        <v>Dry Postcodes (for Liquor Campaigns)</v>
      </c>
      <c r="H58" s="496" t="b">
        <v>1</v>
      </c>
      <c r="I58" s="496" t="b">
        <v>1</v>
      </c>
      <c r="J58" s="496" t="b">
        <v>1</v>
      </c>
      <c r="K58" s="506" t="b">
        <v>0</v>
      </c>
      <c r="L58" s="506" t="b">
        <v>0</v>
      </c>
      <c r="M58" s="506" t="b">
        <v>0</v>
      </c>
      <c r="N58" s="506" t="b">
        <v>0</v>
      </c>
      <c r="O58" s="506" t="b">
        <v>0</v>
      </c>
      <c r="P58" s="313"/>
      <c r="Q58" s="314"/>
      <c r="R58" s="314"/>
      <c r="S58" s="314"/>
      <c r="T58" s="314"/>
      <c r="U58" s="314"/>
      <c r="V58" s="314"/>
      <c r="W58" s="314"/>
      <c r="X58" s="314"/>
      <c r="Y58" s="314"/>
      <c r="Z58" s="314"/>
      <c r="AA58" s="314"/>
      <c r="AB58" s="314"/>
      <c r="AC58" s="314"/>
      <c r="AD58" s="314"/>
      <c r="AE58" s="314"/>
      <c r="AF58" s="314"/>
      <c r="AG58" s="314"/>
      <c r="AH58" s="314"/>
      <c r="AI58" s="314"/>
      <c r="AJ58" s="314"/>
      <c r="AK58" s="314"/>
      <c r="AL58" s="314"/>
      <c r="AM58" s="314"/>
      <c r="AN58" s="314"/>
      <c r="AO58" s="314"/>
      <c r="AP58" s="314"/>
      <c r="AQ58" s="314"/>
      <c r="AR58" s="314"/>
      <c r="AS58" s="314"/>
      <c r="AT58" s="314"/>
    </row>
    <row r="59" ht="14.25" customHeight="1">
      <c r="A59" s="305">
        <v>2.0</v>
      </c>
      <c r="B59" s="306"/>
      <c r="C59" s="376" t="s">
        <v>500</v>
      </c>
      <c r="D59" s="376"/>
      <c r="E59" s="376"/>
      <c r="F59" s="376"/>
      <c r="G59" s="376"/>
      <c r="H59" s="499" t="b">
        <v>1</v>
      </c>
      <c r="I59" s="811" t="b">
        <v>0</v>
      </c>
      <c r="J59" s="811" t="b">
        <v>0</v>
      </c>
      <c r="K59" s="811" t="b">
        <v>0</v>
      </c>
      <c r="L59" s="811" t="b">
        <v>0</v>
      </c>
      <c r="M59" s="811" t="b">
        <v>0</v>
      </c>
      <c r="N59" s="811" t="b">
        <v>0</v>
      </c>
      <c r="O59" s="811" t="b">
        <v>0</v>
      </c>
      <c r="P59" s="502"/>
      <c r="Q59" s="332"/>
      <c r="R59" s="332"/>
      <c r="S59" s="332"/>
      <c r="T59" s="332"/>
      <c r="U59" s="332"/>
      <c r="V59" s="332"/>
      <c r="W59" s="332"/>
      <c r="X59" s="332"/>
      <c r="Y59" s="332"/>
      <c r="Z59" s="332"/>
      <c r="AA59" s="332"/>
      <c r="AB59" s="332"/>
      <c r="AC59" s="332"/>
      <c r="AD59" s="332"/>
      <c r="AE59" s="332"/>
      <c r="AF59" s="332"/>
      <c r="AG59" s="332"/>
      <c r="AH59" s="332"/>
      <c r="AI59" s="332"/>
      <c r="AJ59" s="332"/>
      <c r="AK59" s="332"/>
      <c r="AL59" s="332"/>
      <c r="AM59" s="332"/>
      <c r="AN59" s="332"/>
      <c r="AO59" s="332"/>
      <c r="AP59" s="332"/>
      <c r="AQ59" s="332"/>
      <c r="AR59" s="332"/>
      <c r="AS59" s="332"/>
      <c r="AT59" s="332"/>
    </row>
    <row r="60" ht="14.25" customHeight="1">
      <c r="A60" s="312">
        <f>A59+1</f>
        <v>3</v>
      </c>
      <c r="B60" s="360"/>
      <c r="C60" s="375"/>
      <c r="H60" s="496" t="b">
        <v>0</v>
      </c>
      <c r="I60" s="506" t="b">
        <v>0</v>
      </c>
      <c r="J60" s="506" t="b">
        <v>0</v>
      </c>
      <c r="K60" s="506" t="b">
        <v>0</v>
      </c>
      <c r="L60" s="506" t="b">
        <v>0</v>
      </c>
      <c r="M60" s="506" t="b">
        <v>0</v>
      </c>
      <c r="N60" s="506" t="b">
        <v>0</v>
      </c>
      <c r="O60" s="506" t="b">
        <v>0</v>
      </c>
      <c r="P60" s="313"/>
      <c r="Q60" s="314"/>
      <c r="R60" s="314"/>
      <c r="S60" s="314"/>
      <c r="T60" s="314"/>
      <c r="U60" s="314"/>
      <c r="V60" s="314"/>
      <c r="W60" s="314"/>
      <c r="X60" s="314"/>
      <c r="Y60" s="314"/>
      <c r="Z60" s="314"/>
      <c r="AA60" s="314"/>
      <c r="AB60" s="314"/>
      <c r="AC60" s="314"/>
      <c r="AD60" s="314"/>
      <c r="AE60" s="314"/>
      <c r="AF60" s="314"/>
      <c r="AG60" s="314"/>
      <c r="AH60" s="314"/>
      <c r="AI60" s="314"/>
      <c r="AJ60" s="314"/>
      <c r="AK60" s="314"/>
      <c r="AL60" s="314"/>
      <c r="AM60" s="314"/>
      <c r="AN60" s="314"/>
      <c r="AO60" s="314"/>
      <c r="AP60" s="314"/>
      <c r="AQ60" s="314"/>
      <c r="AR60" s="314"/>
      <c r="AS60" s="314"/>
      <c r="AT60" s="314"/>
    </row>
    <row r="61" ht="14.25" customHeight="1">
      <c r="A61" s="379"/>
      <c r="B61" s="380"/>
      <c r="C61" s="329" t="s">
        <v>280</v>
      </c>
      <c r="H61" s="484"/>
      <c r="I61" s="484"/>
      <c r="J61" s="484"/>
      <c r="K61" s="484"/>
      <c r="L61" s="484"/>
      <c r="M61" s="484"/>
      <c r="N61" s="484"/>
      <c r="O61" s="484"/>
      <c r="P61" s="343"/>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328"/>
      <c r="AN61" s="328"/>
      <c r="AO61" s="328"/>
      <c r="AP61" s="328"/>
      <c r="AQ61" s="328"/>
      <c r="AR61" s="328"/>
      <c r="AS61" s="328"/>
      <c r="AT61" s="328"/>
    </row>
    <row r="62" ht="14.25" customHeight="1">
      <c r="A62" s="369"/>
      <c r="B62" s="370"/>
      <c r="C62" s="371"/>
      <c r="D62" s="370"/>
      <c r="E62" s="370"/>
      <c r="F62" s="370"/>
      <c r="G62" s="494"/>
      <c r="H62" s="495" t="str">
        <f t="shared" ref="H62:O62" si="9">H$41</f>
        <v>Email</v>
      </c>
      <c r="I62" s="495" t="str">
        <f t="shared" si="9"/>
        <v>WOW App</v>
      </c>
      <c r="J62" s="495" t="str">
        <f t="shared" si="9"/>
        <v>CRO (for ONL)</v>
      </c>
      <c r="K62" s="495" t="str">
        <f t="shared" si="9"/>
        <v>.</v>
      </c>
      <c r="L62" s="495" t="str">
        <f t="shared" si="9"/>
        <v>.</v>
      </c>
      <c r="M62" s="495" t="str">
        <f t="shared" si="9"/>
        <v>.</v>
      </c>
      <c r="N62" s="495" t="str">
        <f t="shared" si="9"/>
        <v>.</v>
      </c>
      <c r="O62" s="495" t="str">
        <f t="shared" si="9"/>
        <v>.</v>
      </c>
      <c r="P62" s="371"/>
      <c r="Q62" s="370"/>
      <c r="R62" s="370"/>
      <c r="S62" s="370"/>
      <c r="T62" s="370"/>
      <c r="U62" s="370"/>
      <c r="V62" s="370"/>
      <c r="W62" s="370"/>
      <c r="X62" s="370"/>
      <c r="Y62" s="370"/>
      <c r="Z62" s="370"/>
      <c r="AA62" s="370"/>
      <c r="AB62" s="370"/>
      <c r="AC62" s="370"/>
      <c r="AD62" s="370"/>
      <c r="AE62" s="370"/>
      <c r="AF62" s="370"/>
      <c r="AG62" s="370"/>
      <c r="AH62" s="370"/>
      <c r="AI62" s="370"/>
      <c r="AJ62" s="370"/>
      <c r="AK62" s="370"/>
      <c r="AL62" s="370"/>
      <c r="AM62" s="370"/>
      <c r="AN62" s="370"/>
      <c r="AO62" s="370"/>
      <c r="AP62" s="370"/>
      <c r="AQ62" s="370"/>
      <c r="AR62" s="370"/>
      <c r="AS62" s="370"/>
      <c r="AT62" s="370"/>
    </row>
    <row r="63" ht="14.25" customHeight="1">
      <c r="A63" s="359">
        <v>1.0</v>
      </c>
      <c r="B63" s="360"/>
      <c r="C63" s="437" t="s">
        <v>501</v>
      </c>
      <c r="H63" s="496" t="b">
        <v>1</v>
      </c>
      <c r="I63" s="506" t="b">
        <v>0</v>
      </c>
      <c r="J63" s="506" t="b">
        <v>0</v>
      </c>
      <c r="K63" s="506" t="b">
        <v>0</v>
      </c>
      <c r="L63" s="506" t="b">
        <v>0</v>
      </c>
      <c r="M63" s="506" t="b">
        <v>0</v>
      </c>
      <c r="N63" s="506" t="b">
        <v>0</v>
      </c>
      <c r="O63" s="506" t="b">
        <v>0</v>
      </c>
      <c r="P63" s="313"/>
      <c r="Q63" s="314"/>
      <c r="R63" s="314"/>
      <c r="S63" s="314"/>
      <c r="T63" s="314"/>
      <c r="U63" s="314"/>
      <c r="V63" s="314"/>
      <c r="W63" s="314"/>
      <c r="X63" s="314"/>
      <c r="Y63" s="314"/>
      <c r="Z63" s="314"/>
      <c r="AA63" s="314"/>
      <c r="AB63" s="314"/>
      <c r="AC63" s="314"/>
      <c r="AD63" s="314"/>
      <c r="AE63" s="314"/>
      <c r="AF63" s="314"/>
      <c r="AG63" s="314"/>
      <c r="AH63" s="314"/>
      <c r="AI63" s="314"/>
      <c r="AJ63" s="314"/>
      <c r="AK63" s="314"/>
      <c r="AL63" s="314"/>
      <c r="AM63" s="314"/>
      <c r="AN63" s="314"/>
      <c r="AO63" s="314"/>
      <c r="AP63" s="314"/>
      <c r="AQ63" s="314"/>
      <c r="AR63" s="314"/>
      <c r="AS63" s="314"/>
      <c r="AT63" s="314"/>
    </row>
    <row r="64" ht="14.25" customHeight="1">
      <c r="A64" s="305">
        <v>3.0</v>
      </c>
      <c r="B64" s="306"/>
      <c r="C64" s="437" t="s">
        <v>502</v>
      </c>
      <c r="H64" s="499" t="b">
        <v>1</v>
      </c>
      <c r="I64" s="811" t="b">
        <v>0</v>
      </c>
      <c r="J64" s="811" t="b">
        <v>0</v>
      </c>
      <c r="K64" s="811" t="b">
        <v>0</v>
      </c>
      <c r="L64" s="811" t="b">
        <v>0</v>
      </c>
      <c r="M64" s="811" t="b">
        <v>0</v>
      </c>
      <c r="N64" s="811" t="b">
        <v>0</v>
      </c>
      <c r="O64" s="811" t="b">
        <v>0</v>
      </c>
      <c r="P64" s="502"/>
      <c r="Q64" s="332"/>
      <c r="R64" s="332"/>
      <c r="S64" s="332"/>
      <c r="T64" s="332"/>
      <c r="U64" s="332"/>
      <c r="V64" s="332"/>
      <c r="W64" s="332"/>
      <c r="X64" s="332"/>
      <c r="Y64" s="332"/>
      <c r="Z64" s="332"/>
      <c r="AA64" s="332"/>
      <c r="AB64" s="332"/>
      <c r="AC64" s="332"/>
      <c r="AD64" s="332"/>
      <c r="AE64" s="332"/>
      <c r="AF64" s="332"/>
      <c r="AG64" s="332"/>
      <c r="AH64" s="332"/>
      <c r="AI64" s="332"/>
      <c r="AJ64" s="332"/>
      <c r="AK64" s="332"/>
      <c r="AL64" s="332"/>
      <c r="AM64" s="332"/>
      <c r="AN64" s="332"/>
      <c r="AO64" s="332"/>
      <c r="AP64" s="332"/>
      <c r="AQ64" s="332"/>
      <c r="AR64" s="332"/>
      <c r="AS64" s="332"/>
      <c r="AT64" s="332"/>
    </row>
    <row r="65" ht="14.25" customHeight="1">
      <c r="A65" s="359">
        <v>4.0</v>
      </c>
      <c r="B65" s="360"/>
      <c r="C65" s="444" t="s">
        <v>503</v>
      </c>
      <c r="H65" s="496" t="b">
        <v>1</v>
      </c>
      <c r="I65" s="506" t="b">
        <v>0</v>
      </c>
      <c r="J65" s="506" t="b">
        <v>0</v>
      </c>
      <c r="K65" s="506" t="b">
        <v>0</v>
      </c>
      <c r="L65" s="506" t="b">
        <v>0</v>
      </c>
      <c r="M65" s="506" t="b">
        <v>0</v>
      </c>
      <c r="N65" s="506" t="b">
        <v>0</v>
      </c>
      <c r="O65" s="506" t="b">
        <v>0</v>
      </c>
      <c r="P65" s="313"/>
      <c r="Q65" s="314"/>
      <c r="R65" s="314"/>
      <c r="S65" s="314"/>
      <c r="T65" s="314"/>
      <c r="U65" s="314"/>
      <c r="V65" s="314"/>
      <c r="W65" s="314"/>
      <c r="X65" s="314"/>
      <c r="Y65" s="314"/>
      <c r="Z65" s="314"/>
      <c r="AA65" s="314"/>
      <c r="AB65" s="314"/>
      <c r="AC65" s="314"/>
      <c r="AD65" s="314"/>
      <c r="AE65" s="314"/>
      <c r="AF65" s="314"/>
      <c r="AG65" s="314"/>
      <c r="AH65" s="314"/>
      <c r="AI65" s="314"/>
      <c r="AJ65" s="314"/>
      <c r="AK65" s="314"/>
      <c r="AL65" s="314"/>
      <c r="AM65" s="314"/>
      <c r="AN65" s="314"/>
      <c r="AO65" s="314"/>
      <c r="AP65" s="314"/>
      <c r="AQ65" s="314"/>
      <c r="AR65" s="314"/>
      <c r="AS65" s="314"/>
      <c r="AT65" s="314"/>
    </row>
    <row r="66" ht="14.25" customHeight="1">
      <c r="A66" s="305">
        <v>5.0</v>
      </c>
      <c r="B66" s="306"/>
      <c r="C66" s="437" t="s">
        <v>504</v>
      </c>
      <c r="H66" s="499" t="b">
        <v>1</v>
      </c>
      <c r="I66" s="811" t="b">
        <v>0</v>
      </c>
      <c r="J66" s="811" t="b">
        <v>0</v>
      </c>
      <c r="K66" s="811" t="b">
        <v>0</v>
      </c>
      <c r="L66" s="811" t="b">
        <v>0</v>
      </c>
      <c r="M66" s="811" t="b">
        <v>0</v>
      </c>
      <c r="N66" s="811" t="b">
        <v>0</v>
      </c>
      <c r="O66" s="811" t="b">
        <v>0</v>
      </c>
      <c r="P66" s="502"/>
      <c r="Q66" s="332"/>
      <c r="R66" s="332"/>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c r="AQ66" s="332"/>
      <c r="AR66" s="332"/>
      <c r="AS66" s="332"/>
      <c r="AT66" s="332"/>
    </row>
    <row r="67" ht="14.25" customHeight="1">
      <c r="A67" s="377"/>
      <c r="B67" s="349"/>
      <c r="C67" s="337"/>
      <c r="H67" s="496"/>
      <c r="I67" s="496"/>
      <c r="J67" s="496"/>
      <c r="K67" s="496"/>
      <c r="L67" s="496"/>
      <c r="M67" s="496"/>
      <c r="N67" s="496"/>
      <c r="O67" s="496"/>
      <c r="P67" s="313"/>
      <c r="Q67" s="314"/>
      <c r="R67" s="314"/>
      <c r="S67" s="314"/>
      <c r="T67" s="314"/>
      <c r="U67" s="314"/>
      <c r="V67" s="314"/>
      <c r="W67" s="314"/>
      <c r="X67" s="314"/>
      <c r="Y67" s="314"/>
      <c r="Z67" s="314"/>
      <c r="AA67" s="314"/>
      <c r="AB67" s="314"/>
      <c r="AC67" s="314"/>
      <c r="AD67" s="314"/>
      <c r="AE67" s="314"/>
      <c r="AF67" s="314"/>
      <c r="AG67" s="314"/>
      <c r="AH67" s="314"/>
      <c r="AI67" s="314"/>
      <c r="AJ67" s="314"/>
      <c r="AK67" s="314"/>
      <c r="AL67" s="314"/>
      <c r="AM67" s="314"/>
      <c r="AN67" s="314"/>
      <c r="AO67" s="314"/>
      <c r="AP67" s="314"/>
      <c r="AQ67" s="314"/>
      <c r="AR67" s="314"/>
      <c r="AS67" s="314"/>
      <c r="AT67" s="314"/>
    </row>
    <row r="68" ht="14.25" customHeight="1">
      <c r="A68" s="379"/>
      <c r="B68" s="380"/>
      <c r="C68" s="329" t="s">
        <v>349</v>
      </c>
      <c r="H68" s="484"/>
      <c r="I68" s="484"/>
      <c r="J68" s="484"/>
      <c r="K68" s="484"/>
      <c r="L68" s="484"/>
      <c r="M68" s="484"/>
      <c r="N68" s="484"/>
      <c r="O68" s="484"/>
      <c r="P68" s="343"/>
      <c r="Q68" s="328"/>
      <c r="R68" s="328"/>
      <c r="S68" s="328"/>
      <c r="T68" s="328"/>
      <c r="U68" s="328"/>
      <c r="V68" s="328"/>
      <c r="W68" s="328"/>
      <c r="X68" s="328"/>
      <c r="Y68" s="328"/>
      <c r="Z68" s="328"/>
      <c r="AA68" s="328"/>
      <c r="AB68" s="328"/>
      <c r="AC68" s="328"/>
      <c r="AD68" s="328"/>
      <c r="AE68" s="328"/>
      <c r="AF68" s="328"/>
      <c r="AG68" s="328"/>
      <c r="AH68" s="328"/>
      <c r="AI68" s="328"/>
      <c r="AJ68" s="328"/>
      <c r="AK68" s="328"/>
      <c r="AL68" s="328"/>
      <c r="AM68" s="328"/>
      <c r="AN68" s="328"/>
      <c r="AO68" s="328"/>
      <c r="AP68" s="328"/>
      <c r="AQ68" s="328"/>
      <c r="AR68" s="328"/>
      <c r="AS68" s="328"/>
      <c r="AT68" s="328"/>
    </row>
    <row r="69" ht="14.25" customHeight="1">
      <c r="A69" s="369"/>
      <c r="B69" s="370"/>
      <c r="C69" s="371"/>
      <c r="D69" s="370"/>
      <c r="E69" s="370"/>
      <c r="F69" s="370"/>
      <c r="G69" s="494"/>
      <c r="H69" s="495" t="str">
        <f t="shared" ref="H69:O69" si="10">H$41</f>
        <v>Email</v>
      </c>
      <c r="I69" s="495" t="str">
        <f t="shared" si="10"/>
        <v>WOW App</v>
      </c>
      <c r="J69" s="495" t="str">
        <f t="shared" si="10"/>
        <v>CRO (for ONL)</v>
      </c>
      <c r="K69" s="495" t="str">
        <f t="shared" si="10"/>
        <v>.</v>
      </c>
      <c r="L69" s="495" t="str">
        <f t="shared" si="10"/>
        <v>.</v>
      </c>
      <c r="M69" s="495" t="str">
        <f t="shared" si="10"/>
        <v>.</v>
      </c>
      <c r="N69" s="495" t="str">
        <f t="shared" si="10"/>
        <v>.</v>
      </c>
      <c r="O69" s="495" t="str">
        <f t="shared" si="10"/>
        <v>.</v>
      </c>
      <c r="P69" s="371"/>
      <c r="Q69" s="370"/>
      <c r="R69" s="370"/>
      <c r="S69" s="370"/>
      <c r="T69" s="370"/>
      <c r="U69" s="370"/>
      <c r="V69" s="370"/>
      <c r="W69" s="370"/>
      <c r="X69" s="370"/>
      <c r="Y69" s="370"/>
      <c r="Z69" s="370"/>
      <c r="AA69" s="370"/>
      <c r="AB69" s="370"/>
      <c r="AC69" s="370"/>
      <c r="AD69" s="370"/>
      <c r="AE69" s="370"/>
      <c r="AF69" s="370"/>
      <c r="AG69" s="370"/>
      <c r="AH69" s="370"/>
      <c r="AI69" s="370"/>
      <c r="AJ69" s="370"/>
      <c r="AK69" s="370"/>
      <c r="AL69" s="370"/>
      <c r="AM69" s="370"/>
      <c r="AN69" s="370"/>
      <c r="AO69" s="370"/>
      <c r="AP69" s="370"/>
      <c r="AQ69" s="370"/>
      <c r="AR69" s="370"/>
      <c r="AS69" s="370"/>
      <c r="AT69" s="370"/>
    </row>
    <row r="70" ht="14.25" customHeight="1">
      <c r="A70" s="359">
        <v>1.0</v>
      </c>
      <c r="B70" s="360"/>
      <c r="C70" s="337" t="s">
        <v>350</v>
      </c>
      <c r="H70" s="506" t="b">
        <v>0</v>
      </c>
      <c r="I70" s="506" t="b">
        <v>0</v>
      </c>
      <c r="J70" s="506" t="b">
        <v>0</v>
      </c>
      <c r="K70" s="506" t="b">
        <v>0</v>
      </c>
      <c r="L70" s="506" t="b">
        <v>0</v>
      </c>
      <c r="M70" s="506" t="b">
        <v>0</v>
      </c>
      <c r="N70" s="506" t="b">
        <v>0</v>
      </c>
      <c r="O70" s="506" t="b">
        <v>0</v>
      </c>
      <c r="P70" s="313"/>
      <c r="Q70" s="314"/>
      <c r="R70" s="314"/>
      <c r="S70" s="314"/>
      <c r="T70" s="314"/>
      <c r="U70" s="314"/>
      <c r="V70" s="314"/>
      <c r="W70" s="314"/>
      <c r="X70" s="314"/>
      <c r="Y70" s="314"/>
      <c r="Z70" s="314"/>
      <c r="AA70" s="314"/>
      <c r="AB70" s="314"/>
      <c r="AC70" s="314"/>
      <c r="AD70" s="314"/>
      <c r="AE70" s="314"/>
      <c r="AF70" s="314"/>
      <c r="AG70" s="314"/>
      <c r="AH70" s="314"/>
      <c r="AI70" s="314"/>
      <c r="AJ70" s="314"/>
      <c r="AK70" s="314"/>
      <c r="AL70" s="314"/>
      <c r="AM70" s="314"/>
      <c r="AN70" s="314"/>
      <c r="AO70" s="314"/>
      <c r="AP70" s="314"/>
      <c r="AQ70" s="314"/>
      <c r="AR70" s="314"/>
      <c r="AS70" s="314"/>
      <c r="AT70" s="314"/>
    </row>
    <row r="71" ht="14.25" customHeight="1">
      <c r="A71" s="342">
        <f t="shared" ref="A71:A72" si="11">A70+1</f>
        <v>2</v>
      </c>
      <c r="B71" s="306"/>
      <c r="C71" s="307" t="s">
        <v>351</v>
      </c>
      <c r="H71" s="811" t="b">
        <v>0</v>
      </c>
      <c r="I71" s="811" t="b">
        <v>0</v>
      </c>
      <c r="J71" s="811" t="b">
        <v>0</v>
      </c>
      <c r="K71" s="811" t="b">
        <v>0</v>
      </c>
      <c r="L71" s="811" t="b">
        <v>0</v>
      </c>
      <c r="M71" s="811" t="b">
        <v>0</v>
      </c>
      <c r="N71" s="811" t="b">
        <v>0</v>
      </c>
      <c r="O71" s="811" t="b">
        <v>0</v>
      </c>
      <c r="P71" s="502"/>
      <c r="Q71" s="332"/>
      <c r="R71" s="332"/>
      <c r="S71" s="332"/>
      <c r="T71" s="332"/>
      <c r="U71" s="332"/>
      <c r="V71" s="332"/>
      <c r="W71" s="332"/>
      <c r="X71" s="332"/>
      <c r="Y71" s="332"/>
      <c r="Z71" s="332"/>
      <c r="AA71" s="332"/>
      <c r="AB71" s="332"/>
      <c r="AC71" s="332"/>
      <c r="AD71" s="332"/>
      <c r="AE71" s="332"/>
      <c r="AF71" s="332"/>
      <c r="AG71" s="332"/>
      <c r="AH71" s="332"/>
      <c r="AI71" s="332"/>
      <c r="AJ71" s="332"/>
      <c r="AK71" s="332"/>
      <c r="AL71" s="332"/>
      <c r="AM71" s="332"/>
      <c r="AN71" s="332"/>
      <c r="AO71" s="332"/>
      <c r="AP71" s="332"/>
      <c r="AQ71" s="332"/>
      <c r="AR71" s="332"/>
      <c r="AS71" s="332"/>
      <c r="AT71" s="332"/>
    </row>
    <row r="72" ht="14.25" customHeight="1">
      <c r="A72" s="312">
        <f t="shared" si="11"/>
        <v>3</v>
      </c>
      <c r="B72" s="360"/>
      <c r="C72" s="337" t="s">
        <v>352</v>
      </c>
      <c r="H72" s="506" t="b">
        <v>0</v>
      </c>
      <c r="I72" s="506" t="b">
        <v>0</v>
      </c>
      <c r="J72" s="506" t="b">
        <v>0</v>
      </c>
      <c r="K72" s="506" t="b">
        <v>0</v>
      </c>
      <c r="L72" s="506" t="b">
        <v>0</v>
      </c>
      <c r="M72" s="506" t="b">
        <v>0</v>
      </c>
      <c r="N72" s="506" t="b">
        <v>0</v>
      </c>
      <c r="O72" s="506" t="b">
        <v>0</v>
      </c>
      <c r="P72" s="313"/>
      <c r="Q72" s="314"/>
      <c r="R72" s="314"/>
      <c r="S72" s="314"/>
      <c r="T72" s="314"/>
      <c r="U72" s="314"/>
      <c r="V72" s="314"/>
      <c r="W72" s="314"/>
      <c r="X72" s="314"/>
      <c r="Y72" s="314"/>
      <c r="Z72" s="314"/>
      <c r="AA72" s="314"/>
      <c r="AB72" s="314"/>
      <c r="AC72" s="314"/>
      <c r="AD72" s="314"/>
      <c r="AE72" s="314"/>
      <c r="AF72" s="314"/>
      <c r="AG72" s="314"/>
      <c r="AH72" s="314"/>
      <c r="AI72" s="314"/>
      <c r="AJ72" s="314"/>
      <c r="AK72" s="314"/>
      <c r="AL72" s="314"/>
      <c r="AM72" s="314"/>
      <c r="AN72" s="314"/>
      <c r="AO72" s="314"/>
      <c r="AP72" s="314"/>
      <c r="AQ72" s="314"/>
      <c r="AR72" s="314"/>
      <c r="AS72" s="314"/>
      <c r="AT72" s="314"/>
    </row>
    <row r="73" ht="14.25" customHeight="1">
      <c r="A73" s="408"/>
      <c r="B73" s="500"/>
      <c r="C73" s="413"/>
      <c r="H73" s="501"/>
      <c r="I73" s="501"/>
      <c r="J73" s="501"/>
      <c r="K73" s="501"/>
      <c r="L73" s="501"/>
      <c r="M73" s="501"/>
      <c r="N73" s="501"/>
      <c r="O73" s="501"/>
      <c r="P73" s="240"/>
      <c r="Q73" s="409"/>
      <c r="R73" s="409"/>
      <c r="S73" s="409"/>
      <c r="T73" s="409"/>
      <c r="U73" s="409"/>
      <c r="V73" s="409"/>
      <c r="W73" s="409"/>
      <c r="X73" s="409"/>
      <c r="Y73" s="409"/>
      <c r="Z73" s="409"/>
      <c r="AA73" s="409"/>
      <c r="AB73" s="409"/>
      <c r="AC73" s="409"/>
      <c r="AD73" s="409"/>
      <c r="AE73" s="409"/>
      <c r="AF73" s="409"/>
      <c r="AG73" s="409"/>
      <c r="AH73" s="409"/>
      <c r="AI73" s="409"/>
      <c r="AJ73" s="409"/>
      <c r="AK73" s="409"/>
      <c r="AL73" s="409"/>
      <c r="AM73" s="409"/>
      <c r="AN73" s="409"/>
      <c r="AO73" s="409"/>
      <c r="AP73" s="409"/>
      <c r="AQ73" s="409"/>
      <c r="AR73" s="409"/>
      <c r="AS73" s="409"/>
      <c r="AT73" s="409"/>
    </row>
    <row r="74" ht="14.25" customHeight="1">
      <c r="A74" s="298"/>
      <c r="B74" s="380"/>
      <c r="C74" s="329" t="s">
        <v>353</v>
      </c>
      <c r="H74" s="328"/>
      <c r="I74" s="328"/>
      <c r="J74" s="328"/>
      <c r="K74" s="328"/>
      <c r="L74" s="328"/>
      <c r="M74" s="328"/>
      <c r="N74" s="328"/>
      <c r="O74" s="328"/>
      <c r="P74" s="299"/>
      <c r="Q74" s="328"/>
      <c r="R74" s="328"/>
      <c r="S74" s="328"/>
      <c r="T74" s="328"/>
      <c r="U74" s="328"/>
      <c r="V74" s="478"/>
      <c r="W74" s="328"/>
      <c r="X74" s="328"/>
      <c r="Y74" s="328"/>
      <c r="Z74" s="328"/>
      <c r="AA74" s="328"/>
      <c r="AB74" s="328"/>
      <c r="AC74" s="328"/>
      <c r="AD74" s="328"/>
      <c r="AE74" s="328"/>
      <c r="AF74" s="328"/>
      <c r="AG74" s="328"/>
      <c r="AH74" s="328"/>
      <c r="AI74" s="328"/>
      <c r="AJ74" s="328"/>
      <c r="AK74" s="328"/>
      <c r="AL74" s="328"/>
      <c r="AM74" s="328"/>
      <c r="AN74" s="328"/>
      <c r="AO74" s="328"/>
      <c r="AP74" s="328"/>
      <c r="AQ74" s="328"/>
      <c r="AR74" s="328"/>
      <c r="AS74" s="328"/>
      <c r="AT74" s="328"/>
    </row>
    <row r="75" ht="14.25" customHeight="1">
      <c r="A75" s="369"/>
      <c r="B75" s="370"/>
      <c r="C75" s="371"/>
      <c r="D75" s="370"/>
      <c r="E75" s="370"/>
      <c r="F75" s="370"/>
      <c r="G75" s="494"/>
      <c r="H75" s="495" t="str">
        <f t="shared" ref="H75:O75" si="12">H$41</f>
        <v>Email</v>
      </c>
      <c r="I75" s="495" t="str">
        <f t="shared" si="12"/>
        <v>WOW App</v>
      </c>
      <c r="J75" s="495" t="str">
        <f t="shared" si="12"/>
        <v>CRO (for ONL)</v>
      </c>
      <c r="K75" s="495" t="str">
        <f t="shared" si="12"/>
        <v>.</v>
      </c>
      <c r="L75" s="495" t="str">
        <f t="shared" si="12"/>
        <v>.</v>
      </c>
      <c r="M75" s="495" t="str">
        <f t="shared" si="12"/>
        <v>.</v>
      </c>
      <c r="N75" s="495" t="str">
        <f t="shared" si="12"/>
        <v>.</v>
      </c>
      <c r="O75" s="495" t="str">
        <f t="shared" si="12"/>
        <v>.</v>
      </c>
      <c r="P75" s="371"/>
      <c r="Q75" s="370"/>
      <c r="R75" s="370"/>
      <c r="S75" s="370"/>
      <c r="T75" s="370"/>
      <c r="U75" s="370"/>
      <c r="V75" s="370"/>
      <c r="W75" s="370"/>
      <c r="X75" s="370"/>
      <c r="Y75" s="370"/>
      <c r="Z75" s="370"/>
      <c r="AA75" s="370"/>
      <c r="AB75" s="370"/>
      <c r="AC75" s="370"/>
      <c r="AD75" s="370"/>
      <c r="AE75" s="370"/>
      <c r="AF75" s="370"/>
      <c r="AG75" s="370"/>
      <c r="AH75" s="370"/>
      <c r="AI75" s="370"/>
      <c r="AJ75" s="370"/>
      <c r="AK75" s="370"/>
      <c r="AL75" s="370"/>
      <c r="AM75" s="370"/>
      <c r="AN75" s="370"/>
      <c r="AO75" s="370"/>
      <c r="AP75" s="370"/>
      <c r="AQ75" s="370"/>
      <c r="AR75" s="370"/>
      <c r="AS75" s="370"/>
      <c r="AT75" s="370"/>
    </row>
    <row r="76" ht="14.25" customHeight="1">
      <c r="A76" s="359">
        <v>1.0</v>
      </c>
      <c r="B76" s="360"/>
      <c r="C76" s="337" t="s">
        <v>354</v>
      </c>
      <c r="H76" s="496" t="b">
        <v>1</v>
      </c>
      <c r="I76" s="496" t="b">
        <v>1</v>
      </c>
      <c r="J76" s="506" t="b">
        <v>0</v>
      </c>
      <c r="K76" s="506" t="b">
        <v>0</v>
      </c>
      <c r="L76" s="506" t="b">
        <v>0</v>
      </c>
      <c r="M76" s="506" t="b">
        <v>0</v>
      </c>
      <c r="N76" s="506" t="b">
        <v>0</v>
      </c>
      <c r="O76" s="506" t="b">
        <v>0</v>
      </c>
      <c r="P76" s="313"/>
      <c r="Q76" s="314"/>
      <c r="R76" s="314"/>
      <c r="S76" s="314"/>
      <c r="T76" s="314"/>
      <c r="U76" s="314"/>
      <c r="V76" s="424"/>
      <c r="W76" s="314"/>
      <c r="X76" s="314"/>
      <c r="Y76" s="314"/>
      <c r="Z76" s="314"/>
      <c r="AA76" s="314"/>
      <c r="AB76" s="314"/>
      <c r="AC76" s="314"/>
      <c r="AD76" s="314"/>
      <c r="AE76" s="314"/>
      <c r="AF76" s="314"/>
      <c r="AG76" s="314"/>
      <c r="AH76" s="314"/>
      <c r="AI76" s="314"/>
      <c r="AJ76" s="314"/>
      <c r="AK76" s="314"/>
      <c r="AL76" s="314"/>
      <c r="AM76" s="314"/>
      <c r="AN76" s="314"/>
      <c r="AO76" s="314"/>
      <c r="AP76" s="314"/>
      <c r="AQ76" s="314"/>
      <c r="AR76" s="314"/>
      <c r="AS76" s="314"/>
      <c r="AT76" s="314"/>
    </row>
    <row r="77" ht="14.25" customHeight="1">
      <c r="A77" s="305">
        <v>2.0</v>
      </c>
      <c r="B77" s="502"/>
      <c r="C77" s="307" t="s">
        <v>355</v>
      </c>
      <c r="F77" s="503" t="s">
        <v>356</v>
      </c>
      <c r="G77" s="353"/>
      <c r="H77" s="811" t="b">
        <v>0</v>
      </c>
      <c r="I77" s="811" t="b">
        <v>0</v>
      </c>
      <c r="J77" s="811" t="b">
        <v>0</v>
      </c>
      <c r="K77" s="811" t="b">
        <v>0</v>
      </c>
      <c r="L77" s="811" t="b">
        <v>0</v>
      </c>
      <c r="M77" s="811" t="b">
        <v>0</v>
      </c>
      <c r="N77" s="811" t="b">
        <v>0</v>
      </c>
      <c r="O77" s="811" t="b">
        <v>0</v>
      </c>
      <c r="P77" s="502"/>
      <c r="Q77" s="332"/>
      <c r="R77" s="332"/>
      <c r="S77" s="332"/>
      <c r="T77" s="332"/>
      <c r="U77" s="332"/>
      <c r="V77" s="419"/>
      <c r="W77" s="332"/>
      <c r="X77" s="332"/>
      <c r="Y77" s="332"/>
      <c r="Z77" s="332"/>
      <c r="AA77" s="332"/>
      <c r="AB77" s="332"/>
      <c r="AC77" s="332"/>
      <c r="AD77" s="332"/>
      <c r="AE77" s="332"/>
      <c r="AF77" s="332"/>
      <c r="AG77" s="332"/>
      <c r="AH77" s="332"/>
      <c r="AI77" s="332"/>
      <c r="AJ77" s="332"/>
      <c r="AK77" s="332"/>
      <c r="AL77" s="332"/>
      <c r="AM77" s="332"/>
      <c r="AN77" s="332"/>
      <c r="AO77" s="332"/>
      <c r="AP77" s="332"/>
      <c r="AQ77" s="332"/>
      <c r="AR77" s="332"/>
      <c r="AS77" s="332"/>
      <c r="AT77" s="332"/>
    </row>
    <row r="78" ht="14.25" customHeight="1">
      <c r="A78" s="312"/>
      <c r="B78" s="313"/>
      <c r="C78" s="337"/>
      <c r="D78" s="337"/>
      <c r="E78" s="337"/>
      <c r="F78" s="504"/>
      <c r="G78" s="505"/>
      <c r="H78" s="506"/>
      <c r="I78" s="506"/>
      <c r="J78" s="506"/>
      <c r="K78" s="506"/>
      <c r="L78" s="506"/>
      <c r="M78" s="506"/>
      <c r="N78" s="506"/>
      <c r="O78" s="506"/>
      <c r="P78" s="506"/>
      <c r="Q78" s="313"/>
      <c r="R78" s="314"/>
      <c r="S78" s="314"/>
      <c r="T78" s="314"/>
      <c r="U78" s="314"/>
      <c r="V78" s="314"/>
      <c r="W78" s="424"/>
      <c r="X78" s="314"/>
      <c r="Y78" s="314"/>
      <c r="Z78" s="314"/>
      <c r="AA78" s="314"/>
      <c r="AB78" s="314"/>
      <c r="AC78" s="314"/>
      <c r="AD78" s="314"/>
      <c r="AE78" s="314"/>
      <c r="AF78" s="314"/>
      <c r="AG78" s="314"/>
      <c r="AH78" s="314"/>
      <c r="AI78" s="314"/>
      <c r="AJ78" s="314"/>
      <c r="AK78" s="314"/>
      <c r="AL78" s="314"/>
      <c r="AM78" s="314"/>
      <c r="AN78" s="314"/>
      <c r="AO78" s="314"/>
      <c r="AP78" s="314"/>
      <c r="AQ78" s="314"/>
      <c r="AR78" s="314"/>
      <c r="AS78" s="314"/>
      <c r="AT78" s="314"/>
      <c r="AU78" s="314"/>
    </row>
    <row r="79" ht="14.25" customHeight="1">
      <c r="A79" s="812"/>
      <c r="B79" s="813"/>
      <c r="C79" s="814" t="s">
        <v>505</v>
      </c>
      <c r="H79" s="815"/>
      <c r="I79" s="815"/>
      <c r="J79" s="815"/>
      <c r="K79" s="815"/>
      <c r="L79" s="815"/>
      <c r="M79" s="815"/>
      <c r="N79" s="815"/>
      <c r="O79" s="815"/>
      <c r="P79" s="815"/>
      <c r="Q79" s="815"/>
      <c r="R79" s="815"/>
      <c r="S79" s="815"/>
      <c r="T79" s="815"/>
      <c r="U79" s="813"/>
      <c r="V79" s="815"/>
      <c r="W79" s="815"/>
      <c r="X79" s="815"/>
      <c r="Y79" s="815"/>
      <c r="Z79" s="815"/>
      <c r="AA79" s="815"/>
      <c r="AB79" s="815"/>
      <c r="AC79" s="815"/>
      <c r="AD79" s="815"/>
      <c r="AE79" s="815"/>
      <c r="AF79" s="815"/>
      <c r="AG79" s="815"/>
      <c r="AH79" s="815"/>
      <c r="AI79" s="815"/>
      <c r="AJ79" s="815"/>
      <c r="AK79" s="815"/>
      <c r="AL79" s="815"/>
      <c r="AM79" s="815"/>
      <c r="AN79" s="816"/>
      <c r="AO79" s="816"/>
      <c r="AP79" s="328"/>
      <c r="AQ79" s="328"/>
      <c r="AR79" s="328"/>
      <c r="AS79" s="328"/>
      <c r="AT79" s="328"/>
      <c r="AU79" s="328"/>
    </row>
    <row r="80" ht="14.25" customHeight="1">
      <c r="A80" s="817">
        <v>1.0</v>
      </c>
      <c r="B80" s="818"/>
      <c r="C80" s="456"/>
      <c r="H80" s="819"/>
      <c r="I80" s="819"/>
      <c r="J80" s="819"/>
      <c r="K80" s="819"/>
      <c r="L80" s="819"/>
      <c r="M80" s="819"/>
      <c r="N80" s="819"/>
      <c r="O80" s="819"/>
      <c r="P80" s="819"/>
      <c r="Q80" s="819"/>
      <c r="R80" s="819"/>
      <c r="S80" s="819"/>
      <c r="T80" s="819"/>
      <c r="U80" s="818"/>
      <c r="V80" s="819"/>
      <c r="W80" s="819"/>
      <c r="X80" s="819"/>
      <c r="Y80" s="819"/>
      <c r="Z80" s="819"/>
      <c r="AA80" s="819"/>
      <c r="AB80" s="819"/>
      <c r="AC80" s="819"/>
      <c r="AD80" s="819"/>
      <c r="AE80" s="819"/>
      <c r="AF80" s="819"/>
      <c r="AG80" s="819"/>
      <c r="AH80" s="819"/>
      <c r="AI80" s="819"/>
      <c r="AJ80" s="819"/>
      <c r="AK80" s="819"/>
      <c r="AL80" s="819"/>
      <c r="AM80" s="819"/>
      <c r="AN80" s="820"/>
      <c r="AO80" s="820"/>
      <c r="AP80" s="332"/>
      <c r="AQ80" s="332"/>
      <c r="AR80" s="332"/>
      <c r="AS80" s="332"/>
      <c r="AT80" s="332"/>
      <c r="AU80" s="332"/>
    </row>
    <row r="81" ht="14.25" customHeight="1">
      <c r="A81" s="821">
        <v>2.0</v>
      </c>
      <c r="B81" s="822"/>
      <c r="C81" s="823" t="s">
        <v>506</v>
      </c>
      <c r="J81" s="824"/>
      <c r="K81" s="824"/>
      <c r="L81" s="824"/>
      <c r="M81" s="824"/>
      <c r="N81" s="824"/>
      <c r="O81" s="824"/>
      <c r="P81" s="824"/>
      <c r="Q81" s="825"/>
      <c r="R81" s="824"/>
      <c r="S81" s="824"/>
      <c r="T81" s="824"/>
      <c r="U81" s="822"/>
      <c r="V81" s="824"/>
      <c r="W81" s="824"/>
      <c r="X81" s="824"/>
      <c r="Y81" s="824"/>
      <c r="Z81" s="824"/>
      <c r="AA81" s="824"/>
      <c r="AB81" s="824"/>
      <c r="AC81" s="824"/>
      <c r="AD81" s="824"/>
      <c r="AE81" s="824"/>
      <c r="AF81" s="824"/>
      <c r="AG81" s="824"/>
      <c r="AH81" s="824"/>
      <c r="AI81" s="824"/>
      <c r="AJ81" s="824"/>
      <c r="AK81" s="824"/>
      <c r="AL81" s="824"/>
      <c r="AM81" s="824"/>
      <c r="AN81" s="826"/>
      <c r="AO81" s="826"/>
      <c r="AP81" s="314"/>
      <c r="AQ81" s="314"/>
      <c r="AR81" s="314"/>
      <c r="AS81" s="314"/>
      <c r="AT81" s="314"/>
      <c r="AU81" s="314"/>
    </row>
    <row r="82" ht="14.25" customHeight="1">
      <c r="A82" s="817">
        <v>3.0</v>
      </c>
      <c r="B82" s="827"/>
      <c r="C82" s="828" t="s">
        <v>507</v>
      </c>
      <c r="K82" s="819"/>
      <c r="L82" s="819"/>
      <c r="M82" s="819"/>
      <c r="N82" s="819"/>
      <c r="O82" s="819"/>
      <c r="P82" s="819"/>
      <c r="Q82" s="829"/>
      <c r="R82" s="819"/>
      <c r="S82" s="819"/>
      <c r="T82" s="819"/>
      <c r="U82" s="827"/>
      <c r="V82" s="819"/>
      <c r="W82" s="819"/>
      <c r="X82" s="819"/>
      <c r="Y82" s="819"/>
      <c r="Z82" s="819"/>
      <c r="AA82" s="819"/>
      <c r="AB82" s="819"/>
      <c r="AC82" s="819"/>
      <c r="AD82" s="819"/>
      <c r="AE82" s="819"/>
      <c r="AF82" s="819"/>
      <c r="AG82" s="819"/>
      <c r="AH82" s="819"/>
      <c r="AI82" s="819"/>
      <c r="AJ82" s="819"/>
      <c r="AK82" s="819"/>
      <c r="AL82" s="819"/>
      <c r="AM82" s="819"/>
      <c r="AN82" s="820"/>
      <c r="AO82" s="820"/>
      <c r="AP82" s="332"/>
      <c r="AQ82" s="332"/>
      <c r="AR82" s="332"/>
      <c r="AS82" s="332"/>
      <c r="AT82" s="332"/>
      <c r="AU82" s="332"/>
    </row>
    <row r="83" ht="14.25" customHeight="1">
      <c r="A83" s="821">
        <v>4.0</v>
      </c>
      <c r="B83" s="830"/>
      <c r="C83" s="831" t="s">
        <v>508</v>
      </c>
      <c r="H83" s="824"/>
      <c r="I83" s="824"/>
      <c r="J83" s="824"/>
      <c r="K83" s="824"/>
      <c r="L83" s="824"/>
      <c r="M83" s="824"/>
      <c r="N83" s="824"/>
      <c r="O83" s="824"/>
      <c r="P83" s="824"/>
      <c r="Q83" s="825"/>
      <c r="R83" s="824"/>
      <c r="S83" s="824"/>
      <c r="T83" s="824"/>
      <c r="U83" s="830"/>
      <c r="V83" s="832"/>
      <c r="W83" s="832"/>
      <c r="X83" s="832"/>
      <c r="Y83" s="832"/>
      <c r="Z83" s="832"/>
      <c r="AA83" s="832"/>
      <c r="AB83" s="832"/>
      <c r="AC83" s="832"/>
      <c r="AD83" s="832"/>
      <c r="AE83" s="832"/>
      <c r="AF83" s="832"/>
      <c r="AG83" s="832"/>
      <c r="AH83" s="832"/>
      <c r="AI83" s="832"/>
      <c r="AJ83" s="832"/>
      <c r="AK83" s="832"/>
      <c r="AL83" s="832"/>
      <c r="AM83" s="832"/>
      <c r="AN83" s="826"/>
      <c r="AO83" s="826"/>
      <c r="AP83" s="314"/>
      <c r="AQ83" s="314"/>
      <c r="AR83" s="314"/>
      <c r="AS83" s="314"/>
      <c r="AT83" s="314"/>
      <c r="AU83" s="314"/>
    </row>
    <row r="84" ht="14.25" customHeight="1">
      <c r="A84" s="305">
        <f>A83+1</f>
        <v>5</v>
      </c>
      <c r="B84" s="351"/>
      <c r="C84" s="503"/>
      <c r="E84" s="465"/>
      <c r="H84" s="353"/>
      <c r="I84" s="353"/>
      <c r="J84" s="353"/>
      <c r="K84" s="353"/>
      <c r="L84" s="353"/>
      <c r="M84" s="353"/>
      <c r="N84" s="353"/>
      <c r="O84" s="353"/>
      <c r="P84" s="353"/>
      <c r="Q84" s="788"/>
      <c r="R84" s="332"/>
      <c r="S84" s="332"/>
      <c r="T84" s="332"/>
      <c r="U84" s="332"/>
      <c r="V84" s="332"/>
      <c r="W84" s="332"/>
      <c r="X84" s="332"/>
      <c r="Y84" s="332"/>
      <c r="Z84" s="332"/>
      <c r="AA84" s="332"/>
      <c r="AB84" s="332"/>
      <c r="AC84" s="332"/>
      <c r="AD84" s="332"/>
      <c r="AE84" s="332"/>
      <c r="AF84" s="332"/>
      <c r="AG84" s="332"/>
      <c r="AH84" s="332"/>
      <c r="AI84" s="332"/>
      <c r="AJ84" s="332"/>
      <c r="AK84" s="332"/>
      <c r="AL84" s="332"/>
      <c r="AM84" s="332"/>
      <c r="AN84" s="332"/>
      <c r="AO84" s="332"/>
      <c r="AP84" s="332"/>
      <c r="AQ84" s="332"/>
      <c r="AR84" s="332"/>
      <c r="AS84" s="332"/>
      <c r="AT84" s="332"/>
      <c r="AU84" s="332"/>
    </row>
    <row r="85" ht="14.25" customHeight="1">
      <c r="A85" s="511"/>
      <c r="B85" s="512"/>
      <c r="C85" s="513"/>
      <c r="D85" s="514"/>
      <c r="E85" s="514"/>
      <c r="F85" s="514"/>
      <c r="G85" s="515"/>
      <c r="H85" s="424"/>
      <c r="I85" s="424"/>
      <c r="J85" s="424"/>
      <c r="K85" s="424"/>
      <c r="L85" s="424"/>
      <c r="M85" s="424"/>
      <c r="N85" s="424"/>
      <c r="O85" s="424"/>
      <c r="P85" s="424"/>
      <c r="Q85" s="833"/>
      <c r="R85" s="514"/>
      <c r="S85" s="514"/>
      <c r="T85" s="514"/>
      <c r="U85" s="514"/>
      <c r="V85" s="514"/>
      <c r="W85" s="514"/>
      <c r="X85" s="514"/>
      <c r="Y85" s="514"/>
      <c r="Z85" s="514"/>
      <c r="AA85" s="514"/>
      <c r="AB85" s="514"/>
      <c r="AC85" s="514"/>
      <c r="AD85" s="514"/>
      <c r="AE85" s="514"/>
      <c r="AF85" s="514"/>
      <c r="AG85" s="514"/>
      <c r="AH85" s="514"/>
      <c r="AI85" s="514"/>
      <c r="AJ85" s="514"/>
      <c r="AK85" s="514"/>
      <c r="AL85" s="514"/>
      <c r="AM85" s="514"/>
      <c r="AN85" s="514"/>
      <c r="AO85" s="514"/>
      <c r="AP85" s="514"/>
      <c r="AQ85" s="514"/>
      <c r="AR85" s="514"/>
      <c r="AS85" s="514"/>
      <c r="AT85" s="514"/>
      <c r="AU85" s="514"/>
    </row>
    <row r="86" ht="14.25" customHeight="1">
      <c r="A86" s="290"/>
      <c r="B86" s="291"/>
      <c r="C86" s="319" t="s">
        <v>358</v>
      </c>
      <c r="D86" s="293"/>
      <c r="E86" s="293"/>
      <c r="F86" s="293"/>
      <c r="G86" s="406"/>
      <c r="H86" s="407"/>
      <c r="I86" s="407"/>
      <c r="J86" s="407"/>
      <c r="K86" s="407"/>
      <c r="L86" s="407"/>
      <c r="M86" s="407"/>
      <c r="N86" s="407"/>
      <c r="O86" s="407"/>
      <c r="P86" s="407"/>
      <c r="Q86" s="783"/>
      <c r="R86" s="293"/>
      <c r="S86" s="293"/>
      <c r="T86" s="293"/>
      <c r="U86" s="293"/>
      <c r="V86" s="293"/>
      <c r="W86" s="293"/>
      <c r="X86" s="293"/>
      <c r="Y86" s="293"/>
      <c r="Z86" s="293"/>
      <c r="AA86" s="293"/>
      <c r="AB86" s="293"/>
      <c r="AC86" s="293"/>
      <c r="AD86" s="293"/>
      <c r="AE86" s="293"/>
      <c r="AF86" s="293"/>
      <c r="AG86" s="293"/>
      <c r="AH86" s="293"/>
      <c r="AI86" s="293"/>
      <c r="AJ86" s="293"/>
      <c r="AK86" s="293"/>
      <c r="AL86" s="293"/>
      <c r="AM86" s="293"/>
      <c r="AN86" s="293"/>
      <c r="AO86" s="293"/>
      <c r="AP86" s="293"/>
      <c r="AQ86" s="293"/>
      <c r="AR86" s="293"/>
      <c r="AS86" s="293"/>
      <c r="AT86" s="293"/>
      <c r="AU86" s="293"/>
    </row>
    <row r="87" ht="14.25" customHeight="1">
      <c r="A87" s="298"/>
      <c r="C87" s="329" t="s">
        <v>359</v>
      </c>
      <c r="O87" s="328"/>
      <c r="P87" s="328"/>
      <c r="Q87" s="299"/>
      <c r="R87" s="328"/>
      <c r="S87" s="328"/>
      <c r="T87" s="328"/>
      <c r="U87" s="328"/>
      <c r="V87" s="328"/>
      <c r="W87" s="328"/>
      <c r="X87" s="328"/>
      <c r="Y87" s="328"/>
      <c r="Z87" s="328"/>
      <c r="AA87" s="328"/>
      <c r="AB87" s="328"/>
      <c r="AC87" s="328"/>
      <c r="AD87" s="328"/>
      <c r="AE87" s="328"/>
      <c r="AF87" s="328"/>
      <c r="AG87" s="328"/>
      <c r="AH87" s="328"/>
      <c r="AI87" s="328"/>
      <c r="AJ87" s="328"/>
      <c r="AK87" s="328"/>
      <c r="AL87" s="328"/>
      <c r="AM87" s="328"/>
      <c r="AN87" s="328"/>
      <c r="AO87" s="328"/>
      <c r="AP87" s="328"/>
      <c r="AQ87" s="328"/>
      <c r="AR87" s="328"/>
      <c r="AS87" s="328"/>
      <c r="AT87" s="328"/>
      <c r="AU87" s="328"/>
    </row>
    <row r="88" ht="14.25" customHeight="1">
      <c r="A88" s="305">
        <v>1.0</v>
      </c>
      <c r="B88" s="306" t="b">
        <v>1</v>
      </c>
      <c r="C88" s="516" t="str">
        <f>HYPERLINK("https://docs.google.com/spreadsheets/d/1Ua7P3R1P2QOKt7GLgi8PL3CBwpLonx3cTDT2pV9QdOQ/edit?ts=5eaf7985#gid=0","Production Test Accounts")</f>
        <v>Production Test Accounts</v>
      </c>
      <c r="H88" s="517"/>
      <c r="I88" s="517"/>
      <c r="J88" s="517"/>
      <c r="K88" s="517"/>
      <c r="L88" s="517"/>
      <c r="M88" s="517"/>
      <c r="N88" s="517"/>
      <c r="O88" s="332"/>
      <c r="P88" s="332"/>
      <c r="Q88" s="788"/>
      <c r="R88" s="332"/>
      <c r="S88" s="332"/>
      <c r="T88" s="332"/>
      <c r="U88" s="332"/>
      <c r="V88" s="332"/>
      <c r="W88" s="332"/>
      <c r="X88" s="332"/>
      <c r="Y88" s="332"/>
      <c r="Z88" s="332"/>
      <c r="AA88" s="332"/>
      <c r="AB88" s="332"/>
      <c r="AC88" s="332"/>
      <c r="AD88" s="332"/>
      <c r="AE88" s="332"/>
      <c r="AF88" s="332"/>
      <c r="AG88" s="332"/>
      <c r="AH88" s="332"/>
      <c r="AI88" s="332"/>
      <c r="AJ88" s="332"/>
      <c r="AK88" s="332"/>
      <c r="AL88" s="332"/>
      <c r="AM88" s="332"/>
      <c r="AN88" s="332"/>
      <c r="AO88" s="332"/>
      <c r="AP88" s="332"/>
      <c r="AQ88" s="332"/>
      <c r="AR88" s="332"/>
      <c r="AS88" s="332"/>
      <c r="AT88" s="332"/>
      <c r="AU88" s="332"/>
    </row>
    <row r="89" ht="14.25" customHeight="1">
      <c r="A89" s="359"/>
      <c r="B89" s="365"/>
      <c r="C89" s="337"/>
      <c r="D89" s="337"/>
      <c r="E89" s="337"/>
      <c r="F89" s="366"/>
      <c r="G89" s="366"/>
      <c r="H89" s="366"/>
      <c r="I89" s="366"/>
      <c r="J89" s="366"/>
      <c r="K89" s="366"/>
      <c r="L89" s="366"/>
      <c r="M89" s="366"/>
      <c r="N89" s="366"/>
      <c r="O89" s="314"/>
      <c r="P89" s="314"/>
      <c r="Q89" s="793"/>
      <c r="R89" s="314"/>
      <c r="S89" s="314"/>
      <c r="T89" s="314"/>
      <c r="U89" s="314"/>
      <c r="V89" s="314"/>
      <c r="W89" s="314"/>
      <c r="X89" s="314"/>
      <c r="Y89" s="314"/>
      <c r="Z89" s="314"/>
      <c r="AA89" s="314"/>
      <c r="AB89" s="314"/>
      <c r="AC89" s="314"/>
      <c r="AD89" s="314"/>
      <c r="AE89" s="314"/>
      <c r="AF89" s="314"/>
      <c r="AG89" s="314"/>
      <c r="AH89" s="314"/>
      <c r="AI89" s="314"/>
      <c r="AJ89" s="314"/>
      <c r="AK89" s="314"/>
      <c r="AL89" s="314"/>
      <c r="AM89" s="314"/>
      <c r="AN89" s="314"/>
      <c r="AO89" s="314"/>
      <c r="AP89" s="314"/>
      <c r="AQ89" s="314"/>
      <c r="AR89" s="314"/>
      <c r="AS89" s="314"/>
      <c r="AT89" s="314"/>
      <c r="AU89" s="314"/>
    </row>
    <row r="90" ht="14.25" customHeight="1">
      <c r="A90" s="298"/>
      <c r="B90" s="518"/>
      <c r="C90" s="329" t="s">
        <v>360</v>
      </c>
      <c r="O90" s="328"/>
      <c r="P90" s="328"/>
      <c r="Q90" s="299"/>
      <c r="R90" s="328"/>
      <c r="S90" s="328"/>
      <c r="T90" s="328"/>
      <c r="U90" s="328"/>
      <c r="V90" s="328"/>
      <c r="W90" s="328"/>
      <c r="X90" s="328"/>
      <c r="Y90" s="328"/>
      <c r="Z90" s="328"/>
      <c r="AA90" s="328"/>
      <c r="AB90" s="328"/>
      <c r="AC90" s="328"/>
      <c r="AD90" s="328"/>
      <c r="AE90" s="328"/>
      <c r="AF90" s="328"/>
      <c r="AG90" s="328"/>
      <c r="AH90" s="328"/>
      <c r="AI90" s="328"/>
      <c r="AJ90" s="328"/>
      <c r="AK90" s="328"/>
      <c r="AL90" s="328"/>
      <c r="AM90" s="328"/>
      <c r="AN90" s="328"/>
      <c r="AO90" s="328"/>
      <c r="AP90" s="328"/>
      <c r="AQ90" s="328"/>
      <c r="AR90" s="328"/>
      <c r="AS90" s="328"/>
      <c r="AT90" s="328"/>
      <c r="AU90" s="328"/>
    </row>
    <row r="91" ht="14.25" customHeight="1">
      <c r="A91" s="69"/>
      <c r="B91" s="306"/>
      <c r="C91" s="834" t="s">
        <v>509</v>
      </c>
      <c r="E91" s="520" t="s">
        <v>361</v>
      </c>
      <c r="G91" s="520"/>
      <c r="I91" s="332"/>
      <c r="J91" s="332"/>
      <c r="K91" s="332"/>
      <c r="L91" s="332"/>
      <c r="M91" s="332"/>
      <c r="N91" s="332"/>
      <c r="O91" s="332"/>
      <c r="P91" s="332"/>
      <c r="Q91" s="351"/>
      <c r="R91" s="332"/>
      <c r="S91" s="332"/>
      <c r="T91" s="332"/>
      <c r="U91" s="332"/>
      <c r="V91" s="332"/>
      <c r="W91" s="332"/>
      <c r="X91" s="332"/>
      <c r="Y91" s="332"/>
      <c r="Z91" s="332"/>
      <c r="AA91" s="332"/>
      <c r="AB91" s="332"/>
      <c r="AC91" s="332"/>
      <c r="AD91" s="332"/>
      <c r="AE91" s="332"/>
      <c r="AF91" s="332"/>
      <c r="AG91" s="332"/>
      <c r="AH91" s="332"/>
      <c r="AI91" s="332"/>
      <c r="AJ91" s="332"/>
      <c r="AK91" s="332"/>
      <c r="AL91" s="332"/>
      <c r="AM91" s="332"/>
      <c r="AN91" s="332"/>
      <c r="AO91" s="332"/>
      <c r="AP91" s="332"/>
      <c r="AQ91" s="332"/>
      <c r="AR91" s="332"/>
      <c r="AS91" s="332"/>
      <c r="AT91" s="332"/>
      <c r="AU91" s="332"/>
    </row>
    <row r="92" ht="14.25" customHeight="1">
      <c r="A92" s="359">
        <v>1.0</v>
      </c>
      <c r="B92" s="360"/>
      <c r="C92" s="835" t="s">
        <v>510</v>
      </c>
      <c r="E92" s="836" t="s">
        <v>511</v>
      </c>
      <c r="O92" s="314"/>
      <c r="P92" s="314"/>
      <c r="Q92" s="420"/>
      <c r="R92" s="314"/>
      <c r="S92" s="314"/>
      <c r="T92" s="314"/>
      <c r="U92" s="314"/>
      <c r="V92" s="314"/>
      <c r="W92" s="314"/>
      <c r="X92" s="314"/>
      <c r="Y92" s="314"/>
      <c r="Z92" s="314"/>
      <c r="AA92" s="314"/>
      <c r="AB92" s="314"/>
      <c r="AC92" s="314"/>
      <c r="AD92" s="314"/>
      <c r="AE92" s="314"/>
      <c r="AF92" s="314"/>
      <c r="AG92" s="314"/>
      <c r="AH92" s="314"/>
      <c r="AI92" s="314"/>
      <c r="AJ92" s="314"/>
      <c r="AK92" s="314"/>
      <c r="AL92" s="314"/>
      <c r="AM92" s="314"/>
      <c r="AN92" s="314"/>
      <c r="AO92" s="314"/>
      <c r="AP92" s="314"/>
      <c r="AQ92" s="314"/>
      <c r="AR92" s="314"/>
      <c r="AS92" s="314"/>
      <c r="AT92" s="314"/>
      <c r="AU92" s="314"/>
    </row>
    <row r="93" ht="14.25" customHeight="1">
      <c r="A93" s="305">
        <f>A92+1</f>
        <v>2</v>
      </c>
      <c r="B93" s="306"/>
      <c r="C93" s="837"/>
      <c r="D93" s="837"/>
      <c r="E93" s="836"/>
      <c r="O93" s="332"/>
      <c r="P93" s="332"/>
      <c r="Q93" s="351"/>
      <c r="R93" s="332"/>
      <c r="S93" s="332"/>
      <c r="T93" s="332"/>
      <c r="U93" s="332"/>
      <c r="V93" s="332"/>
      <c r="W93" s="332"/>
      <c r="X93" s="332"/>
      <c r="Y93" s="332"/>
      <c r="Z93" s="332"/>
      <c r="AA93" s="332"/>
      <c r="AB93" s="332"/>
      <c r="AC93" s="332"/>
      <c r="AD93" s="332"/>
      <c r="AE93" s="332"/>
      <c r="AF93" s="332"/>
      <c r="AG93" s="332"/>
      <c r="AH93" s="332"/>
      <c r="AI93" s="332"/>
      <c r="AJ93" s="332"/>
      <c r="AK93" s="332"/>
      <c r="AL93" s="332"/>
      <c r="AM93" s="332"/>
      <c r="AN93" s="332"/>
      <c r="AO93" s="332"/>
      <c r="AP93" s="332"/>
      <c r="AQ93" s="332"/>
      <c r="AR93" s="332"/>
      <c r="AS93" s="332"/>
      <c r="AT93" s="332"/>
      <c r="AU93" s="332"/>
    </row>
    <row r="94" ht="14.25" customHeight="1">
      <c r="A94" s="312"/>
      <c r="B94" s="360"/>
      <c r="C94" s="738"/>
      <c r="D94" s="738"/>
      <c r="E94" s="738"/>
      <c r="F94" s="738"/>
      <c r="G94" s="738"/>
      <c r="H94" s="314"/>
      <c r="I94" s="314"/>
      <c r="J94" s="314"/>
      <c r="K94" s="314"/>
      <c r="L94" s="314"/>
      <c r="M94" s="314"/>
      <c r="N94" s="314"/>
      <c r="O94" s="314"/>
      <c r="P94" s="314"/>
      <c r="Q94" s="420"/>
      <c r="R94" s="314"/>
      <c r="S94" s="314"/>
      <c r="T94" s="314"/>
      <c r="U94" s="314"/>
      <c r="V94" s="314"/>
      <c r="W94" s="314"/>
      <c r="X94" s="314"/>
      <c r="Y94" s="314"/>
      <c r="Z94" s="314"/>
      <c r="AA94" s="314"/>
      <c r="AB94" s="314"/>
      <c r="AC94" s="314"/>
      <c r="AD94" s="314"/>
      <c r="AE94" s="314"/>
      <c r="AF94" s="314"/>
      <c r="AG94" s="314"/>
      <c r="AH94" s="314"/>
      <c r="AI94" s="314"/>
      <c r="AJ94" s="314"/>
      <c r="AK94" s="314"/>
      <c r="AL94" s="314"/>
      <c r="AM94" s="314"/>
      <c r="AN94" s="314"/>
      <c r="AO94" s="314"/>
      <c r="AP94" s="314"/>
      <c r="AQ94" s="314"/>
      <c r="AR94" s="314"/>
      <c r="AS94" s="314"/>
      <c r="AT94" s="314"/>
      <c r="AU94" s="314"/>
    </row>
    <row r="95" ht="14.25" customHeight="1">
      <c r="A95" s="298"/>
      <c r="B95" s="343"/>
      <c r="C95" s="329" t="s">
        <v>375</v>
      </c>
      <c r="E95" s="329"/>
      <c r="F95" s="329"/>
      <c r="G95" s="329"/>
      <c r="H95" s="329"/>
      <c r="I95" s="329"/>
      <c r="J95" s="329"/>
      <c r="K95" s="478"/>
      <c r="L95" s="478"/>
      <c r="M95" s="478"/>
      <c r="N95" s="478"/>
      <c r="O95" s="478"/>
      <c r="P95" s="328"/>
      <c r="Q95" s="508"/>
      <c r="R95" s="328"/>
      <c r="S95" s="328"/>
      <c r="T95" s="328"/>
      <c r="U95" s="328"/>
      <c r="V95" s="328"/>
      <c r="W95" s="478"/>
      <c r="X95" s="328"/>
      <c r="Y95" s="328"/>
      <c r="Z95" s="328"/>
      <c r="AA95" s="328"/>
      <c r="AB95" s="328"/>
      <c r="AC95" s="328"/>
      <c r="AD95" s="328"/>
      <c r="AE95" s="328"/>
      <c r="AF95" s="328"/>
      <c r="AG95" s="328"/>
      <c r="AH95" s="328"/>
      <c r="AI95" s="328"/>
      <c r="AJ95" s="328"/>
      <c r="AK95" s="328"/>
      <c r="AL95" s="328"/>
      <c r="AM95" s="328"/>
      <c r="AN95" s="328"/>
      <c r="AO95" s="328"/>
      <c r="AP95" s="328"/>
      <c r="AQ95" s="328"/>
      <c r="AR95" s="328"/>
      <c r="AS95" s="328"/>
      <c r="AT95" s="328"/>
      <c r="AU95" s="328"/>
    </row>
    <row r="96" ht="14.25" customHeight="1">
      <c r="A96" s="817">
        <v>1.0</v>
      </c>
      <c r="B96" s="838"/>
      <c r="C96" s="839" t="s">
        <v>512</v>
      </c>
      <c r="U96" s="332"/>
      <c r="V96" s="332"/>
      <c r="W96" s="419"/>
      <c r="X96" s="332"/>
      <c r="Y96" s="332"/>
      <c r="Z96" s="332"/>
      <c r="AA96" s="332"/>
      <c r="AB96" s="332"/>
      <c r="AC96" s="332"/>
      <c r="AD96" s="332"/>
      <c r="AE96" s="332"/>
      <c r="AF96" s="332"/>
      <c r="AG96" s="332"/>
      <c r="AH96" s="332"/>
      <c r="AI96" s="332"/>
      <c r="AJ96" s="332"/>
      <c r="AK96" s="332"/>
      <c r="AL96" s="332"/>
      <c r="AM96" s="332"/>
      <c r="AN96" s="332"/>
      <c r="AO96" s="332"/>
      <c r="AP96" s="332"/>
      <c r="AQ96" s="332"/>
      <c r="AR96" s="332"/>
      <c r="AS96" s="332"/>
      <c r="AT96" s="332"/>
      <c r="AU96" s="332"/>
    </row>
    <row r="97" ht="14.25" customHeight="1">
      <c r="A97" s="840"/>
      <c r="B97" s="840"/>
      <c r="C97" s="841" t="s">
        <v>513</v>
      </c>
      <c r="H97" s="842"/>
      <c r="I97" s="843"/>
      <c r="J97" s="843"/>
      <c r="K97" s="843"/>
      <c r="L97" s="843"/>
      <c r="M97" s="843"/>
      <c r="N97" s="843"/>
      <c r="O97" s="844"/>
      <c r="P97" s="844"/>
      <c r="Q97" s="844"/>
      <c r="R97" s="844"/>
      <c r="S97" s="314"/>
      <c r="T97" s="314"/>
      <c r="U97" s="424"/>
      <c r="V97" s="314"/>
      <c r="W97" s="314"/>
      <c r="X97" s="314"/>
      <c r="Y97" s="314"/>
      <c r="Z97" s="314"/>
      <c r="AA97" s="314"/>
      <c r="AB97" s="314"/>
      <c r="AC97" s="314"/>
      <c r="AD97" s="314"/>
      <c r="AE97" s="314"/>
      <c r="AF97" s="314"/>
      <c r="AG97" s="314"/>
      <c r="AH97" s="314"/>
      <c r="AI97" s="314"/>
      <c r="AJ97" s="314"/>
      <c r="AK97" s="314"/>
      <c r="AL97" s="314"/>
      <c r="AM97" s="314"/>
      <c r="AN97" s="314"/>
      <c r="AO97" s="314"/>
      <c r="AP97" s="314"/>
      <c r="AQ97" s="314"/>
      <c r="AR97" s="314"/>
      <c r="AS97" s="314"/>
    </row>
    <row r="98" ht="14.25" customHeight="1">
      <c r="A98" s="838"/>
      <c r="B98" s="838"/>
      <c r="C98" s="845" t="s">
        <v>514</v>
      </c>
      <c r="F98" s="829"/>
      <c r="G98" s="829"/>
      <c r="H98" s="829"/>
      <c r="I98" s="829"/>
      <c r="J98" s="829"/>
      <c r="K98" s="829"/>
      <c r="L98" s="829"/>
      <c r="M98" s="846"/>
      <c r="N98" s="846"/>
      <c r="O98" s="847"/>
      <c r="P98" s="847"/>
      <c r="Q98" s="847"/>
      <c r="R98" s="847"/>
      <c r="S98" s="332"/>
      <c r="T98" s="332"/>
      <c r="U98" s="419"/>
      <c r="V98" s="332"/>
      <c r="W98" s="332"/>
      <c r="X98" s="332"/>
      <c r="Y98" s="332"/>
      <c r="Z98" s="332"/>
      <c r="AA98" s="332"/>
      <c r="AB98" s="332"/>
      <c r="AC98" s="332"/>
      <c r="AD98" s="332"/>
      <c r="AE98" s="332"/>
      <c r="AF98" s="332"/>
      <c r="AG98" s="332"/>
      <c r="AH98" s="332"/>
      <c r="AI98" s="332"/>
      <c r="AJ98" s="332"/>
      <c r="AK98" s="332"/>
      <c r="AL98" s="332"/>
      <c r="AM98" s="332"/>
      <c r="AN98" s="332"/>
      <c r="AO98" s="332"/>
      <c r="AP98" s="332"/>
      <c r="AQ98" s="332"/>
      <c r="AR98" s="332"/>
      <c r="AS98" s="332"/>
    </row>
    <row r="99" ht="14.25" customHeight="1">
      <c r="A99" s="840"/>
      <c r="B99" s="840"/>
      <c r="C99" s="848" t="s">
        <v>515</v>
      </c>
      <c r="I99" s="825"/>
      <c r="J99" s="825"/>
      <c r="K99" s="825"/>
      <c r="L99" s="825"/>
      <c r="M99" s="843"/>
      <c r="N99" s="843"/>
      <c r="O99" s="844"/>
      <c r="P99" s="844"/>
      <c r="Q99" s="844"/>
      <c r="R99" s="844"/>
      <c r="S99" s="314"/>
      <c r="T99" s="314"/>
      <c r="U99" s="424"/>
      <c r="V99" s="314"/>
      <c r="W99" s="314"/>
      <c r="X99" s="314"/>
      <c r="Y99" s="314"/>
      <c r="Z99" s="314"/>
      <c r="AA99" s="314"/>
      <c r="AB99" s="314"/>
      <c r="AC99" s="314"/>
      <c r="AD99" s="314"/>
      <c r="AE99" s="314"/>
      <c r="AF99" s="314"/>
      <c r="AG99" s="314"/>
      <c r="AH99" s="314"/>
      <c r="AI99" s="314"/>
      <c r="AJ99" s="314"/>
      <c r="AK99" s="314"/>
      <c r="AL99" s="314"/>
      <c r="AM99" s="314"/>
      <c r="AN99" s="314"/>
      <c r="AO99" s="314"/>
      <c r="AP99" s="314"/>
      <c r="AQ99" s="314"/>
      <c r="AR99" s="314"/>
      <c r="AS99" s="314"/>
    </row>
    <row r="100" ht="14.25" customHeight="1">
      <c r="A100" s="838"/>
      <c r="B100" s="838"/>
      <c r="C100" s="845" t="s">
        <v>516</v>
      </c>
      <c r="E100" s="849"/>
      <c r="F100" s="829"/>
      <c r="G100" s="829"/>
      <c r="H100" s="829"/>
      <c r="I100" s="829"/>
      <c r="J100" s="829"/>
      <c r="K100" s="829"/>
      <c r="L100" s="829"/>
      <c r="M100" s="847"/>
      <c r="N100" s="847"/>
      <c r="O100" s="847"/>
      <c r="P100" s="847"/>
      <c r="Q100" s="847"/>
      <c r="R100" s="847"/>
      <c r="S100" s="332"/>
      <c r="T100" s="332"/>
      <c r="U100" s="419"/>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row>
    <row r="101" ht="14.25" customHeight="1">
      <c r="A101" s="840"/>
      <c r="B101" s="840"/>
      <c r="C101" s="848" t="s">
        <v>517</v>
      </c>
      <c r="G101" s="825"/>
      <c r="H101" s="825"/>
      <c r="I101" s="825"/>
      <c r="J101" s="825"/>
      <c r="K101" s="825"/>
      <c r="L101" s="825"/>
      <c r="M101" s="843"/>
      <c r="N101" s="843"/>
      <c r="O101" s="844"/>
      <c r="P101" s="844"/>
      <c r="Q101" s="844"/>
      <c r="R101" s="844"/>
      <c r="S101" s="314"/>
      <c r="T101" s="314"/>
      <c r="U101" s="314"/>
      <c r="V101" s="314"/>
      <c r="W101" s="314"/>
      <c r="X101" s="314"/>
      <c r="Y101" s="314"/>
      <c r="Z101" s="314"/>
      <c r="AA101" s="314"/>
      <c r="AB101" s="314"/>
      <c r="AC101" s="314"/>
      <c r="AD101" s="314"/>
      <c r="AE101" s="314"/>
      <c r="AF101" s="314"/>
      <c r="AG101" s="314"/>
      <c r="AH101" s="314"/>
      <c r="AI101" s="314"/>
      <c r="AJ101" s="314"/>
      <c r="AK101" s="314"/>
      <c r="AL101" s="314"/>
      <c r="AM101" s="314"/>
      <c r="AN101" s="314"/>
      <c r="AO101" s="314"/>
      <c r="AP101" s="314"/>
      <c r="AQ101" s="314"/>
      <c r="AR101" s="314"/>
      <c r="AS101" s="314"/>
    </row>
    <row r="102" ht="14.25" customHeight="1">
      <c r="A102" s="838"/>
      <c r="B102" s="838"/>
      <c r="C102" s="850" t="s">
        <v>518</v>
      </c>
      <c r="D102" s="849"/>
      <c r="E102" s="849"/>
      <c r="F102" s="829"/>
      <c r="G102" s="829"/>
      <c r="H102" s="829"/>
      <c r="I102" s="829"/>
      <c r="J102" s="829"/>
      <c r="K102" s="829"/>
      <c r="L102" s="829"/>
      <c r="M102" s="846"/>
      <c r="N102" s="846"/>
      <c r="O102" s="847"/>
      <c r="P102" s="847"/>
      <c r="Q102" s="847"/>
      <c r="R102" s="847"/>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332"/>
      <c r="AN102" s="332"/>
      <c r="AO102" s="332"/>
      <c r="AP102" s="332"/>
      <c r="AQ102" s="332"/>
      <c r="AR102" s="332"/>
      <c r="AS102" s="332"/>
    </row>
    <row r="103" ht="14.25" customHeight="1">
      <c r="A103" s="838"/>
      <c r="B103" s="838"/>
      <c r="C103" s="851"/>
      <c r="D103" s="852"/>
      <c r="E103" s="852"/>
      <c r="F103" s="852"/>
      <c r="G103" s="825"/>
      <c r="H103" s="825"/>
      <c r="I103" s="829"/>
      <c r="J103" s="829"/>
      <c r="K103" s="829"/>
      <c r="L103" s="829"/>
      <c r="M103" s="847"/>
      <c r="N103" s="847"/>
      <c r="O103" s="847"/>
      <c r="P103" s="847"/>
      <c r="Q103" s="847"/>
      <c r="R103" s="847"/>
      <c r="S103" s="314"/>
      <c r="T103" s="314"/>
      <c r="U103" s="314"/>
      <c r="V103" s="314"/>
      <c r="W103" s="314"/>
      <c r="X103" s="314"/>
      <c r="Y103" s="314"/>
      <c r="Z103" s="314"/>
      <c r="AA103" s="314"/>
      <c r="AB103" s="314"/>
      <c r="AC103" s="314"/>
      <c r="AD103" s="314"/>
      <c r="AE103" s="314"/>
      <c r="AF103" s="314"/>
      <c r="AG103" s="314"/>
      <c r="AH103" s="314"/>
      <c r="AI103" s="314"/>
      <c r="AJ103" s="314"/>
      <c r="AK103" s="314"/>
      <c r="AL103" s="314"/>
      <c r="AM103" s="314"/>
      <c r="AN103" s="314"/>
      <c r="AO103" s="314"/>
      <c r="AP103" s="314"/>
      <c r="AQ103" s="314"/>
      <c r="AR103" s="314"/>
      <c r="AS103" s="314"/>
    </row>
    <row r="104" ht="14.25" customHeight="1">
      <c r="A104" s="838"/>
      <c r="B104" s="838"/>
      <c r="C104" s="853"/>
      <c r="D104" s="853"/>
      <c r="E104" s="853"/>
      <c r="F104" s="853"/>
      <c r="G104" s="829"/>
      <c r="H104" s="829"/>
      <c r="I104" s="829"/>
      <c r="J104" s="829"/>
      <c r="K104" s="829"/>
      <c r="L104" s="829"/>
      <c r="M104" s="846"/>
      <c r="N104" s="846"/>
      <c r="O104" s="846"/>
      <c r="P104" s="847"/>
      <c r="Q104" s="847"/>
      <c r="R104" s="847"/>
      <c r="S104" s="332"/>
      <c r="T104" s="332"/>
      <c r="U104" s="332"/>
      <c r="V104" s="332"/>
      <c r="W104" s="332"/>
      <c r="X104" s="332"/>
      <c r="Y104" s="332"/>
      <c r="Z104" s="332"/>
      <c r="AA104" s="332"/>
      <c r="AB104" s="332"/>
      <c r="AC104" s="332"/>
      <c r="AD104" s="332"/>
      <c r="AE104" s="332"/>
      <c r="AF104" s="332"/>
      <c r="AG104" s="332"/>
      <c r="AH104" s="332"/>
      <c r="AI104" s="332"/>
      <c r="AJ104" s="332"/>
      <c r="AK104" s="332"/>
      <c r="AL104" s="332"/>
      <c r="AM104" s="332"/>
      <c r="AN104" s="332"/>
      <c r="AO104" s="332"/>
      <c r="AP104" s="332"/>
      <c r="AQ104" s="332"/>
      <c r="AR104" s="332"/>
      <c r="AS104" s="332"/>
    </row>
    <row r="105" ht="14.25" customHeight="1">
      <c r="A105" s="840"/>
      <c r="B105" s="840"/>
      <c r="C105" s="854" t="s">
        <v>519</v>
      </c>
      <c r="G105" s="825"/>
      <c r="H105" s="825"/>
      <c r="I105" s="855"/>
      <c r="J105" s="825"/>
      <c r="K105" s="825"/>
      <c r="L105" s="825"/>
      <c r="M105" s="843"/>
      <c r="N105" s="843"/>
      <c r="O105" s="843"/>
      <c r="P105" s="844"/>
      <c r="Q105" s="844"/>
      <c r="R105" s="844"/>
      <c r="S105" s="314"/>
      <c r="T105" s="314"/>
      <c r="U105" s="314"/>
      <c r="V105" s="314"/>
      <c r="W105" s="314"/>
      <c r="X105" s="314"/>
      <c r="Y105" s="314"/>
      <c r="Z105" s="314"/>
      <c r="AA105" s="314"/>
      <c r="AB105" s="314"/>
      <c r="AC105" s="314"/>
      <c r="AD105" s="314"/>
      <c r="AE105" s="314"/>
      <c r="AF105" s="314"/>
      <c r="AG105" s="314"/>
      <c r="AH105" s="314"/>
      <c r="AI105" s="314"/>
      <c r="AJ105" s="314"/>
      <c r="AK105" s="314"/>
      <c r="AL105" s="314"/>
      <c r="AM105" s="314"/>
      <c r="AN105" s="314"/>
      <c r="AO105" s="314"/>
      <c r="AP105" s="314"/>
      <c r="AQ105" s="314"/>
      <c r="AR105" s="314"/>
      <c r="AS105" s="314"/>
    </row>
    <row r="106" ht="14.25" customHeight="1">
      <c r="A106" s="838"/>
      <c r="B106" s="818"/>
      <c r="C106" s="856" t="s">
        <v>520</v>
      </c>
      <c r="D106" s="857"/>
      <c r="E106" s="857"/>
      <c r="F106" s="857"/>
      <c r="G106" s="829"/>
      <c r="H106" s="829"/>
      <c r="I106" s="829"/>
      <c r="J106" s="829"/>
      <c r="K106" s="829"/>
      <c r="L106" s="829"/>
      <c r="M106" s="846"/>
      <c r="N106" s="846"/>
      <c r="O106" s="846"/>
      <c r="P106" s="847"/>
      <c r="Q106" s="847"/>
      <c r="R106" s="847"/>
      <c r="S106" s="332"/>
      <c r="T106" s="332"/>
      <c r="U106" s="332"/>
      <c r="V106" s="332"/>
      <c r="W106" s="332"/>
      <c r="X106" s="332"/>
      <c r="Y106" s="332"/>
      <c r="Z106" s="332"/>
      <c r="AA106" s="332"/>
      <c r="AB106" s="332"/>
      <c r="AC106" s="332"/>
      <c r="AD106" s="332"/>
      <c r="AE106" s="332"/>
      <c r="AF106" s="332"/>
      <c r="AG106" s="332"/>
      <c r="AH106" s="332"/>
      <c r="AI106" s="332"/>
      <c r="AJ106" s="332"/>
      <c r="AK106" s="332"/>
      <c r="AL106" s="332"/>
      <c r="AM106" s="332"/>
      <c r="AN106" s="332"/>
      <c r="AO106" s="332"/>
      <c r="AP106" s="332"/>
      <c r="AQ106" s="332"/>
      <c r="AR106" s="332"/>
      <c r="AS106" s="332"/>
    </row>
    <row r="107" ht="14.25" customHeight="1">
      <c r="A107" s="840"/>
      <c r="B107" s="822"/>
      <c r="C107" s="858" t="s">
        <v>521</v>
      </c>
      <c r="D107" s="461"/>
      <c r="E107" s="854"/>
      <c r="F107" s="854"/>
      <c r="G107" s="848"/>
      <c r="H107" s="848"/>
      <c r="I107" s="825"/>
      <c r="J107" s="825"/>
      <c r="K107" s="825"/>
      <c r="L107" s="825"/>
      <c r="M107" s="825"/>
      <c r="N107" s="825"/>
      <c r="O107" s="825"/>
      <c r="P107" s="824"/>
      <c r="Q107" s="824"/>
      <c r="R107" s="824"/>
      <c r="S107" s="314"/>
      <c r="T107" s="314"/>
      <c r="U107" s="314"/>
      <c r="V107" s="314"/>
      <c r="W107" s="314"/>
      <c r="X107" s="314"/>
      <c r="Y107" s="314"/>
      <c r="Z107" s="314"/>
      <c r="AA107" s="314"/>
      <c r="AB107" s="314"/>
      <c r="AC107" s="314"/>
      <c r="AD107" s="314"/>
      <c r="AE107" s="314"/>
      <c r="AF107" s="314"/>
      <c r="AG107" s="314"/>
      <c r="AH107" s="314"/>
      <c r="AI107" s="314"/>
      <c r="AJ107" s="314"/>
      <c r="AK107" s="314"/>
      <c r="AL107" s="314"/>
      <c r="AM107" s="314"/>
      <c r="AN107" s="314"/>
      <c r="AO107" s="314"/>
      <c r="AP107" s="314"/>
      <c r="AQ107" s="314"/>
      <c r="AR107" s="314"/>
      <c r="AS107" s="314"/>
    </row>
    <row r="108" ht="14.25" customHeight="1">
      <c r="A108" s="305"/>
      <c r="B108" s="351"/>
      <c r="C108" s="859" t="s">
        <v>522</v>
      </c>
      <c r="D108" s="555"/>
      <c r="E108" s="860"/>
      <c r="F108" s="860"/>
      <c r="G108" s="785"/>
      <c r="H108" s="785"/>
      <c r="I108" s="785"/>
      <c r="J108" s="785"/>
      <c r="K108" s="785"/>
      <c r="L108" s="785"/>
      <c r="M108" s="549"/>
      <c r="N108" s="549"/>
      <c r="O108" s="549"/>
      <c r="Q108" s="332"/>
      <c r="R108" s="332"/>
      <c r="S108" s="332"/>
      <c r="T108" s="332"/>
      <c r="U108" s="332"/>
      <c r="V108" s="332"/>
      <c r="W108" s="332"/>
      <c r="X108" s="332"/>
      <c r="Y108" s="332"/>
      <c r="Z108" s="332"/>
      <c r="AA108" s="332"/>
      <c r="AB108" s="332"/>
      <c r="AC108" s="332"/>
      <c r="AD108" s="332"/>
      <c r="AE108" s="332"/>
      <c r="AF108" s="332"/>
      <c r="AG108" s="332"/>
      <c r="AH108" s="332"/>
      <c r="AI108" s="332"/>
      <c r="AJ108" s="332"/>
      <c r="AK108" s="332"/>
      <c r="AL108" s="332"/>
      <c r="AM108" s="332"/>
      <c r="AN108" s="332"/>
      <c r="AO108" s="332"/>
      <c r="AP108" s="332"/>
      <c r="AQ108" s="332"/>
      <c r="AR108" s="332"/>
      <c r="AS108" s="332"/>
    </row>
    <row r="109" ht="14.25" customHeight="1">
      <c r="A109" s="312"/>
      <c r="B109" s="420"/>
      <c r="C109" s="420"/>
      <c r="D109" s="420"/>
      <c r="E109" s="420"/>
      <c r="F109" s="420"/>
      <c r="G109" s="420"/>
      <c r="H109" s="420"/>
      <c r="I109" s="420"/>
      <c r="J109" s="314"/>
      <c r="K109" s="424"/>
      <c r="L109" s="424"/>
      <c r="M109" s="424"/>
      <c r="N109" s="424"/>
      <c r="O109" s="424"/>
      <c r="P109" s="314"/>
      <c r="Q109" s="313"/>
      <c r="R109" s="314"/>
      <c r="S109" s="314"/>
      <c r="T109" s="314"/>
      <c r="U109" s="314"/>
      <c r="V109" s="314"/>
      <c r="W109" s="314"/>
      <c r="X109" s="314"/>
      <c r="Y109" s="314"/>
      <c r="Z109" s="314"/>
      <c r="AA109" s="314"/>
      <c r="AB109" s="314"/>
      <c r="AC109" s="314"/>
      <c r="AD109" s="314"/>
      <c r="AE109" s="314"/>
      <c r="AF109" s="314"/>
      <c r="AG109" s="314"/>
      <c r="AH109" s="314"/>
      <c r="AI109" s="314"/>
      <c r="AJ109" s="314"/>
      <c r="AK109" s="314"/>
      <c r="AL109" s="314"/>
      <c r="AM109" s="314"/>
      <c r="AN109" s="314"/>
      <c r="AO109" s="314"/>
      <c r="AP109" s="314"/>
      <c r="AQ109" s="314"/>
      <c r="AR109" s="314"/>
      <c r="AS109" s="314"/>
      <c r="AT109" s="314"/>
      <c r="AU109" s="314"/>
    </row>
    <row r="110" ht="14.25" customHeight="1">
      <c r="A110" s="342"/>
      <c r="B110" s="351"/>
      <c r="C110" s="788" t="s">
        <v>523</v>
      </c>
      <c r="D110" s="351"/>
      <c r="E110" s="351"/>
      <c r="F110" s="351"/>
      <c r="G110" s="351"/>
      <c r="H110" s="351"/>
      <c r="I110" s="351"/>
      <c r="J110" s="332"/>
      <c r="K110" s="419"/>
      <c r="L110" s="419"/>
      <c r="M110" s="419"/>
      <c r="N110" s="419"/>
      <c r="O110" s="419"/>
      <c r="P110" s="332"/>
      <c r="Q110" s="502"/>
      <c r="R110" s="332"/>
      <c r="S110" s="332"/>
      <c r="T110" s="332"/>
      <c r="U110" s="332"/>
      <c r="V110" s="332"/>
      <c r="W110" s="332"/>
      <c r="X110" s="332"/>
      <c r="Y110" s="332"/>
      <c r="Z110" s="332"/>
      <c r="AA110" s="332"/>
      <c r="AB110" s="332"/>
      <c r="AC110" s="332"/>
      <c r="AD110" s="332"/>
      <c r="AE110" s="332"/>
      <c r="AF110" s="332"/>
      <c r="AG110" s="332"/>
      <c r="AH110" s="332"/>
      <c r="AI110" s="332"/>
      <c r="AJ110" s="332"/>
      <c r="AK110" s="332"/>
      <c r="AL110" s="332"/>
      <c r="AM110" s="332"/>
      <c r="AN110" s="332"/>
      <c r="AO110" s="332"/>
      <c r="AP110" s="332"/>
      <c r="AQ110" s="332"/>
      <c r="AR110" s="332"/>
      <c r="AS110" s="332"/>
      <c r="AT110" s="332"/>
      <c r="AU110" s="332"/>
    </row>
    <row r="111" ht="14.25" customHeight="1">
      <c r="A111" s="312"/>
      <c r="B111" s="793" t="s">
        <v>524</v>
      </c>
      <c r="C111" s="793" t="s">
        <v>525</v>
      </c>
      <c r="D111" s="420"/>
      <c r="E111" s="420"/>
      <c r="F111" s="420"/>
      <c r="G111" s="420"/>
      <c r="H111" s="420"/>
      <c r="I111" s="420"/>
      <c r="J111" s="314"/>
      <c r="K111" s="424"/>
      <c r="L111" s="424"/>
      <c r="M111" s="424"/>
      <c r="N111" s="424"/>
      <c r="O111" s="424"/>
      <c r="P111" s="314"/>
      <c r="Q111" s="313"/>
      <c r="R111" s="314"/>
      <c r="S111" s="314"/>
      <c r="T111" s="314"/>
      <c r="U111" s="314"/>
      <c r="V111" s="314"/>
      <c r="W111" s="314"/>
      <c r="X111" s="314"/>
      <c r="Y111" s="314"/>
      <c r="Z111" s="314"/>
      <c r="AA111" s="314"/>
      <c r="AB111" s="314"/>
      <c r="AC111" s="314"/>
      <c r="AD111" s="314"/>
      <c r="AE111" s="314"/>
      <c r="AF111" s="314"/>
      <c r="AG111" s="314"/>
      <c r="AH111" s="314"/>
      <c r="AI111" s="314"/>
      <c r="AJ111" s="314"/>
      <c r="AK111" s="314"/>
      <c r="AL111" s="314"/>
      <c r="AM111" s="314"/>
      <c r="AN111" s="314"/>
      <c r="AO111" s="314"/>
      <c r="AP111" s="314"/>
      <c r="AQ111" s="314"/>
      <c r="AR111" s="314"/>
      <c r="AS111" s="314"/>
      <c r="AT111" s="314"/>
      <c r="AU111" s="314"/>
    </row>
    <row r="112" ht="14.25" customHeight="1">
      <c r="A112" s="290"/>
      <c r="B112" s="291"/>
      <c r="C112" s="319" t="s">
        <v>526</v>
      </c>
      <c r="N112" s="407"/>
      <c r="O112" s="407"/>
      <c r="P112" s="407"/>
      <c r="Q112" s="783"/>
      <c r="R112" s="293"/>
      <c r="S112" s="293"/>
      <c r="T112" s="293"/>
      <c r="U112" s="293"/>
      <c r="V112" s="293"/>
      <c r="W112" s="293"/>
      <c r="X112" s="293"/>
      <c r="Y112" s="293"/>
      <c r="Z112" s="293"/>
      <c r="AA112" s="293"/>
      <c r="AB112" s="293"/>
      <c r="AC112" s="293"/>
      <c r="AD112" s="293"/>
      <c r="AE112" s="293"/>
      <c r="AF112" s="293"/>
      <c r="AG112" s="293"/>
      <c r="AH112" s="293"/>
      <c r="AI112" s="293"/>
      <c r="AJ112" s="293"/>
      <c r="AK112" s="293"/>
      <c r="AL112" s="293"/>
      <c r="AM112" s="293"/>
      <c r="AN112" s="293"/>
      <c r="AO112" s="293"/>
      <c r="AP112" s="293"/>
      <c r="AQ112" s="293"/>
      <c r="AR112" s="293"/>
      <c r="AS112" s="293"/>
      <c r="AT112" s="293"/>
      <c r="AU112" s="293"/>
    </row>
    <row r="113" ht="14.25" customHeight="1">
      <c r="A113" s="507"/>
      <c r="B113" s="742"/>
      <c r="C113" s="743" t="s">
        <v>169</v>
      </c>
      <c r="D113" s="743"/>
      <c r="E113" s="744"/>
      <c r="F113" s="745"/>
      <c r="K113" s="328"/>
      <c r="L113" s="478"/>
      <c r="M113" s="478"/>
      <c r="N113" s="478"/>
      <c r="O113" s="328"/>
      <c r="P113" s="328"/>
      <c r="Q113" s="508"/>
      <c r="R113" s="328"/>
      <c r="S113" s="328"/>
      <c r="T113" s="328"/>
      <c r="U113" s="328"/>
      <c r="V113" s="328"/>
      <c r="W113" s="328"/>
      <c r="X113" s="328"/>
      <c r="Y113" s="328"/>
      <c r="Z113" s="328"/>
      <c r="AA113" s="328"/>
      <c r="AB113" s="328"/>
      <c r="AC113" s="328"/>
      <c r="AD113" s="328"/>
      <c r="AE113" s="328"/>
      <c r="AF113" s="328"/>
      <c r="AG113" s="328"/>
      <c r="AH113" s="328"/>
      <c r="AI113" s="328"/>
      <c r="AJ113" s="328"/>
      <c r="AK113" s="328"/>
      <c r="AL113" s="328"/>
      <c r="AM113" s="328"/>
      <c r="AN113" s="328"/>
      <c r="AO113" s="328"/>
      <c r="AP113" s="328"/>
      <c r="AQ113" s="328"/>
      <c r="AR113" s="328"/>
      <c r="AS113" s="328"/>
      <c r="AT113" s="328"/>
      <c r="AU113" s="328"/>
    </row>
    <row r="114" ht="14.25" customHeight="1">
      <c r="A114" s="305">
        <v>1.0</v>
      </c>
      <c r="B114" s="556"/>
      <c r="C114" s="861" t="s">
        <v>527</v>
      </c>
      <c r="D114" s="789"/>
      <c r="E114" s="862" t="s">
        <v>528</v>
      </c>
      <c r="H114" s="747"/>
      <c r="I114" s="747"/>
      <c r="J114" s="747"/>
      <c r="K114" s="747"/>
      <c r="L114" s="747"/>
      <c r="M114" s="748"/>
      <c r="N114" s="748"/>
      <c r="O114" s="748"/>
      <c r="P114" s="748"/>
      <c r="Q114" s="748"/>
      <c r="R114" s="748"/>
      <c r="S114" s="748"/>
      <c r="T114" s="748"/>
      <c r="U114" s="748"/>
      <c r="V114" s="748"/>
      <c r="W114" s="748"/>
      <c r="X114" s="748"/>
      <c r="Y114" s="748"/>
      <c r="Z114" s="748"/>
      <c r="AA114" s="748"/>
      <c r="AB114" s="748"/>
      <c r="AC114" s="748"/>
      <c r="AD114" s="748"/>
      <c r="AE114" s="748"/>
      <c r="AF114" s="748"/>
      <c r="AG114" s="748"/>
      <c r="AH114" s="748"/>
      <c r="AI114" s="748"/>
      <c r="AJ114" s="748"/>
      <c r="AK114" s="748"/>
      <c r="AL114" s="748"/>
      <c r="AM114" s="748"/>
      <c r="AN114" s="748"/>
      <c r="AO114" s="748"/>
      <c r="AP114" s="748"/>
      <c r="AQ114" s="748"/>
      <c r="AR114" s="748"/>
      <c r="AS114" s="748"/>
      <c r="AT114" s="748"/>
      <c r="AU114" s="748"/>
    </row>
    <row r="115" ht="14.25" customHeight="1">
      <c r="A115" s="312">
        <f t="shared" ref="A115:A117" si="13">A114+1</f>
        <v>2</v>
      </c>
      <c r="B115" s="749"/>
      <c r="C115" s="863" t="s">
        <v>494</v>
      </c>
      <c r="D115" s="785"/>
      <c r="E115" s="862" t="s">
        <v>528</v>
      </c>
      <c r="H115" s="751"/>
      <c r="I115" s="751"/>
      <c r="J115" s="751"/>
      <c r="K115" s="751"/>
      <c r="L115" s="751"/>
      <c r="M115" s="751"/>
      <c r="N115" s="751"/>
      <c r="O115" s="751"/>
      <c r="P115" s="751"/>
      <c r="Q115" s="751"/>
      <c r="R115" s="751"/>
      <c r="S115" s="751"/>
      <c r="T115" s="751"/>
      <c r="U115" s="751"/>
      <c r="V115" s="751"/>
      <c r="W115" s="751"/>
      <c r="X115" s="751"/>
      <c r="Y115" s="751"/>
      <c r="Z115" s="751"/>
      <c r="AA115" s="751"/>
      <c r="AB115" s="751"/>
      <c r="AC115" s="751"/>
      <c r="AD115" s="751"/>
      <c r="AE115" s="751"/>
      <c r="AF115" s="751"/>
      <c r="AG115" s="751"/>
      <c r="AH115" s="751"/>
      <c r="AI115" s="751"/>
      <c r="AJ115" s="751"/>
      <c r="AK115" s="751"/>
      <c r="AL115" s="751"/>
      <c r="AM115" s="751"/>
      <c r="AN115" s="751"/>
    </row>
    <row r="116" ht="14.25" customHeight="1">
      <c r="A116" s="342">
        <f t="shared" si="13"/>
        <v>3</v>
      </c>
      <c r="B116" s="306"/>
      <c r="C116" s="861" t="s">
        <v>82</v>
      </c>
      <c r="D116" s="785"/>
      <c r="E116" s="864" t="s">
        <v>529</v>
      </c>
      <c r="F116" s="417"/>
      <c r="G116" s="417"/>
      <c r="H116" s="417"/>
      <c r="I116" s="417"/>
      <c r="J116" s="417"/>
      <c r="K116" s="417"/>
      <c r="L116" s="417"/>
      <c r="M116" s="417"/>
      <c r="N116" s="417"/>
      <c r="O116" s="417"/>
      <c r="P116" s="417"/>
      <c r="Q116" s="417"/>
      <c r="R116" s="417"/>
      <c r="S116" s="417"/>
      <c r="T116" s="417"/>
      <c r="U116" s="417"/>
      <c r="V116" s="417"/>
      <c r="W116" s="417"/>
      <c r="X116" s="417"/>
      <c r="Y116" s="417"/>
      <c r="Z116" s="417"/>
      <c r="AA116" s="417"/>
      <c r="AB116" s="417"/>
      <c r="AC116" s="417"/>
      <c r="AD116" s="417"/>
      <c r="AE116" s="417"/>
      <c r="AF116" s="417"/>
      <c r="AG116" s="417"/>
      <c r="AH116" s="417"/>
      <c r="AI116" s="417"/>
      <c r="AJ116" s="417"/>
      <c r="AK116" s="417"/>
      <c r="AL116" s="417"/>
      <c r="AM116" s="417"/>
      <c r="AN116" s="417"/>
    </row>
    <row r="117" ht="14.25" customHeight="1">
      <c r="A117" s="312">
        <f t="shared" si="13"/>
        <v>4</v>
      </c>
      <c r="B117" s="360"/>
      <c r="C117" s="863" t="s">
        <v>493</v>
      </c>
      <c r="D117" s="527"/>
      <c r="E117" s="865" t="s">
        <v>530</v>
      </c>
      <c r="F117" s="588"/>
      <c r="G117" s="588"/>
      <c r="H117" s="588"/>
      <c r="I117" s="588"/>
      <c r="J117" s="588"/>
      <c r="K117" s="588"/>
      <c r="L117" s="588"/>
      <c r="M117" s="588"/>
      <c r="N117" s="588"/>
      <c r="O117" s="588"/>
      <c r="P117" s="588"/>
      <c r="Q117" s="588"/>
      <c r="R117" s="588"/>
      <c r="S117" s="588"/>
      <c r="T117" s="588"/>
      <c r="U117" s="588"/>
      <c r="V117" s="588"/>
      <c r="W117" s="588"/>
      <c r="X117" s="588"/>
      <c r="Y117" s="588"/>
      <c r="Z117" s="588"/>
      <c r="AA117" s="588"/>
      <c r="AB117" s="588"/>
      <c r="AC117" s="588"/>
      <c r="AD117" s="588"/>
      <c r="AE117" s="588"/>
      <c r="AF117" s="588"/>
      <c r="AG117" s="588"/>
      <c r="AH117" s="588"/>
      <c r="AI117" s="588"/>
      <c r="AJ117" s="588"/>
      <c r="AK117" s="588"/>
      <c r="AL117" s="588"/>
      <c r="AM117" s="588"/>
      <c r="AN117" s="588"/>
    </row>
    <row r="118" ht="14.25" customHeight="1">
      <c r="A118" s="342"/>
      <c r="B118" s="306"/>
      <c r="C118" s="556"/>
      <c r="E118" s="746"/>
      <c r="F118" s="417"/>
      <c r="M118" s="417"/>
      <c r="N118" s="417"/>
      <c r="O118" s="417"/>
      <c r="P118" s="417"/>
      <c r="Q118" s="417"/>
      <c r="R118" s="417"/>
      <c r="S118" s="417"/>
      <c r="T118" s="417"/>
      <c r="U118" s="417"/>
      <c r="V118" s="417"/>
      <c r="W118" s="417"/>
      <c r="X118" s="417"/>
      <c r="Y118" s="417"/>
      <c r="Z118" s="417"/>
      <c r="AA118" s="417"/>
      <c r="AB118" s="417"/>
      <c r="AC118" s="417"/>
      <c r="AD118" s="417"/>
      <c r="AE118" s="417"/>
      <c r="AF118" s="417"/>
      <c r="AG118" s="417"/>
      <c r="AH118" s="417"/>
      <c r="AI118" s="417"/>
      <c r="AJ118" s="417"/>
      <c r="AK118" s="417"/>
      <c r="AL118" s="417"/>
      <c r="AM118" s="417"/>
      <c r="AN118" s="417"/>
      <c r="AO118" s="417"/>
      <c r="AP118" s="417"/>
      <c r="AQ118" s="417"/>
      <c r="AR118" s="417"/>
      <c r="AS118" s="417"/>
      <c r="AT118" s="417"/>
      <c r="AU118" s="417"/>
    </row>
    <row r="119" ht="14.25" customHeight="1">
      <c r="A119" s="312"/>
      <c r="B119" s="360"/>
      <c r="C119" s="481"/>
      <c r="D119" s="337"/>
      <c r="E119" s="752"/>
      <c r="F119" s="751"/>
      <c r="G119" s="751"/>
      <c r="H119" s="751"/>
      <c r="I119" s="751"/>
      <c r="J119" s="751"/>
      <c r="K119" s="751"/>
      <c r="L119" s="751"/>
      <c r="M119" s="424"/>
      <c r="N119" s="424"/>
      <c r="O119" s="314"/>
      <c r="P119" s="314"/>
      <c r="Q119" s="313"/>
      <c r="R119" s="314"/>
      <c r="S119" s="314"/>
      <c r="T119" s="314"/>
      <c r="U119" s="314"/>
      <c r="V119" s="314"/>
      <c r="W119" s="314"/>
      <c r="X119" s="314"/>
      <c r="Y119" s="314"/>
      <c r="Z119" s="314"/>
      <c r="AA119" s="314"/>
      <c r="AB119" s="314"/>
      <c r="AC119" s="314"/>
      <c r="AD119" s="314"/>
      <c r="AE119" s="314"/>
      <c r="AF119" s="314"/>
      <c r="AG119" s="314"/>
      <c r="AH119" s="314"/>
      <c r="AI119" s="314"/>
      <c r="AJ119" s="314"/>
      <c r="AK119" s="314"/>
      <c r="AL119" s="314"/>
      <c r="AM119" s="314"/>
      <c r="AN119" s="314"/>
      <c r="AO119" s="314"/>
      <c r="AP119" s="314"/>
      <c r="AQ119" s="314"/>
      <c r="AR119" s="314"/>
      <c r="AS119" s="314"/>
      <c r="AT119" s="314"/>
      <c r="AU119" s="314"/>
    </row>
    <row r="120" ht="15.0" customHeight="1">
      <c r="A120" s="290"/>
      <c r="B120" s="291"/>
      <c r="C120" s="319" t="s">
        <v>400</v>
      </c>
      <c r="D120" s="293"/>
      <c r="E120" s="293"/>
      <c r="F120" s="293"/>
      <c r="G120" s="406"/>
      <c r="H120" s="407"/>
      <c r="I120" s="407"/>
      <c r="J120" s="407"/>
      <c r="K120" s="407"/>
      <c r="L120" s="407"/>
      <c r="M120" s="407"/>
      <c r="N120" s="407"/>
      <c r="O120" s="407"/>
      <c r="P120" s="407"/>
      <c r="Q120" s="866"/>
      <c r="R120" s="293"/>
      <c r="S120" s="293"/>
      <c r="T120" s="293"/>
      <c r="U120" s="293"/>
      <c r="V120" s="293"/>
      <c r="W120" s="293"/>
      <c r="X120" s="293"/>
      <c r="Y120" s="293"/>
      <c r="Z120" s="293"/>
      <c r="AA120" s="293"/>
      <c r="AB120" s="293"/>
      <c r="AC120" s="293"/>
      <c r="AD120" s="293"/>
      <c r="AE120" s="293"/>
      <c r="AF120" s="293"/>
      <c r="AG120" s="293"/>
      <c r="AH120" s="293"/>
      <c r="AI120" s="293"/>
      <c r="AJ120" s="293"/>
      <c r="AK120" s="293"/>
      <c r="AL120" s="293"/>
      <c r="AM120" s="293"/>
      <c r="AN120" s="293"/>
      <c r="AO120" s="293"/>
      <c r="AP120" s="293"/>
      <c r="AQ120" s="293"/>
      <c r="AR120" s="293"/>
      <c r="AS120" s="293"/>
      <c r="AT120" s="293"/>
      <c r="AU120" s="293"/>
    </row>
    <row r="121" ht="14.25" customHeight="1">
      <c r="A121" s="320"/>
      <c r="B121" s="321"/>
      <c r="C121" s="639"/>
      <c r="D121" s="640"/>
      <c r="E121" s="640"/>
      <c r="F121" s="640"/>
      <c r="G121" s="641"/>
      <c r="H121" s="410"/>
      <c r="I121" s="410"/>
      <c r="J121" s="410"/>
      <c r="K121" s="410"/>
      <c r="L121" s="410"/>
      <c r="M121" s="410"/>
      <c r="N121" s="410"/>
      <c r="O121" s="410"/>
      <c r="P121" s="410"/>
      <c r="Q121" s="867"/>
      <c r="R121" s="640"/>
      <c r="S121" s="640"/>
      <c r="T121" s="640"/>
      <c r="U121" s="640"/>
      <c r="V121" s="640"/>
      <c r="W121" s="640"/>
      <c r="X121" s="640"/>
      <c r="Y121" s="640"/>
      <c r="Z121" s="640"/>
      <c r="AA121" s="640"/>
      <c r="AB121" s="640"/>
      <c r="AC121" s="640"/>
      <c r="AD121" s="640"/>
      <c r="AE121" s="640"/>
      <c r="AF121" s="640"/>
      <c r="AG121" s="640"/>
      <c r="AH121" s="640"/>
      <c r="AI121" s="640"/>
      <c r="AJ121" s="640"/>
      <c r="AK121" s="640"/>
      <c r="AL121" s="640"/>
      <c r="AM121" s="640"/>
      <c r="AN121" s="640"/>
      <c r="AO121" s="640"/>
      <c r="AP121" s="640"/>
      <c r="AQ121" s="640"/>
      <c r="AR121" s="640"/>
      <c r="AS121" s="640"/>
      <c r="AT121" s="640"/>
      <c r="AU121" s="640"/>
    </row>
    <row r="122" ht="14.25" customHeight="1">
      <c r="A122" s="642"/>
      <c r="B122" s="618"/>
      <c r="C122" s="614" t="s">
        <v>405</v>
      </c>
      <c r="D122" s="643"/>
      <c r="E122" s="643"/>
      <c r="F122" s="615"/>
      <c r="G122" s="643"/>
      <c r="H122" s="643"/>
      <c r="I122" s="643"/>
      <c r="J122" s="643"/>
      <c r="K122" s="643"/>
      <c r="L122" s="643"/>
      <c r="M122" s="644"/>
      <c r="N122" s="644"/>
      <c r="O122" s="644"/>
      <c r="P122" s="644"/>
      <c r="Q122" s="644"/>
      <c r="R122" s="644"/>
      <c r="S122" s="644"/>
      <c r="T122" s="644"/>
      <c r="U122" s="644"/>
      <c r="V122" s="644"/>
      <c r="W122" s="644"/>
      <c r="X122" s="644"/>
      <c r="Y122" s="644"/>
      <c r="Z122" s="644"/>
      <c r="AA122" s="644"/>
      <c r="AB122" s="644"/>
      <c r="AC122" s="644"/>
      <c r="AD122" s="644"/>
      <c r="AE122" s="644"/>
      <c r="AF122" s="644"/>
      <c r="AG122" s="644"/>
      <c r="AH122" s="644"/>
      <c r="AI122" s="644"/>
      <c r="AJ122" s="644"/>
      <c r="AK122" s="644"/>
      <c r="AL122" s="644"/>
      <c r="AM122" s="644"/>
      <c r="AN122" s="644"/>
      <c r="AO122" s="644"/>
      <c r="AP122" s="644"/>
      <c r="AQ122" s="644"/>
      <c r="AR122" s="644"/>
      <c r="AS122" s="644"/>
      <c r="AT122" s="644"/>
      <c r="AU122" s="644"/>
    </row>
    <row r="123" ht="14.25" customHeight="1">
      <c r="A123" s="342"/>
      <c r="B123" s="619"/>
      <c r="C123" s="645" t="s">
        <v>167</v>
      </c>
      <c r="D123" s="645" t="s">
        <v>168</v>
      </c>
      <c r="E123" s="645" t="s">
        <v>169</v>
      </c>
      <c r="F123" s="620" t="s">
        <v>406</v>
      </c>
      <c r="G123" s="645" t="s">
        <v>170</v>
      </c>
      <c r="H123" s="646" t="s">
        <v>171</v>
      </c>
      <c r="I123" s="647"/>
      <c r="J123" s="647"/>
      <c r="K123" s="647"/>
      <c r="L123" s="648"/>
      <c r="M123" s="649" t="s">
        <v>172</v>
      </c>
      <c r="N123" s="647"/>
      <c r="O123" s="647"/>
      <c r="P123" s="647"/>
      <c r="Q123" s="647"/>
      <c r="R123" s="647"/>
      <c r="S123" s="647"/>
      <c r="T123" s="647"/>
      <c r="U123" s="647"/>
      <c r="V123" s="647"/>
      <c r="W123" s="647"/>
      <c r="X123" s="647"/>
      <c r="Y123" s="647"/>
      <c r="Z123" s="647"/>
      <c r="AA123" s="647"/>
      <c r="AB123" s="647"/>
      <c r="AC123" s="648"/>
      <c r="AD123" s="342"/>
      <c r="AE123" s="619"/>
      <c r="AF123" s="619"/>
      <c r="AG123" s="619"/>
      <c r="AH123" s="619"/>
      <c r="AI123" s="619"/>
      <c r="AJ123" s="619"/>
      <c r="AK123" s="619"/>
      <c r="AL123" s="619"/>
      <c r="AM123" s="619"/>
      <c r="AN123" s="619"/>
      <c r="AO123" s="619"/>
      <c r="AP123" s="619"/>
      <c r="AQ123" s="619"/>
      <c r="AR123" s="619"/>
      <c r="AS123" s="619"/>
      <c r="AT123" s="619"/>
      <c r="AU123" s="619"/>
    </row>
    <row r="124" ht="14.25" customHeight="1">
      <c r="A124" s="359">
        <v>1.0</v>
      </c>
      <c r="B124" s="314"/>
      <c r="C124" s="650" t="s">
        <v>181</v>
      </c>
      <c r="D124" s="636">
        <v>44810.0</v>
      </c>
      <c r="E124" s="650" t="s">
        <v>82</v>
      </c>
      <c r="F124" s="650" t="s">
        <v>407</v>
      </c>
      <c r="G124" s="651" t="s">
        <v>408</v>
      </c>
      <c r="H124" s="652" t="s">
        <v>179</v>
      </c>
      <c r="I124" s="653"/>
      <c r="J124" s="653"/>
      <c r="K124" s="653"/>
      <c r="L124" s="654"/>
      <c r="M124" s="635"/>
      <c r="N124" s="653"/>
      <c r="O124" s="653"/>
      <c r="P124" s="653"/>
      <c r="Q124" s="653"/>
      <c r="R124" s="653"/>
      <c r="S124" s="653"/>
      <c r="T124" s="653"/>
      <c r="U124" s="653"/>
      <c r="V124" s="653"/>
      <c r="W124" s="653"/>
      <c r="X124" s="653"/>
      <c r="Y124" s="653"/>
      <c r="Z124" s="653"/>
      <c r="AA124" s="653"/>
      <c r="AB124" s="653"/>
      <c r="AC124" s="654"/>
      <c r="AD124" s="868"/>
      <c r="AE124" s="868"/>
      <c r="AF124" s="868"/>
      <c r="AG124" s="868"/>
      <c r="AH124" s="868"/>
      <c r="AI124" s="868"/>
      <c r="AJ124" s="868"/>
      <c r="AK124" s="868"/>
      <c r="AL124" s="868"/>
      <c r="AM124" s="868"/>
      <c r="AN124" s="868"/>
      <c r="AO124" s="868"/>
      <c r="AP124" s="868"/>
      <c r="AQ124" s="868"/>
      <c r="AR124" s="868"/>
      <c r="AS124" s="868"/>
      <c r="AT124" s="868"/>
      <c r="AU124" s="868"/>
    </row>
    <row r="125" ht="14.25" customHeight="1">
      <c r="A125" s="342">
        <f t="shared" ref="A125:A127" si="14">A124+1</f>
        <v>2</v>
      </c>
      <c r="B125" s="332"/>
      <c r="C125" s="659" t="s">
        <v>183</v>
      </c>
      <c r="D125" s="633">
        <v>44810.0</v>
      </c>
      <c r="E125" s="659" t="s">
        <v>493</v>
      </c>
      <c r="F125" s="659" t="s">
        <v>407</v>
      </c>
      <c r="G125" s="660" t="s">
        <v>408</v>
      </c>
      <c r="H125" s="661" t="s">
        <v>179</v>
      </c>
      <c r="I125" s="662"/>
      <c r="J125" s="662"/>
      <c r="K125" s="662"/>
      <c r="L125" s="663"/>
      <c r="M125" s="632"/>
      <c r="N125" s="662"/>
      <c r="O125" s="662"/>
      <c r="P125" s="662"/>
      <c r="Q125" s="662"/>
      <c r="R125" s="662"/>
      <c r="S125" s="662"/>
      <c r="T125" s="662"/>
      <c r="U125" s="662"/>
      <c r="V125" s="662"/>
      <c r="W125" s="662"/>
      <c r="X125" s="662"/>
      <c r="Y125" s="662"/>
      <c r="Z125" s="662"/>
      <c r="AA125" s="662"/>
      <c r="AB125" s="662"/>
      <c r="AC125" s="663"/>
      <c r="AD125" s="869"/>
      <c r="AE125" s="869"/>
      <c r="AF125" s="869"/>
      <c r="AG125" s="869"/>
      <c r="AH125" s="869"/>
      <c r="AI125" s="869"/>
      <c r="AJ125" s="869"/>
      <c r="AK125" s="869"/>
      <c r="AL125" s="869"/>
      <c r="AM125" s="869"/>
      <c r="AN125" s="869"/>
      <c r="AO125" s="869"/>
      <c r="AP125" s="869"/>
      <c r="AQ125" s="869"/>
      <c r="AR125" s="869"/>
      <c r="AS125" s="869"/>
      <c r="AT125" s="869"/>
      <c r="AU125" s="869"/>
    </row>
    <row r="126" ht="14.25" customHeight="1">
      <c r="A126" s="312">
        <f t="shared" si="14"/>
        <v>3</v>
      </c>
      <c r="B126" s="314"/>
      <c r="C126" s="650" t="s">
        <v>411</v>
      </c>
      <c r="D126" s="636">
        <v>44810.0</v>
      </c>
      <c r="E126" s="650" t="s">
        <v>527</v>
      </c>
      <c r="F126" s="650" t="s">
        <v>407</v>
      </c>
      <c r="G126" s="651" t="s">
        <v>408</v>
      </c>
      <c r="H126" s="652" t="s">
        <v>179</v>
      </c>
      <c r="I126" s="653"/>
      <c r="J126" s="653"/>
      <c r="K126" s="653"/>
      <c r="L126" s="654"/>
      <c r="M126" s="635"/>
      <c r="N126" s="653"/>
      <c r="O126" s="653"/>
      <c r="P126" s="653"/>
      <c r="Q126" s="653"/>
      <c r="R126" s="653"/>
      <c r="S126" s="653"/>
      <c r="T126" s="653"/>
      <c r="U126" s="653"/>
      <c r="V126" s="653"/>
      <c r="W126" s="653"/>
      <c r="X126" s="653"/>
      <c r="Y126" s="653"/>
      <c r="Z126" s="653"/>
      <c r="AA126" s="653"/>
      <c r="AB126" s="653"/>
      <c r="AC126" s="654"/>
      <c r="AD126" s="868"/>
      <c r="AE126" s="868"/>
      <c r="AF126" s="868"/>
      <c r="AG126" s="868"/>
      <c r="AH126" s="868"/>
      <c r="AI126" s="868"/>
      <c r="AJ126" s="868"/>
      <c r="AK126" s="868"/>
      <c r="AL126" s="868"/>
      <c r="AM126" s="868"/>
      <c r="AN126" s="868"/>
      <c r="AO126" s="868"/>
      <c r="AP126" s="868"/>
      <c r="AQ126" s="868"/>
      <c r="AR126" s="868"/>
      <c r="AS126" s="868"/>
      <c r="AT126" s="868"/>
      <c r="AU126" s="868"/>
    </row>
    <row r="127" ht="14.25" customHeight="1">
      <c r="A127" s="342">
        <f t="shared" si="14"/>
        <v>4</v>
      </c>
      <c r="B127" s="332"/>
      <c r="C127" s="659" t="s">
        <v>472</v>
      </c>
      <c r="D127" s="633">
        <v>44820.0</v>
      </c>
      <c r="E127" s="659" t="s">
        <v>82</v>
      </c>
      <c r="F127" s="659" t="s">
        <v>407</v>
      </c>
      <c r="G127" s="660" t="s">
        <v>531</v>
      </c>
      <c r="H127" s="661" t="s">
        <v>532</v>
      </c>
      <c r="I127" s="662"/>
      <c r="J127" s="662"/>
      <c r="K127" s="662"/>
      <c r="L127" s="663"/>
      <c r="M127" s="661" t="s">
        <v>533</v>
      </c>
      <c r="N127" s="662"/>
      <c r="O127" s="662"/>
      <c r="P127" s="662"/>
      <c r="Q127" s="662"/>
      <c r="R127" s="662"/>
      <c r="S127" s="662"/>
      <c r="T127" s="662"/>
      <c r="U127" s="662"/>
      <c r="V127" s="662"/>
      <c r="W127" s="662"/>
      <c r="X127" s="662"/>
      <c r="Y127" s="662"/>
      <c r="Z127" s="662"/>
      <c r="AA127" s="662"/>
      <c r="AB127" s="662"/>
      <c r="AC127" s="663"/>
      <c r="AD127" s="869"/>
      <c r="AE127" s="869"/>
      <c r="AF127" s="869"/>
      <c r="AG127" s="869"/>
      <c r="AH127" s="869"/>
      <c r="AI127" s="869"/>
      <c r="AJ127" s="869"/>
      <c r="AK127" s="869"/>
      <c r="AL127" s="869"/>
      <c r="AM127" s="869"/>
      <c r="AN127" s="869"/>
      <c r="AO127" s="869"/>
      <c r="AP127" s="869"/>
      <c r="AQ127" s="869"/>
      <c r="AR127" s="869"/>
      <c r="AS127" s="869"/>
      <c r="AT127" s="869"/>
      <c r="AU127" s="869"/>
    </row>
    <row r="128" ht="14.25" customHeight="1">
      <c r="A128" s="312"/>
      <c r="B128" s="314"/>
      <c r="C128" s="650" t="s">
        <v>473</v>
      </c>
      <c r="D128" s="636">
        <v>44820.0</v>
      </c>
      <c r="E128" s="650" t="s">
        <v>493</v>
      </c>
      <c r="F128" s="650" t="s">
        <v>407</v>
      </c>
      <c r="G128" s="651" t="s">
        <v>531</v>
      </c>
      <c r="H128" s="652" t="s">
        <v>532</v>
      </c>
      <c r="I128" s="653"/>
      <c r="J128" s="653"/>
      <c r="K128" s="653"/>
      <c r="L128" s="654"/>
      <c r="M128" s="652" t="s">
        <v>533</v>
      </c>
      <c r="N128" s="870"/>
      <c r="O128" s="870"/>
      <c r="P128" s="870"/>
      <c r="Q128" s="870"/>
      <c r="R128" s="870"/>
      <c r="S128" s="870"/>
      <c r="T128" s="870"/>
      <c r="U128" s="870"/>
      <c r="V128" s="870"/>
      <c r="W128" s="870"/>
      <c r="X128" s="870"/>
      <c r="Y128" s="870"/>
      <c r="Z128" s="870"/>
      <c r="AA128" s="870"/>
      <c r="AB128" s="870"/>
      <c r="AC128" s="871"/>
      <c r="AD128" s="868"/>
      <c r="AE128" s="868"/>
      <c r="AF128" s="868"/>
      <c r="AG128" s="868"/>
      <c r="AH128" s="868"/>
      <c r="AI128" s="868"/>
      <c r="AJ128" s="868"/>
      <c r="AK128" s="868"/>
      <c r="AL128" s="868"/>
      <c r="AM128" s="868"/>
      <c r="AN128" s="868"/>
      <c r="AO128" s="868"/>
      <c r="AP128" s="868"/>
      <c r="AQ128" s="868"/>
      <c r="AR128" s="868"/>
      <c r="AS128" s="868"/>
      <c r="AT128" s="868"/>
      <c r="AU128" s="868"/>
    </row>
    <row r="129" ht="14.25" customHeight="1">
      <c r="A129" s="670"/>
      <c r="B129" s="671"/>
      <c r="C129" s="671"/>
      <c r="D129" s="671"/>
      <c r="E129" s="671"/>
      <c r="F129" s="671"/>
      <c r="G129" s="671"/>
      <c r="H129" s="671"/>
      <c r="I129" s="671"/>
      <c r="J129" s="671"/>
      <c r="K129" s="671"/>
      <c r="L129" s="671"/>
      <c r="M129" s="671"/>
      <c r="N129" s="671"/>
      <c r="O129" s="671"/>
      <c r="P129" s="671"/>
      <c r="Q129" s="872"/>
      <c r="R129" s="671"/>
      <c r="S129" s="671"/>
      <c r="T129" s="671"/>
      <c r="U129" s="671"/>
      <c r="V129" s="671"/>
      <c r="W129" s="671"/>
      <c r="X129" s="671"/>
      <c r="Y129" s="671"/>
      <c r="Z129" s="671"/>
      <c r="AA129" s="671"/>
      <c r="AB129" s="671"/>
      <c r="AC129" s="671"/>
      <c r="AD129" s="671"/>
      <c r="AE129" s="671"/>
      <c r="AF129" s="671"/>
      <c r="AG129" s="671"/>
      <c r="AH129" s="671"/>
      <c r="AI129" s="671"/>
      <c r="AJ129" s="671"/>
      <c r="AK129" s="671"/>
      <c r="AL129" s="671"/>
      <c r="AM129" s="671"/>
      <c r="AN129" s="671"/>
      <c r="AO129" s="671"/>
      <c r="AP129" s="671"/>
      <c r="AQ129" s="671"/>
      <c r="AR129" s="671"/>
      <c r="AS129" s="671"/>
      <c r="AT129" s="671"/>
      <c r="AU129" s="671"/>
    </row>
    <row r="130" ht="14.25" customHeight="1">
      <c r="A130" s="408"/>
      <c r="B130" s="409"/>
      <c r="C130" s="409"/>
      <c r="D130" s="409"/>
      <c r="E130" s="409"/>
      <c r="F130" s="409"/>
      <c r="G130" s="409"/>
      <c r="H130" s="409"/>
      <c r="I130" s="409"/>
      <c r="J130" s="409"/>
      <c r="K130" s="409"/>
      <c r="L130" s="409"/>
      <c r="M130" s="409"/>
      <c r="N130" s="409"/>
      <c r="O130" s="409"/>
      <c r="P130" s="409"/>
      <c r="Q130" s="240"/>
      <c r="R130" s="409"/>
      <c r="S130" s="409"/>
      <c r="T130" s="409"/>
      <c r="U130" s="409"/>
      <c r="V130" s="409"/>
      <c r="W130" s="409"/>
      <c r="X130" s="409"/>
      <c r="Y130" s="409"/>
      <c r="Z130" s="409"/>
      <c r="AA130" s="409"/>
      <c r="AB130" s="409"/>
      <c r="AC130" s="409"/>
      <c r="AD130" s="409"/>
      <c r="AE130" s="409"/>
      <c r="AF130" s="409"/>
      <c r="AG130" s="409"/>
      <c r="AH130" s="409"/>
      <c r="AI130" s="409"/>
      <c r="AJ130" s="409"/>
      <c r="AK130" s="409"/>
      <c r="AL130" s="409"/>
      <c r="AM130" s="409"/>
      <c r="AN130" s="409"/>
      <c r="AO130" s="409"/>
      <c r="AP130" s="409"/>
      <c r="AQ130" s="409"/>
      <c r="AR130" s="409"/>
      <c r="AS130" s="409"/>
      <c r="AT130" s="409"/>
      <c r="AU130" s="409"/>
    </row>
    <row r="131" ht="14.25" customHeight="1">
      <c r="A131" s="319"/>
      <c r="B131" s="291"/>
      <c r="C131" s="319" t="s">
        <v>412</v>
      </c>
      <c r="D131" s="293"/>
      <c r="E131" s="293"/>
      <c r="F131" s="293"/>
      <c r="G131" s="406"/>
      <c r="H131" s="407"/>
      <c r="I131" s="407"/>
      <c r="J131" s="407"/>
      <c r="K131" s="407"/>
      <c r="L131" s="407"/>
      <c r="M131" s="407"/>
      <c r="N131" s="407"/>
      <c r="O131" s="407"/>
      <c r="P131" s="407"/>
      <c r="Q131" s="866"/>
      <c r="R131" s="293"/>
      <c r="S131" s="293"/>
      <c r="T131" s="293"/>
      <c r="U131" s="293"/>
      <c r="V131" s="293"/>
      <c r="W131" s="293"/>
      <c r="X131" s="293"/>
      <c r="Y131" s="293"/>
      <c r="Z131" s="293"/>
      <c r="AA131" s="293"/>
      <c r="AB131" s="293"/>
      <c r="AC131" s="293"/>
      <c r="AD131" s="293"/>
      <c r="AE131" s="293"/>
      <c r="AF131" s="293"/>
      <c r="AG131" s="293"/>
      <c r="AH131" s="293"/>
      <c r="AI131" s="293"/>
      <c r="AJ131" s="293"/>
      <c r="AK131" s="293"/>
      <c r="AL131" s="293"/>
      <c r="AM131" s="293"/>
      <c r="AN131" s="293"/>
      <c r="AO131" s="293"/>
      <c r="AP131" s="293"/>
      <c r="AQ131" s="293"/>
      <c r="AR131" s="293"/>
      <c r="AS131" s="293"/>
      <c r="AT131" s="293"/>
      <c r="AU131" s="293"/>
    </row>
    <row r="132" ht="14.25" customHeight="1">
      <c r="A132" s="408"/>
      <c r="B132" s="409"/>
      <c r="C132" s="409"/>
      <c r="D132" s="409"/>
      <c r="E132" s="409"/>
      <c r="F132" s="409"/>
      <c r="G132" s="409"/>
      <c r="H132" s="409"/>
      <c r="I132" s="409"/>
      <c r="J132" s="409"/>
      <c r="K132" s="409"/>
      <c r="L132" s="409"/>
      <c r="M132" s="409"/>
      <c r="N132" s="409"/>
      <c r="O132" s="409"/>
      <c r="P132" s="409"/>
      <c r="Q132" s="240"/>
      <c r="R132" s="409"/>
      <c r="S132" s="409"/>
      <c r="T132" s="409"/>
      <c r="U132" s="409"/>
      <c r="V132" s="409"/>
      <c r="W132" s="409"/>
      <c r="X132" s="409"/>
      <c r="Y132" s="409"/>
      <c r="Z132" s="409"/>
      <c r="AA132" s="409"/>
      <c r="AB132" s="409"/>
      <c r="AC132" s="409"/>
      <c r="AD132" s="409"/>
      <c r="AE132" s="409"/>
      <c r="AF132" s="409"/>
      <c r="AG132" s="409"/>
      <c r="AH132" s="409"/>
      <c r="AI132" s="409"/>
      <c r="AJ132" s="409"/>
      <c r="AK132" s="409"/>
      <c r="AL132" s="409"/>
      <c r="AM132" s="409"/>
      <c r="AN132" s="409"/>
      <c r="AO132" s="409"/>
      <c r="AP132" s="409"/>
      <c r="AQ132" s="409"/>
      <c r="AR132" s="409"/>
      <c r="AS132" s="409"/>
      <c r="AT132" s="409"/>
      <c r="AU132" s="409"/>
    </row>
    <row r="133" ht="14.25" customHeight="1">
      <c r="A133" s="666"/>
      <c r="B133" s="666"/>
      <c r="C133" s="667" t="s">
        <v>422</v>
      </c>
      <c r="D133" s="666"/>
      <c r="E133" s="666"/>
      <c r="F133" s="666"/>
      <c r="G133" s="666"/>
      <c r="H133" s="666"/>
      <c r="I133" s="666"/>
      <c r="J133" s="666"/>
      <c r="K133" s="666"/>
      <c r="L133" s="759"/>
      <c r="M133" s="759"/>
      <c r="N133" s="759"/>
      <c r="O133" s="759"/>
      <c r="P133" s="759"/>
      <c r="Q133" s="873"/>
      <c r="R133" s="874"/>
      <c r="S133" s="874"/>
      <c r="T133" s="874"/>
      <c r="U133" s="874"/>
      <c r="V133" s="874"/>
      <c r="W133" s="874"/>
      <c r="X133" s="874"/>
      <c r="Y133" s="874"/>
      <c r="Z133" s="874"/>
      <c r="AA133" s="874"/>
      <c r="AB133" s="874"/>
      <c r="AC133" s="874"/>
      <c r="AD133" s="874"/>
      <c r="AE133" s="874"/>
      <c r="AF133" s="874"/>
      <c r="AG133" s="874"/>
      <c r="AH133" s="874"/>
      <c r="AI133" s="874"/>
      <c r="AJ133" s="874"/>
      <c r="AK133" s="874"/>
      <c r="AL133" s="874"/>
      <c r="AM133" s="874"/>
      <c r="AN133" s="874"/>
      <c r="AO133" s="874"/>
      <c r="AP133" s="874"/>
      <c r="AQ133" s="874"/>
      <c r="AR133" s="874"/>
      <c r="AS133" s="874"/>
      <c r="AT133" s="874"/>
      <c r="AU133" s="874"/>
    </row>
    <row r="134" ht="99.75" customHeight="1">
      <c r="A134" s="760"/>
      <c r="B134" s="761"/>
      <c r="C134" s="764" t="s">
        <v>423</v>
      </c>
      <c r="D134" s="764" t="s">
        <v>424</v>
      </c>
      <c r="E134" s="875" t="s">
        <v>534</v>
      </c>
      <c r="F134" s="767"/>
      <c r="G134" s="875" t="s">
        <v>534</v>
      </c>
      <c r="H134" s="767"/>
      <c r="I134" s="875" t="s">
        <v>534</v>
      </c>
      <c r="J134" s="767"/>
      <c r="K134" s="875" t="s">
        <v>534</v>
      </c>
      <c r="L134" s="767"/>
      <c r="M134" s="876" t="s">
        <v>535</v>
      </c>
      <c r="N134" s="767"/>
      <c r="O134" s="876" t="s">
        <v>536</v>
      </c>
      <c r="P134" s="767"/>
      <c r="Q134" s="877" t="s">
        <v>536</v>
      </c>
      <c r="R134" s="767"/>
    </row>
    <row r="135" ht="48.75" customHeight="1">
      <c r="A135" s="305"/>
      <c r="B135" s="332"/>
      <c r="C135" s="771"/>
      <c r="D135" s="771"/>
      <c r="E135" s="878" t="s">
        <v>537</v>
      </c>
      <c r="F135" s="648"/>
      <c r="G135" s="878" t="s">
        <v>538</v>
      </c>
      <c r="H135" s="648"/>
      <c r="I135" s="878" t="s">
        <v>539</v>
      </c>
      <c r="J135" s="648"/>
      <c r="K135" s="878" t="s">
        <v>540</v>
      </c>
      <c r="L135" s="648"/>
      <c r="M135" s="879" t="s">
        <v>477</v>
      </c>
      <c r="N135" s="648"/>
      <c r="O135" s="879"/>
      <c r="P135" s="648"/>
      <c r="Q135" s="879"/>
      <c r="R135" s="648"/>
    </row>
    <row r="136" ht="14.25" customHeight="1">
      <c r="A136" s="359">
        <v>1.0</v>
      </c>
      <c r="B136" s="314"/>
      <c r="C136" s="775">
        <v>1.0</v>
      </c>
      <c r="D136" s="775" t="s">
        <v>541</v>
      </c>
      <c r="E136" s="880">
        <v>170.0</v>
      </c>
      <c r="F136" s="657"/>
      <c r="G136" s="881" t="s">
        <v>542</v>
      </c>
      <c r="H136" s="657"/>
      <c r="I136" s="881">
        <v>10.0</v>
      </c>
      <c r="J136" s="657"/>
      <c r="K136" s="881"/>
      <c r="L136" s="657"/>
      <c r="M136" s="881" t="s">
        <v>543</v>
      </c>
      <c r="N136" s="657"/>
      <c r="O136" s="881"/>
      <c r="P136" s="657"/>
      <c r="Q136" s="882"/>
      <c r="R136" s="603"/>
    </row>
    <row r="137" ht="14.25" customHeight="1">
      <c r="A137" s="342">
        <f t="shared" ref="A137:A138" si="15">A136+1</f>
        <v>2</v>
      </c>
      <c r="B137" s="332"/>
      <c r="C137" s="780">
        <f t="shared" ref="C137:C138" si="16">C136+1</f>
        <v>2</v>
      </c>
      <c r="D137" s="780" t="s">
        <v>544</v>
      </c>
      <c r="E137" s="883">
        <v>180.0</v>
      </c>
      <c r="F137" s="648"/>
      <c r="G137" s="878" t="s">
        <v>545</v>
      </c>
      <c r="H137" s="648"/>
      <c r="I137" s="878">
        <v>15.0</v>
      </c>
      <c r="J137" s="648"/>
      <c r="K137" s="878"/>
      <c r="L137" s="648"/>
      <c r="M137" s="878" t="s">
        <v>546</v>
      </c>
      <c r="N137" s="648"/>
      <c r="O137" s="878"/>
      <c r="P137" s="648"/>
      <c r="Q137" s="884"/>
      <c r="R137" s="690"/>
    </row>
    <row r="138" ht="14.25" customHeight="1">
      <c r="A138" s="312">
        <f t="shared" si="15"/>
        <v>3</v>
      </c>
      <c r="B138" s="314"/>
      <c r="C138" s="775">
        <f t="shared" si="16"/>
        <v>3</v>
      </c>
      <c r="D138" s="775" t="s">
        <v>547</v>
      </c>
      <c r="E138" s="880">
        <v>170.0</v>
      </c>
      <c r="F138" s="657"/>
      <c r="G138" s="881" t="s">
        <v>548</v>
      </c>
      <c r="H138" s="657"/>
      <c r="I138" s="881">
        <v>2000.0</v>
      </c>
      <c r="J138" s="657"/>
      <c r="K138" s="881"/>
      <c r="L138" s="657"/>
      <c r="M138" s="885"/>
      <c r="N138" s="603"/>
      <c r="O138" s="885"/>
      <c r="P138" s="603"/>
      <c r="Q138" s="886"/>
      <c r="R138" s="603"/>
    </row>
    <row r="139" ht="14.25" customHeight="1">
      <c r="A139" s="408"/>
      <c r="B139" s="414"/>
      <c r="C139" s="414"/>
      <c r="D139" s="414"/>
      <c r="E139" s="414"/>
      <c r="F139" s="414"/>
      <c r="G139" s="414"/>
      <c r="H139" s="414"/>
      <c r="I139" s="414"/>
      <c r="J139" s="414"/>
      <c r="K139" s="414"/>
      <c r="L139" s="414"/>
      <c r="M139" s="414"/>
      <c r="N139" s="414"/>
      <c r="O139" s="414"/>
      <c r="P139" s="414"/>
      <c r="Q139" s="887"/>
      <c r="R139" s="414"/>
      <c r="S139" s="414"/>
      <c r="T139" s="414"/>
      <c r="U139" s="414"/>
      <c r="V139" s="414"/>
      <c r="W139" s="414"/>
      <c r="X139" s="414"/>
      <c r="Y139" s="414"/>
      <c r="Z139" s="414"/>
      <c r="AA139" s="414"/>
      <c r="AB139" s="414"/>
      <c r="AC139" s="414"/>
      <c r="AD139" s="409"/>
      <c r="AE139" s="409"/>
      <c r="AF139" s="409"/>
      <c r="AG139" s="409"/>
      <c r="AH139" s="409"/>
      <c r="AI139" s="409"/>
      <c r="AJ139" s="409"/>
      <c r="AK139" s="409"/>
      <c r="AL139" s="409"/>
      <c r="AM139" s="409"/>
      <c r="AN139" s="409"/>
      <c r="AO139" s="409"/>
      <c r="AP139" s="409"/>
      <c r="AQ139" s="409"/>
      <c r="AR139" s="409"/>
      <c r="AS139" s="409"/>
      <c r="AT139" s="409"/>
      <c r="AU139" s="409"/>
    </row>
    <row r="140" ht="14.25" customHeight="1">
      <c r="A140" s="290"/>
      <c r="B140" s="291"/>
      <c r="C140" s="292" t="s">
        <v>231</v>
      </c>
      <c r="D140" s="293"/>
      <c r="E140" s="293"/>
      <c r="F140" s="293"/>
      <c r="G140" s="406"/>
      <c r="H140" s="407"/>
      <c r="I140" s="407"/>
      <c r="J140" s="407"/>
      <c r="K140" s="407"/>
      <c r="L140" s="407"/>
      <c r="M140" s="407"/>
      <c r="N140" s="407"/>
      <c r="O140" s="407"/>
      <c r="P140" s="407"/>
      <c r="Q140" s="866"/>
      <c r="R140" s="293"/>
      <c r="S140" s="293"/>
      <c r="T140" s="293"/>
      <c r="U140" s="293"/>
      <c r="V140" s="293"/>
      <c r="W140" s="293"/>
      <c r="X140" s="293"/>
      <c r="Y140" s="293"/>
      <c r="Z140" s="293"/>
      <c r="AA140" s="293"/>
      <c r="AB140" s="293"/>
      <c r="AC140" s="293"/>
      <c r="AD140" s="293"/>
      <c r="AE140" s="293"/>
      <c r="AF140" s="293"/>
      <c r="AG140" s="293"/>
      <c r="AH140" s="293"/>
      <c r="AI140" s="293"/>
      <c r="AJ140" s="293"/>
      <c r="AK140" s="293"/>
      <c r="AL140" s="293"/>
      <c r="AM140" s="293"/>
      <c r="AN140" s="293"/>
      <c r="AO140" s="293"/>
      <c r="AP140" s="293"/>
      <c r="AQ140" s="293"/>
      <c r="AR140" s="293"/>
      <c r="AS140" s="293"/>
      <c r="AT140" s="293"/>
      <c r="AU140" s="293"/>
    </row>
  </sheetData>
  <mergeCells count="123">
    <mergeCell ref="F21:L21"/>
    <mergeCell ref="G22:L22"/>
    <mergeCell ref="G23:L23"/>
    <mergeCell ref="F29:L29"/>
    <mergeCell ref="G32:M32"/>
    <mergeCell ref="G33:M33"/>
    <mergeCell ref="G34:M34"/>
    <mergeCell ref="C15:E15"/>
    <mergeCell ref="C16:E16"/>
    <mergeCell ref="F17:G17"/>
    <mergeCell ref="C18:E18"/>
    <mergeCell ref="C19:E19"/>
    <mergeCell ref="F19:L19"/>
    <mergeCell ref="F20:L20"/>
    <mergeCell ref="C20:E20"/>
    <mergeCell ref="C21:E21"/>
    <mergeCell ref="C22:E22"/>
    <mergeCell ref="C23:E23"/>
    <mergeCell ref="C24:E24"/>
    <mergeCell ref="C25:E25"/>
    <mergeCell ref="C26:E26"/>
    <mergeCell ref="C27:E27"/>
    <mergeCell ref="C32:E32"/>
    <mergeCell ref="C33:E33"/>
    <mergeCell ref="C34:E34"/>
    <mergeCell ref="C37:E37"/>
    <mergeCell ref="C38:E38"/>
    <mergeCell ref="C42:E42"/>
    <mergeCell ref="C43:E43"/>
    <mergeCell ref="C44:E44"/>
    <mergeCell ref="C45:E45"/>
    <mergeCell ref="C49:G49"/>
    <mergeCell ref="C50:G50"/>
    <mergeCell ref="C51:G51"/>
    <mergeCell ref="C52:G52"/>
    <mergeCell ref="C53:G53"/>
    <mergeCell ref="C54:G54"/>
    <mergeCell ref="C56:G56"/>
    <mergeCell ref="C57:G57"/>
    <mergeCell ref="C58:G58"/>
    <mergeCell ref="C60:G60"/>
    <mergeCell ref="C61:G61"/>
    <mergeCell ref="C88:G88"/>
    <mergeCell ref="C90:N90"/>
    <mergeCell ref="C91:D91"/>
    <mergeCell ref="E91:F91"/>
    <mergeCell ref="G91:H91"/>
    <mergeCell ref="C92:D92"/>
    <mergeCell ref="E92:N92"/>
    <mergeCell ref="E93:N93"/>
    <mergeCell ref="C80:G80"/>
    <mergeCell ref="C81:I81"/>
    <mergeCell ref="C82:J82"/>
    <mergeCell ref="C83:G83"/>
    <mergeCell ref="C84:D84"/>
    <mergeCell ref="E84:G84"/>
    <mergeCell ref="C87:N87"/>
    <mergeCell ref="I135:J135"/>
    <mergeCell ref="K135:L135"/>
    <mergeCell ref="C134:C135"/>
    <mergeCell ref="D134:D135"/>
    <mergeCell ref="E134:F134"/>
    <mergeCell ref="G134:H134"/>
    <mergeCell ref="I134:J134"/>
    <mergeCell ref="K134:L134"/>
    <mergeCell ref="M134:N134"/>
    <mergeCell ref="E136:F136"/>
    <mergeCell ref="G136:H136"/>
    <mergeCell ref="I136:J136"/>
    <mergeCell ref="K136:L136"/>
    <mergeCell ref="M136:N136"/>
    <mergeCell ref="O136:P136"/>
    <mergeCell ref="Q136:R136"/>
    <mergeCell ref="E138:F138"/>
    <mergeCell ref="G138:H138"/>
    <mergeCell ref="I138:J138"/>
    <mergeCell ref="K138:L138"/>
    <mergeCell ref="M138:N138"/>
    <mergeCell ref="O138:P138"/>
    <mergeCell ref="Q138:R138"/>
    <mergeCell ref="E137:F137"/>
    <mergeCell ref="G137:H137"/>
    <mergeCell ref="I137:J137"/>
    <mergeCell ref="K137:L137"/>
    <mergeCell ref="M137:N137"/>
    <mergeCell ref="O137:P137"/>
    <mergeCell ref="Q137:R137"/>
    <mergeCell ref="C63:G63"/>
    <mergeCell ref="C64:G64"/>
    <mergeCell ref="C65:G65"/>
    <mergeCell ref="C66:G66"/>
    <mergeCell ref="C67:G67"/>
    <mergeCell ref="C68:G68"/>
    <mergeCell ref="C70:G70"/>
    <mergeCell ref="C112:M112"/>
    <mergeCell ref="F113:J113"/>
    <mergeCell ref="E114:G114"/>
    <mergeCell ref="E115:G115"/>
    <mergeCell ref="C118:D118"/>
    <mergeCell ref="F118:L118"/>
    <mergeCell ref="H123:L123"/>
    <mergeCell ref="M123:AC123"/>
    <mergeCell ref="C96:T96"/>
    <mergeCell ref="C97:G97"/>
    <mergeCell ref="C98:E98"/>
    <mergeCell ref="C99:H99"/>
    <mergeCell ref="C100:D100"/>
    <mergeCell ref="C101:F101"/>
    <mergeCell ref="C105:F105"/>
    <mergeCell ref="C71:G71"/>
    <mergeCell ref="C72:G72"/>
    <mergeCell ref="C73:G73"/>
    <mergeCell ref="C74:G74"/>
    <mergeCell ref="C76:G76"/>
    <mergeCell ref="C77:E77"/>
    <mergeCell ref="C79:G79"/>
    <mergeCell ref="O134:P134"/>
    <mergeCell ref="Q134:R134"/>
    <mergeCell ref="E135:F135"/>
    <mergeCell ref="G135:H135"/>
    <mergeCell ref="M135:N135"/>
    <mergeCell ref="O135:P135"/>
    <mergeCell ref="Q135:R135"/>
  </mergeCells>
  <conditionalFormatting sqref="C140">
    <cfRule type="containsText" dxfId="1" priority="1" operator="containsText" text="e.g.:">
      <formula>NOT(ISERROR(SEARCH(("e.g.:"),(C140))))</formula>
    </cfRule>
  </conditionalFormatting>
  <conditionalFormatting sqref="C140">
    <cfRule type="notContainsText" dxfId="2" priority="2" operator="notContains" text="e.g.:">
      <formula>ISERROR(SEARCH(("e.g.:"),(C140)))</formula>
    </cfRule>
  </conditionalFormatting>
  <conditionalFormatting sqref="A1:A2">
    <cfRule type="notContainsBlanks" dxfId="0" priority="3">
      <formula>LEN(TRIM(A1))&gt;0</formula>
    </cfRule>
  </conditionalFormatting>
  <dataValidations>
    <dataValidation type="list" allowBlank="1" sqref="F26">
      <formula1>meta!$N$2:$N140</formula1>
    </dataValidation>
    <dataValidation type="list" allowBlank="1" sqref="H43:O44">
      <formula1>meta!$J$2:$J140</formula1>
    </dataValidation>
    <dataValidation type="list" allowBlank="1" sqref="F124:F128">
      <formula1>meta!$G$1:$G$3</formula1>
    </dataValidation>
    <dataValidation type="list" allowBlank="1" sqref="E135 G135 I135 K135 M135 O135 Q135">
      <formula1>meta!$D$3:$D$1001</formula1>
    </dataValidation>
    <dataValidation type="list" allowBlank="1" sqref="H41:O41 C114:C117 E124:E128">
      <formula1>meta!$F$2:$F140</formula1>
    </dataValidation>
    <dataValidation type="list" allowBlank="1" sqref="F25">
      <formula1>meta!$M$2:$M140</formula1>
    </dataValidation>
    <dataValidation type="list" allowBlank="1" sqref="C124:C128">
      <formula1>meta!$I$2:$I140</formula1>
    </dataValidation>
    <dataValidation type="custom" allowBlank="1" showDropDown="1" sqref="F22 D124:D128">
      <formula1>OR(NOT(ISERROR(DATEVALUE(D22))), AND(ISNUMBER(D22), LEFT(CELL("format", D22))="D"))</formula1>
    </dataValidation>
    <dataValidation type="custom" allowBlank="1" showDropDown="1" showInputMessage="1" showErrorMessage="1" prompt="The offer length days must be within the Campaign Start and End Date" sqref="F27">
      <formula1>F27&lt;=F23-F22=TRUE</formula1>
    </dataValidation>
    <dataValidation type="custom" allowBlank="1" showDropDown="1" showInputMessage="1" showErrorMessage="1" prompt="Campaign End Date is before Campaign Start Date" sqref="F23">
      <formula1>F23&gt;=F22=True</formula1>
    </dataValidation>
    <dataValidation type="list" allowBlank="1" sqref="C43:C44">
      <formula1>meta!$O$4:$O$6</formula1>
    </dataValidation>
    <dataValidation type="list" allowBlank="1" sqref="F17">
      <formula1>meta!$O$2:$O$3</formula1>
    </dataValidation>
    <dataValidation type="list" allowBlank="1" sqref="G124:G128">
      <formula1>meta!$H$2:$H140</formula1>
    </dataValidation>
  </dataValidations>
  <printOptions/>
  <pageMargins bottom="0.3937007874015748" footer="0.0" header="0.0" left="0.3937007874015748" right="0.3937007874015748" top="0.3937007874015748"/>
  <pageSetup fitToWidth="0" paperSize="9" orientation="portrait"/>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2" width="23.71"/>
    <col customWidth="1" min="3" max="3" width="49.29"/>
    <col customWidth="1" min="4" max="4" width="36.29"/>
    <col customWidth="1" min="5" max="5" width="21.57"/>
    <col customWidth="1" min="6" max="6" width="31.0"/>
    <col customWidth="1" min="7" max="7" width="11.86"/>
    <col customWidth="1" min="8" max="8" width="23.57"/>
    <col customWidth="1" min="9" max="9" width="7.71"/>
    <col customWidth="1" min="10" max="10" width="10.71"/>
    <col customWidth="1" min="11" max="11" width="33.14"/>
    <col customWidth="1" min="12" max="12" width="40.43"/>
    <col customWidth="1" min="13" max="13" width="16.43"/>
    <col customWidth="1" min="14" max="14" width="14.14"/>
  </cols>
  <sheetData>
    <row r="1">
      <c r="A1" s="888" t="s">
        <v>549</v>
      </c>
      <c r="B1" s="889" t="s">
        <v>550</v>
      </c>
      <c r="C1" s="889" t="s">
        <v>551</v>
      </c>
      <c r="D1" s="889" t="s">
        <v>552</v>
      </c>
      <c r="E1" s="889" t="s">
        <v>553</v>
      </c>
      <c r="F1" s="889" t="s">
        <v>80</v>
      </c>
      <c r="G1" s="890" t="s">
        <v>406</v>
      </c>
      <c r="H1" s="889" t="s">
        <v>554</v>
      </c>
      <c r="I1" s="889" t="s">
        <v>555</v>
      </c>
      <c r="J1" s="889" t="s">
        <v>556</v>
      </c>
      <c r="K1" s="889" t="s">
        <v>557</v>
      </c>
      <c r="L1" s="889" t="s">
        <v>558</v>
      </c>
      <c r="M1" s="889" t="s">
        <v>559</v>
      </c>
      <c r="N1" s="889" t="s">
        <v>560</v>
      </c>
      <c r="O1" s="889" t="s">
        <v>561</v>
      </c>
      <c r="P1" s="889" t="s">
        <v>562</v>
      </c>
      <c r="Q1" s="889" t="s">
        <v>563</v>
      </c>
      <c r="R1" s="889" t="s">
        <v>564</v>
      </c>
    </row>
    <row r="2">
      <c r="A2" s="889" t="s">
        <v>565</v>
      </c>
      <c r="B2" s="890" t="s">
        <v>566</v>
      </c>
      <c r="C2" s="891" t="s">
        <v>567</v>
      </c>
      <c r="D2" s="889" t="s">
        <v>568</v>
      </c>
      <c r="E2" s="889" t="s">
        <v>569</v>
      </c>
      <c r="F2" s="889" t="s">
        <v>570</v>
      </c>
      <c r="G2" s="890" t="s">
        <v>407</v>
      </c>
      <c r="H2" s="889" t="s">
        <v>408</v>
      </c>
      <c r="I2" t="s">
        <v>181</v>
      </c>
      <c r="J2" s="889" t="s">
        <v>263</v>
      </c>
      <c r="K2" s="889" t="s">
        <v>259</v>
      </c>
      <c r="L2" s="890" t="s">
        <v>268</v>
      </c>
      <c r="M2" s="890" t="s">
        <v>571</v>
      </c>
      <c r="N2" s="890" t="s">
        <v>327</v>
      </c>
      <c r="O2" s="889" t="s">
        <v>485</v>
      </c>
      <c r="P2" s="889" t="s">
        <v>570</v>
      </c>
      <c r="Q2" s="889" t="s">
        <v>572</v>
      </c>
      <c r="R2" s="889" t="b">
        <v>1</v>
      </c>
    </row>
    <row r="3">
      <c r="A3" s="889" t="s">
        <v>573</v>
      </c>
      <c r="B3" s="889" t="s">
        <v>574</v>
      </c>
      <c r="C3" s="892" t="s">
        <v>575</v>
      </c>
      <c r="D3" s="889" t="s">
        <v>43</v>
      </c>
      <c r="E3" s="889" t="s">
        <v>569</v>
      </c>
      <c r="F3" s="889" t="s">
        <v>576</v>
      </c>
      <c r="G3" s="890" t="s">
        <v>305</v>
      </c>
      <c r="H3" s="889" t="s">
        <v>577</v>
      </c>
      <c r="I3" t="s">
        <v>183</v>
      </c>
      <c r="J3" t="s">
        <v>260</v>
      </c>
      <c r="K3" t="s">
        <v>95</v>
      </c>
      <c r="L3" s="890" t="s">
        <v>340</v>
      </c>
      <c r="M3" s="890" t="s">
        <v>325</v>
      </c>
      <c r="N3" s="890" t="s">
        <v>578</v>
      </c>
      <c r="O3" s="892" t="s">
        <v>579</v>
      </c>
      <c r="P3" s="889" t="s">
        <v>82</v>
      </c>
      <c r="Q3" s="889" t="s">
        <v>580</v>
      </c>
      <c r="R3" s="889" t="b">
        <v>0</v>
      </c>
    </row>
    <row r="4">
      <c r="A4" s="889" t="s">
        <v>581</v>
      </c>
      <c r="B4" s="889" t="s">
        <v>582</v>
      </c>
      <c r="C4" s="892" t="s">
        <v>583</v>
      </c>
      <c r="D4" s="889" t="s">
        <v>584</v>
      </c>
      <c r="E4" s="889" t="s">
        <v>569</v>
      </c>
      <c r="F4" s="889" t="s">
        <v>82</v>
      </c>
      <c r="H4" s="889" t="s">
        <v>409</v>
      </c>
      <c r="I4" t="s">
        <v>411</v>
      </c>
      <c r="J4" t="s">
        <v>261</v>
      </c>
      <c r="K4" s="892" t="s">
        <v>585</v>
      </c>
      <c r="L4" s="890" t="s">
        <v>341</v>
      </c>
      <c r="M4" s="890" t="s">
        <v>453</v>
      </c>
      <c r="N4" s="890" t="s">
        <v>586</v>
      </c>
      <c r="O4" s="892" t="s">
        <v>495</v>
      </c>
      <c r="P4" s="889" t="s">
        <v>86</v>
      </c>
      <c r="R4" s="890"/>
    </row>
    <row r="5">
      <c r="A5" s="889" t="s">
        <v>587</v>
      </c>
      <c r="B5" s="889" t="s">
        <v>588</v>
      </c>
      <c r="C5" s="892" t="s">
        <v>589</v>
      </c>
      <c r="D5" s="889" t="s">
        <v>590</v>
      </c>
      <c r="E5" s="889" t="s">
        <v>569</v>
      </c>
      <c r="F5" s="889" t="s">
        <v>591</v>
      </c>
      <c r="H5" s="889" t="s">
        <v>531</v>
      </c>
      <c r="I5" t="s">
        <v>472</v>
      </c>
      <c r="J5" t="s">
        <v>76</v>
      </c>
      <c r="K5" s="892" t="s">
        <v>252</v>
      </c>
      <c r="L5" s="890" t="s">
        <v>342</v>
      </c>
      <c r="M5" s="890"/>
      <c r="N5" s="890" t="s">
        <v>592</v>
      </c>
      <c r="O5" s="892" t="s">
        <v>593</v>
      </c>
      <c r="P5" s="889" t="s">
        <v>594</v>
      </c>
      <c r="Q5" s="890"/>
      <c r="R5" s="890"/>
    </row>
    <row r="6">
      <c r="A6" s="889" t="s">
        <v>595</v>
      </c>
      <c r="B6" s="889" t="s">
        <v>596</v>
      </c>
      <c r="C6" s="892" t="s">
        <v>597</v>
      </c>
      <c r="D6" s="889" t="s">
        <v>598</v>
      </c>
      <c r="E6" s="889" t="s">
        <v>569</v>
      </c>
      <c r="F6" s="889" t="s">
        <v>527</v>
      </c>
      <c r="H6" s="889" t="s">
        <v>599</v>
      </c>
      <c r="I6" t="s">
        <v>473</v>
      </c>
      <c r="K6" s="892" t="s">
        <v>265</v>
      </c>
      <c r="L6" s="890"/>
      <c r="M6" s="890"/>
      <c r="N6" s="890"/>
      <c r="O6" s="892" t="s">
        <v>496</v>
      </c>
      <c r="P6" s="889" t="s">
        <v>600</v>
      </c>
      <c r="Q6" s="890"/>
      <c r="R6" s="890"/>
    </row>
    <row r="7">
      <c r="A7" s="889" t="s">
        <v>601</v>
      </c>
      <c r="B7" s="889" t="s">
        <v>602</v>
      </c>
      <c r="C7" s="893" t="s">
        <v>603</v>
      </c>
      <c r="D7" s="889" t="s">
        <v>604</v>
      </c>
      <c r="E7" s="889" t="s">
        <v>569</v>
      </c>
      <c r="F7" s="889" t="s">
        <v>605</v>
      </c>
      <c r="I7" t="s">
        <v>606</v>
      </c>
      <c r="K7" s="892" t="s">
        <v>262</v>
      </c>
      <c r="L7" s="890"/>
      <c r="M7" s="890"/>
      <c r="N7" s="890"/>
      <c r="O7" s="890"/>
      <c r="P7" s="889" t="s">
        <v>607</v>
      </c>
      <c r="Q7" s="890"/>
      <c r="R7" s="890"/>
    </row>
    <row r="8">
      <c r="A8" s="889" t="s">
        <v>608</v>
      </c>
      <c r="B8" s="889" t="s">
        <v>609</v>
      </c>
      <c r="C8" s="891" t="s">
        <v>610</v>
      </c>
      <c r="D8" s="889" t="s">
        <v>611</v>
      </c>
      <c r="E8" s="889" t="s">
        <v>569</v>
      </c>
      <c r="F8" s="889" t="s">
        <v>612</v>
      </c>
      <c r="I8" t="s">
        <v>613</v>
      </c>
      <c r="K8" s="892" t="s">
        <v>614</v>
      </c>
      <c r="L8" s="890"/>
      <c r="M8" s="890"/>
      <c r="N8" s="890"/>
      <c r="O8" s="890"/>
      <c r="P8" s="889" t="s">
        <v>615</v>
      </c>
      <c r="Q8" s="890"/>
      <c r="R8" s="890"/>
    </row>
    <row r="9">
      <c r="A9" s="889" t="s">
        <v>616</v>
      </c>
      <c r="C9" s="891" t="s">
        <v>617</v>
      </c>
      <c r="D9" s="889" t="s">
        <v>618</v>
      </c>
      <c r="E9" s="889" t="s">
        <v>569</v>
      </c>
      <c r="F9" s="889" t="s">
        <v>619</v>
      </c>
      <c r="I9" t="s">
        <v>620</v>
      </c>
      <c r="K9" s="892" t="s">
        <v>621</v>
      </c>
      <c r="L9" s="890"/>
      <c r="M9" s="890"/>
      <c r="N9" s="890"/>
      <c r="O9" s="890"/>
      <c r="P9" s="889" t="s">
        <v>622</v>
      </c>
      <c r="Q9" s="890"/>
      <c r="R9" s="890"/>
    </row>
    <row r="10">
      <c r="A10" s="889"/>
      <c r="C10" s="891"/>
      <c r="D10" s="889"/>
      <c r="E10" s="889"/>
      <c r="F10" s="889" t="s">
        <v>493</v>
      </c>
      <c r="K10" s="892"/>
      <c r="P10" s="889" t="s">
        <v>623</v>
      </c>
    </row>
    <row r="11">
      <c r="A11" s="889" t="s">
        <v>624</v>
      </c>
      <c r="C11" s="891" t="s">
        <v>625</v>
      </c>
      <c r="D11" s="889" t="s">
        <v>626</v>
      </c>
      <c r="E11" s="889"/>
      <c r="F11" s="889" t="s">
        <v>339</v>
      </c>
      <c r="I11" t="s">
        <v>627</v>
      </c>
      <c r="K11" s="892" t="s">
        <v>628</v>
      </c>
      <c r="P11" t="s">
        <v>90</v>
      </c>
    </row>
    <row r="12">
      <c r="A12" s="889" t="s">
        <v>629</v>
      </c>
      <c r="C12" s="892" t="s">
        <v>630</v>
      </c>
      <c r="D12" s="889" t="s">
        <v>631</v>
      </c>
      <c r="E12" s="889"/>
      <c r="F12" s="889" t="s">
        <v>86</v>
      </c>
      <c r="I12" t="s">
        <v>632</v>
      </c>
      <c r="K12" s="892" t="s">
        <v>633</v>
      </c>
      <c r="P12" t="s">
        <v>91</v>
      </c>
    </row>
    <row r="13">
      <c r="A13" s="889" t="s">
        <v>222</v>
      </c>
      <c r="C13" s="892" t="s">
        <v>634</v>
      </c>
      <c r="D13" s="889" t="s">
        <v>635</v>
      </c>
      <c r="E13" s="889"/>
      <c r="F13" s="889" t="s">
        <v>636</v>
      </c>
      <c r="I13" t="s">
        <v>637</v>
      </c>
      <c r="K13" s="892" t="s">
        <v>638</v>
      </c>
      <c r="P13" s="889" t="s">
        <v>639</v>
      </c>
    </row>
    <row r="14">
      <c r="A14" s="889" t="s">
        <v>640</v>
      </c>
      <c r="C14" s="892" t="s">
        <v>641</v>
      </c>
      <c r="D14" s="889" t="s">
        <v>642</v>
      </c>
      <c r="F14" t="s">
        <v>90</v>
      </c>
      <c r="I14" t="s">
        <v>643</v>
      </c>
      <c r="K14" s="892" t="s">
        <v>644</v>
      </c>
    </row>
    <row r="15">
      <c r="C15" s="892" t="s">
        <v>645</v>
      </c>
      <c r="D15" s="889" t="s">
        <v>646</v>
      </c>
      <c r="E15" s="889"/>
      <c r="F15" t="s">
        <v>89</v>
      </c>
      <c r="I15" t="s">
        <v>647</v>
      </c>
      <c r="K15" s="892" t="s">
        <v>264</v>
      </c>
    </row>
    <row r="16">
      <c r="C16" s="892" t="s">
        <v>648</v>
      </c>
      <c r="D16" s="889" t="s">
        <v>649</v>
      </c>
      <c r="F16" s="889" t="s">
        <v>494</v>
      </c>
      <c r="I16" t="s">
        <v>650</v>
      </c>
      <c r="K16" s="892" t="s">
        <v>255</v>
      </c>
    </row>
    <row r="17">
      <c r="C17" s="892" t="s">
        <v>651</v>
      </c>
      <c r="D17" s="889" t="s">
        <v>652</v>
      </c>
      <c r="F17" t="s">
        <v>334</v>
      </c>
      <c r="I17" t="s">
        <v>653</v>
      </c>
      <c r="K17" s="892" t="s">
        <v>654</v>
      </c>
    </row>
    <row r="18">
      <c r="C18" s="892" t="s">
        <v>655</v>
      </c>
      <c r="D18" s="889" t="s">
        <v>656</v>
      </c>
      <c r="F18" t="s">
        <v>657</v>
      </c>
      <c r="I18" t="s">
        <v>658</v>
      </c>
      <c r="K18" s="892" t="s">
        <v>659</v>
      </c>
    </row>
    <row r="19">
      <c r="C19" s="892" t="s">
        <v>660</v>
      </c>
      <c r="D19" s="889" t="s">
        <v>661</v>
      </c>
      <c r="I19" t="s">
        <v>662</v>
      </c>
      <c r="K19" s="892" t="s">
        <v>663</v>
      </c>
    </row>
    <row r="20">
      <c r="C20" s="892" t="s">
        <v>664</v>
      </c>
      <c r="D20" s="889" t="s">
        <v>661</v>
      </c>
      <c r="I20" t="s">
        <v>665</v>
      </c>
      <c r="K20" s="892" t="s">
        <v>666</v>
      </c>
    </row>
    <row r="21">
      <c r="C21" s="892" t="s">
        <v>667</v>
      </c>
      <c r="D21" s="889" t="s">
        <v>668</v>
      </c>
      <c r="I21" t="s">
        <v>669</v>
      </c>
      <c r="K21" s="892" t="s">
        <v>670</v>
      </c>
    </row>
    <row r="22">
      <c r="C22" s="892" t="s">
        <v>671</v>
      </c>
      <c r="D22" s="889" t="s">
        <v>672</v>
      </c>
      <c r="I22" t="s">
        <v>673</v>
      </c>
      <c r="K22" s="892" t="s">
        <v>674</v>
      </c>
    </row>
    <row r="23">
      <c r="C23" s="892" t="s">
        <v>675</v>
      </c>
      <c r="D23" s="889" t="s">
        <v>537</v>
      </c>
      <c r="K23" s="892" t="s">
        <v>676</v>
      </c>
    </row>
    <row r="24">
      <c r="C24" s="889" t="s">
        <v>677</v>
      </c>
      <c r="D24" s="889" t="s">
        <v>678</v>
      </c>
      <c r="K24" s="892" t="s">
        <v>679</v>
      </c>
    </row>
    <row r="25">
      <c r="C25" s="889" t="s">
        <v>680</v>
      </c>
      <c r="D25" s="889" t="s">
        <v>681</v>
      </c>
      <c r="K25" s="889" t="s">
        <v>682</v>
      </c>
    </row>
    <row r="26">
      <c r="C26" s="889" t="s">
        <v>683</v>
      </c>
      <c r="D26" s="889" t="s">
        <v>684</v>
      </c>
      <c r="K26" s="889" t="s">
        <v>293</v>
      </c>
    </row>
    <row r="27">
      <c r="C27" s="889" t="s">
        <v>315</v>
      </c>
      <c r="D27" s="889" t="s">
        <v>685</v>
      </c>
      <c r="K27" s="889" t="s">
        <v>296</v>
      </c>
    </row>
    <row r="28">
      <c r="D28" s="889" t="s">
        <v>686</v>
      </c>
      <c r="K28" s="889" t="s">
        <v>298</v>
      </c>
    </row>
    <row r="29">
      <c r="C29" s="893"/>
      <c r="D29" s="889" t="s">
        <v>539</v>
      </c>
      <c r="K29" s="889" t="s">
        <v>687</v>
      </c>
    </row>
    <row r="30">
      <c r="C30" s="893"/>
      <c r="D30" s="889" t="s">
        <v>477</v>
      </c>
      <c r="K30" s="889" t="s">
        <v>688</v>
      </c>
    </row>
    <row r="31">
      <c r="C31" s="893"/>
      <c r="D31" s="889" t="s">
        <v>478</v>
      </c>
      <c r="K31" s="889" t="s">
        <v>689</v>
      </c>
    </row>
    <row r="32">
      <c r="C32" s="893"/>
      <c r="D32" s="889" t="s">
        <v>479</v>
      </c>
      <c r="K32" s="889" t="s">
        <v>300</v>
      </c>
    </row>
    <row r="33">
      <c r="C33" s="893"/>
      <c r="D33" s="889" t="s">
        <v>480</v>
      </c>
      <c r="K33" s="889" t="s">
        <v>690</v>
      </c>
    </row>
    <row r="34">
      <c r="C34" s="893"/>
      <c r="D34" s="889" t="s">
        <v>481</v>
      </c>
      <c r="K34" s="889" t="s">
        <v>614</v>
      </c>
    </row>
    <row r="35">
      <c r="C35" s="893"/>
      <c r="D35" s="889" t="s">
        <v>691</v>
      </c>
      <c r="K35" s="889" t="s">
        <v>304</v>
      </c>
    </row>
    <row r="36">
      <c r="C36" s="893"/>
      <c r="D36" s="889" t="s">
        <v>540</v>
      </c>
    </row>
    <row r="37">
      <c r="C37" s="893"/>
      <c r="D37" s="889" t="s">
        <v>692</v>
      </c>
    </row>
    <row r="38">
      <c r="C38" s="893"/>
      <c r="D38" s="889"/>
    </row>
    <row r="39">
      <c r="C39" s="893"/>
      <c r="D39" s="889"/>
    </row>
    <row r="40">
      <c r="C40" s="893"/>
      <c r="D40" s="889"/>
    </row>
    <row r="41">
      <c r="C41" s="893"/>
      <c r="D41" s="894"/>
    </row>
    <row r="42">
      <c r="C42" s="893"/>
      <c r="D42" s="894"/>
    </row>
    <row r="43">
      <c r="C43" s="893"/>
      <c r="D43" s="894"/>
    </row>
    <row r="44">
      <c r="C44" s="893"/>
      <c r="D44" s="894"/>
    </row>
    <row r="45">
      <c r="C45" s="893"/>
      <c r="D45" s="895"/>
    </row>
    <row r="46">
      <c r="C46" s="893"/>
      <c r="D46" s="895"/>
    </row>
    <row r="47">
      <c r="C47" s="893"/>
      <c r="D47" s="895"/>
    </row>
    <row r="48">
      <c r="C48" s="893"/>
      <c r="D48" s="895"/>
    </row>
    <row r="49">
      <c r="C49" s="893"/>
      <c r="D49" s="895"/>
    </row>
    <row r="50">
      <c r="C50" s="893"/>
      <c r="D50" s="895"/>
    </row>
    <row r="51">
      <c r="C51" s="893"/>
      <c r="D51" s="895"/>
    </row>
    <row r="52">
      <c r="C52" s="893"/>
      <c r="D52" s="895"/>
    </row>
    <row r="53">
      <c r="C53" s="893"/>
      <c r="D53" s="895"/>
    </row>
    <row r="54">
      <c r="C54" s="893"/>
      <c r="D54" s="895"/>
    </row>
    <row r="55">
      <c r="C55" s="893"/>
      <c r="D55" s="895"/>
    </row>
    <row r="56">
      <c r="C56" s="893"/>
      <c r="D56" s="895"/>
    </row>
    <row r="57">
      <c r="D57" s="895"/>
    </row>
    <row r="58">
      <c r="D58" s="895"/>
    </row>
    <row r="59">
      <c r="D59" s="895"/>
    </row>
    <row r="60">
      <c r="D60" s="895"/>
    </row>
    <row r="61">
      <c r="D61" s="895"/>
    </row>
    <row r="62">
      <c r="D62" s="895"/>
    </row>
    <row r="63">
      <c r="D63" s="895"/>
    </row>
    <row r="64">
      <c r="D64" s="895"/>
    </row>
    <row r="65">
      <c r="D65" s="895"/>
    </row>
    <row r="66">
      <c r="D66" s="895"/>
    </row>
    <row r="67">
      <c r="D67" s="895"/>
    </row>
    <row r="68">
      <c r="D68" s="895"/>
    </row>
    <row r="69">
      <c r="D69" s="895"/>
    </row>
    <row r="70">
      <c r="D70" s="895"/>
    </row>
    <row r="71">
      <c r="D71" s="895"/>
    </row>
    <row r="72">
      <c r="D72" s="895"/>
    </row>
    <row r="73">
      <c r="D73" s="895"/>
    </row>
    <row r="74">
      <c r="D74" s="895"/>
    </row>
    <row r="75">
      <c r="D75" s="895"/>
    </row>
    <row r="76">
      <c r="D76" s="895"/>
    </row>
    <row r="77">
      <c r="D77" s="895"/>
    </row>
    <row r="78">
      <c r="D78" s="895"/>
    </row>
    <row r="79">
      <c r="D79" s="895"/>
    </row>
    <row r="80">
      <c r="D80" s="895"/>
    </row>
    <row r="81">
      <c r="D81" s="895"/>
    </row>
    <row r="82">
      <c r="D82" s="895"/>
    </row>
    <row r="83">
      <c r="D83" s="895"/>
    </row>
    <row r="84">
      <c r="D84" s="895"/>
    </row>
    <row r="85">
      <c r="D85" s="895"/>
    </row>
    <row r="86">
      <c r="D86" s="895"/>
    </row>
    <row r="87">
      <c r="D87" s="895"/>
    </row>
    <row r="88">
      <c r="D88" s="895"/>
    </row>
    <row r="89">
      <c r="D89" s="895"/>
    </row>
    <row r="90">
      <c r="D90" s="895"/>
    </row>
    <row r="91">
      <c r="D91" s="895"/>
    </row>
    <row r="92">
      <c r="D92" s="895"/>
    </row>
    <row r="93">
      <c r="D93" s="895"/>
    </row>
    <row r="94">
      <c r="D94" s="895"/>
    </row>
    <row r="95">
      <c r="D95" s="895"/>
    </row>
    <row r="96">
      <c r="D96" s="895"/>
    </row>
    <row r="97">
      <c r="D97" s="895"/>
    </row>
    <row r="98">
      <c r="D98" s="895"/>
    </row>
    <row r="99">
      <c r="D99" s="895"/>
    </row>
    <row r="100">
      <c r="D100" s="895"/>
    </row>
    <row r="101">
      <c r="D101" s="895"/>
    </row>
    <row r="102">
      <c r="D102" s="895"/>
    </row>
    <row r="103">
      <c r="D103" s="895"/>
    </row>
    <row r="104">
      <c r="D104" s="895"/>
    </row>
    <row r="105">
      <c r="D105" s="895"/>
    </row>
    <row r="106">
      <c r="D106" s="895"/>
    </row>
    <row r="107">
      <c r="D107" s="895"/>
    </row>
    <row r="108">
      <c r="D108" s="895"/>
    </row>
    <row r="109">
      <c r="D109" s="895"/>
    </row>
    <row r="110">
      <c r="D110" s="895"/>
    </row>
    <row r="111">
      <c r="D111" s="895"/>
    </row>
    <row r="112">
      <c r="D112" s="895"/>
    </row>
    <row r="113">
      <c r="D113" s="895"/>
    </row>
    <row r="114">
      <c r="D114" s="895"/>
    </row>
    <row r="115">
      <c r="D115" s="895"/>
    </row>
    <row r="116">
      <c r="D116" s="895"/>
    </row>
    <row r="117">
      <c r="D117" s="895"/>
    </row>
    <row r="118">
      <c r="D118" s="895"/>
    </row>
    <row r="119">
      <c r="D119" s="895"/>
    </row>
    <row r="120">
      <c r="D120" s="895"/>
    </row>
    <row r="121">
      <c r="D121" s="895"/>
    </row>
    <row r="122">
      <c r="D122" s="895"/>
    </row>
    <row r="123">
      <c r="D123" s="895"/>
    </row>
    <row r="124">
      <c r="D124" s="895"/>
    </row>
    <row r="125">
      <c r="D125" s="895"/>
    </row>
    <row r="126">
      <c r="D126" s="895"/>
    </row>
    <row r="127">
      <c r="D127" s="895"/>
    </row>
    <row r="128">
      <c r="D128" s="895"/>
    </row>
    <row r="129">
      <c r="D129" s="895"/>
    </row>
    <row r="130">
      <c r="D130" s="895"/>
    </row>
    <row r="131">
      <c r="D131" s="895"/>
    </row>
    <row r="132">
      <c r="D132" s="895"/>
    </row>
    <row r="133">
      <c r="D133" s="895"/>
    </row>
    <row r="134">
      <c r="D134" s="895"/>
    </row>
    <row r="135">
      <c r="D135" s="895"/>
    </row>
    <row r="136">
      <c r="D136" s="895"/>
    </row>
    <row r="137">
      <c r="D137" s="895"/>
    </row>
    <row r="138">
      <c r="D138" s="895"/>
    </row>
    <row r="139">
      <c r="D139" s="895"/>
    </row>
    <row r="140">
      <c r="D140" s="89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6.0"/>
    <col customWidth="1" min="3" max="3" width="50.86"/>
    <col customWidth="1" min="4" max="4" width="31.43"/>
    <col customWidth="1" min="5" max="5" width="39.57"/>
  </cols>
  <sheetData>
    <row r="2">
      <c r="A2" s="896" t="s">
        <v>693</v>
      </c>
      <c r="B2" s="896" t="s">
        <v>694</v>
      </c>
      <c r="C2" s="896" t="s">
        <v>695</v>
      </c>
      <c r="D2" s="896" t="s">
        <v>696</v>
      </c>
      <c r="E2" s="896" t="s">
        <v>697</v>
      </c>
    </row>
    <row r="3">
      <c r="A3" s="889" t="s">
        <v>698</v>
      </c>
      <c r="B3" s="897" t="s">
        <v>82</v>
      </c>
      <c r="C3" s="889" t="s">
        <v>259</v>
      </c>
      <c r="D3" t="str">
        <f t="shared" ref="D3:D383" si="1">CONCATENATE(A3,B3,C3)</f>
        <v>ALLEmailUnsubscribe from all Everyday Rewards communications</v>
      </c>
      <c r="E3" s="889" t="s">
        <v>260</v>
      </c>
      <c r="G3" t="s">
        <v>699</v>
      </c>
      <c r="H3" t="str">
        <f>vlookup(G3,D3:E150,2,false)</f>
        <v>Ex Optout</v>
      </c>
    </row>
    <row r="4">
      <c r="A4" s="889" t="s">
        <v>698</v>
      </c>
      <c r="B4" s="889" t="s">
        <v>86</v>
      </c>
      <c r="C4" s="889" t="s">
        <v>259</v>
      </c>
      <c r="D4" t="str">
        <f t="shared" si="1"/>
        <v>ALLRewards AppUnsubscribe from all Everyday Rewards communications</v>
      </c>
      <c r="E4" s="889" t="s">
        <v>261</v>
      </c>
      <c r="G4" t="s">
        <v>700</v>
      </c>
      <c r="H4" t="str">
        <f>vlookup(G4,D4:E174,1)</f>
        <v>ALLAll Social (FB + Google)Non Engaged (Has not clicked email in past 26 weeks)</v>
      </c>
    </row>
    <row r="5">
      <c r="A5" s="889" t="s">
        <v>698</v>
      </c>
      <c r="B5" s="898" t="s">
        <v>600</v>
      </c>
      <c r="C5" s="889" t="s">
        <v>259</v>
      </c>
      <c r="D5" t="str">
        <f t="shared" si="1"/>
        <v>ALLPushUnsubscribe from all Everyday Rewards communications</v>
      </c>
      <c r="E5" s="889" t="s">
        <v>261</v>
      </c>
    </row>
    <row r="6">
      <c r="A6" s="899" t="s">
        <v>698</v>
      </c>
      <c r="B6" s="899" t="s">
        <v>657</v>
      </c>
      <c r="C6" s="889" t="s">
        <v>259</v>
      </c>
      <c r="D6" t="str">
        <f t="shared" si="1"/>
        <v>ALLAll Social (FB + Google)Unsubscribe from all Everyday Rewards communications</v>
      </c>
      <c r="E6" s="889" t="s">
        <v>261</v>
      </c>
      <c r="G6" t="s">
        <v>701</v>
      </c>
      <c r="H6" t="str">
        <f t="shared" ref="H6:H8" si="2">vlookup(G6,D6:E175,1)</f>
        <v>ALLAll Social (FB + Google)Unsubscribe from all Everyday Rewards communications</v>
      </c>
    </row>
    <row r="7">
      <c r="A7" s="889" t="s">
        <v>698</v>
      </c>
      <c r="B7" s="897" t="s">
        <v>82</v>
      </c>
      <c r="C7" s="889" t="s">
        <v>262</v>
      </c>
      <c r="D7" t="str">
        <f t="shared" si="1"/>
        <v>ALLEmailExclusive offers and promotions</v>
      </c>
      <c r="E7" s="889" t="s">
        <v>260</v>
      </c>
      <c r="G7" t="s">
        <v>702</v>
      </c>
      <c r="H7" t="str">
        <f t="shared" si="2"/>
        <v>ALLEmailExclusive offers and promotions</v>
      </c>
    </row>
    <row r="8">
      <c r="A8" s="889" t="s">
        <v>698</v>
      </c>
      <c r="B8" s="889" t="s">
        <v>86</v>
      </c>
      <c r="C8" s="889" t="s">
        <v>262</v>
      </c>
      <c r="D8" t="str">
        <f t="shared" si="1"/>
        <v>ALLRewards AppExclusive offers and promotions</v>
      </c>
      <c r="E8" s="889" t="s">
        <v>261</v>
      </c>
      <c r="G8" t="s">
        <v>703</v>
      </c>
      <c r="H8" t="str">
        <f t="shared" si="2"/>
        <v>ALLAll Social (FB + Google)Age &lt; 18 years</v>
      </c>
    </row>
    <row r="9">
      <c r="A9" s="889" t="s">
        <v>698</v>
      </c>
      <c r="B9" s="898" t="s">
        <v>600</v>
      </c>
      <c r="C9" s="889" t="s">
        <v>262</v>
      </c>
      <c r="D9" t="str">
        <f t="shared" si="1"/>
        <v>ALLPushExclusive offers and promotions</v>
      </c>
      <c r="E9" s="889" t="s">
        <v>261</v>
      </c>
    </row>
    <row r="10">
      <c r="A10" s="899" t="s">
        <v>698</v>
      </c>
      <c r="B10" s="899" t="s">
        <v>657</v>
      </c>
      <c r="C10" s="889" t="s">
        <v>262</v>
      </c>
      <c r="D10" t="str">
        <f t="shared" si="1"/>
        <v>ALLAll Social (FB + Google)Exclusive offers and promotions</v>
      </c>
      <c r="E10" s="889" t="s">
        <v>261</v>
      </c>
    </row>
    <row r="11">
      <c r="A11" s="889" t="s">
        <v>698</v>
      </c>
      <c r="B11" s="897" t="s">
        <v>82</v>
      </c>
      <c r="C11" s="889" t="s">
        <v>95</v>
      </c>
      <c r="D11" t="str">
        <f t="shared" si="1"/>
        <v>ALLEmailWoolworths Supermarkets</v>
      </c>
      <c r="E11" s="889" t="s">
        <v>260</v>
      </c>
    </row>
    <row r="12">
      <c r="A12" s="889" t="s">
        <v>698</v>
      </c>
      <c r="B12" s="889" t="s">
        <v>86</v>
      </c>
      <c r="C12" s="889" t="s">
        <v>95</v>
      </c>
      <c r="D12" t="str">
        <f t="shared" si="1"/>
        <v>ALLRewards AppWoolworths Supermarkets</v>
      </c>
      <c r="E12" s="889" t="s">
        <v>261</v>
      </c>
    </row>
    <row r="13">
      <c r="A13" s="889" t="s">
        <v>698</v>
      </c>
      <c r="B13" s="898" t="s">
        <v>600</v>
      </c>
      <c r="C13" s="889" t="s">
        <v>95</v>
      </c>
      <c r="D13" t="str">
        <f t="shared" si="1"/>
        <v>ALLPushWoolworths Supermarkets</v>
      </c>
      <c r="E13" s="889" t="s">
        <v>261</v>
      </c>
    </row>
    <row r="14">
      <c r="A14" s="899" t="s">
        <v>698</v>
      </c>
      <c r="B14" s="899" t="s">
        <v>657</v>
      </c>
      <c r="C14" s="889" t="s">
        <v>95</v>
      </c>
      <c r="D14" t="str">
        <f t="shared" si="1"/>
        <v>ALLAll Social (FB + Google)Woolworths Supermarkets</v>
      </c>
      <c r="E14" s="889" t="s">
        <v>261</v>
      </c>
    </row>
    <row r="15">
      <c r="A15" s="889" t="s">
        <v>698</v>
      </c>
      <c r="B15" s="897" t="s">
        <v>82</v>
      </c>
      <c r="C15" s="889" t="s">
        <v>252</v>
      </c>
      <c r="D15" t="str">
        <f t="shared" si="1"/>
        <v>ALLEmailBWS</v>
      </c>
      <c r="E15" s="889" t="s">
        <v>260</v>
      </c>
    </row>
    <row r="16">
      <c r="A16" s="889" t="s">
        <v>698</v>
      </c>
      <c r="B16" s="889" t="s">
        <v>86</v>
      </c>
      <c r="C16" s="889" t="s">
        <v>252</v>
      </c>
      <c r="D16" t="str">
        <f t="shared" si="1"/>
        <v>ALLRewards AppBWS</v>
      </c>
      <c r="E16" s="889" t="s">
        <v>261</v>
      </c>
    </row>
    <row r="17">
      <c r="A17" s="889" t="s">
        <v>698</v>
      </c>
      <c r="B17" s="898" t="s">
        <v>600</v>
      </c>
      <c r="C17" s="889" t="s">
        <v>252</v>
      </c>
      <c r="D17" t="str">
        <f t="shared" si="1"/>
        <v>ALLPushBWS</v>
      </c>
      <c r="E17" s="889" t="s">
        <v>261</v>
      </c>
    </row>
    <row r="18">
      <c r="A18" s="899" t="s">
        <v>698</v>
      </c>
      <c r="B18" s="899" t="s">
        <v>657</v>
      </c>
      <c r="C18" s="889" t="s">
        <v>252</v>
      </c>
      <c r="D18" t="str">
        <f t="shared" si="1"/>
        <v>ALLAll Social (FB + Google)BWS</v>
      </c>
      <c r="E18" s="889" t="s">
        <v>261</v>
      </c>
    </row>
    <row r="19">
      <c r="A19" s="889" t="s">
        <v>698</v>
      </c>
      <c r="B19" s="897" t="s">
        <v>82</v>
      </c>
      <c r="C19" s="889" t="s">
        <v>585</v>
      </c>
      <c r="D19" t="str">
        <f t="shared" si="1"/>
        <v>ALLEmailLiquor Offers</v>
      </c>
      <c r="E19" s="889" t="s">
        <v>260</v>
      </c>
    </row>
    <row r="20">
      <c r="A20" s="889" t="s">
        <v>698</v>
      </c>
      <c r="B20" s="889" t="s">
        <v>86</v>
      </c>
      <c r="C20" s="889" t="s">
        <v>585</v>
      </c>
      <c r="D20" t="str">
        <f t="shared" si="1"/>
        <v>ALLRewards AppLiquor Offers</v>
      </c>
      <c r="E20" s="889" t="s">
        <v>260</v>
      </c>
    </row>
    <row r="21">
      <c r="A21" s="889" t="s">
        <v>698</v>
      </c>
      <c r="B21" s="898" t="s">
        <v>600</v>
      </c>
      <c r="C21" s="889" t="s">
        <v>585</v>
      </c>
      <c r="D21" t="str">
        <f t="shared" si="1"/>
        <v>ALLPushLiquor Offers</v>
      </c>
      <c r="E21" s="889" t="s">
        <v>260</v>
      </c>
    </row>
    <row r="22">
      <c r="A22" s="899" t="s">
        <v>698</v>
      </c>
      <c r="B22" s="899" t="s">
        <v>657</v>
      </c>
      <c r="C22" s="889" t="s">
        <v>585</v>
      </c>
      <c r="D22" t="str">
        <f t="shared" si="1"/>
        <v>ALLAll Social (FB + Google)Liquor Offers</v>
      </c>
      <c r="E22" s="889" t="s">
        <v>260</v>
      </c>
    </row>
    <row r="23">
      <c r="A23" s="889" t="s">
        <v>698</v>
      </c>
      <c r="B23" s="897" t="s">
        <v>82</v>
      </c>
      <c r="C23" s="889" t="s">
        <v>295</v>
      </c>
      <c r="D23" t="str">
        <f t="shared" si="1"/>
        <v>ALLEmailBig W</v>
      </c>
      <c r="E23" s="889" t="s">
        <v>260</v>
      </c>
    </row>
    <row r="24">
      <c r="A24" s="889" t="s">
        <v>698</v>
      </c>
      <c r="B24" s="889" t="s">
        <v>657</v>
      </c>
      <c r="C24" s="889" t="s">
        <v>295</v>
      </c>
      <c r="D24" t="str">
        <f t="shared" si="1"/>
        <v>ALLAll Social (FB + Google)Big W</v>
      </c>
      <c r="E24" s="889" t="s">
        <v>261</v>
      </c>
    </row>
    <row r="25">
      <c r="A25" s="889" t="s">
        <v>698</v>
      </c>
      <c r="B25" s="898" t="s">
        <v>600</v>
      </c>
      <c r="C25" s="889" t="s">
        <v>295</v>
      </c>
      <c r="D25" t="str">
        <f t="shared" si="1"/>
        <v>ALLPushBig W</v>
      </c>
      <c r="E25" s="889" t="s">
        <v>261</v>
      </c>
    </row>
    <row r="26">
      <c r="A26" s="899" t="s">
        <v>698</v>
      </c>
      <c r="B26" s="899" t="s">
        <v>657</v>
      </c>
      <c r="C26" s="889" t="s">
        <v>295</v>
      </c>
      <c r="D26" t="str">
        <f t="shared" si="1"/>
        <v>ALLAll Social (FB + Google)Big W</v>
      </c>
      <c r="E26" s="889" t="s">
        <v>261</v>
      </c>
    </row>
    <row r="27">
      <c r="A27" s="889" t="s">
        <v>698</v>
      </c>
      <c r="B27" s="897" t="s">
        <v>82</v>
      </c>
      <c r="C27" s="889" t="s">
        <v>265</v>
      </c>
      <c r="D27" t="str">
        <f t="shared" si="1"/>
        <v>ALLEmailFuel</v>
      </c>
      <c r="E27" s="889" t="s">
        <v>260</v>
      </c>
    </row>
    <row r="28">
      <c r="A28" s="889" t="s">
        <v>698</v>
      </c>
      <c r="B28" s="889" t="s">
        <v>86</v>
      </c>
      <c r="C28" s="889" t="s">
        <v>265</v>
      </c>
      <c r="D28" t="str">
        <f t="shared" si="1"/>
        <v>ALLRewards AppFuel</v>
      </c>
      <c r="E28" s="889" t="s">
        <v>261</v>
      </c>
    </row>
    <row r="29">
      <c r="A29" s="889" t="s">
        <v>698</v>
      </c>
      <c r="B29" s="898" t="s">
        <v>600</v>
      </c>
      <c r="C29" s="889" t="s">
        <v>265</v>
      </c>
      <c r="D29" t="str">
        <f t="shared" si="1"/>
        <v>ALLPushFuel</v>
      </c>
      <c r="E29" s="889" t="s">
        <v>261</v>
      </c>
    </row>
    <row r="30">
      <c r="A30" s="899" t="s">
        <v>698</v>
      </c>
      <c r="B30" s="899" t="s">
        <v>657</v>
      </c>
      <c r="C30" s="889" t="s">
        <v>265</v>
      </c>
      <c r="D30" t="str">
        <f t="shared" si="1"/>
        <v>ALLAll Social (FB + Google)Fuel</v>
      </c>
      <c r="E30" s="889" t="s">
        <v>261</v>
      </c>
    </row>
    <row r="31">
      <c r="A31" s="889" t="s">
        <v>698</v>
      </c>
      <c r="B31" s="897" t="s">
        <v>82</v>
      </c>
      <c r="C31" s="889" t="s">
        <v>255</v>
      </c>
      <c r="D31" t="str">
        <f t="shared" si="1"/>
        <v>ALLEmailProgram Affiliates</v>
      </c>
      <c r="E31" s="889" t="s">
        <v>260</v>
      </c>
    </row>
    <row r="32">
      <c r="A32" s="889" t="s">
        <v>698</v>
      </c>
      <c r="B32" s="889" t="s">
        <v>86</v>
      </c>
      <c r="C32" s="889" t="s">
        <v>255</v>
      </c>
      <c r="D32" t="str">
        <f t="shared" si="1"/>
        <v>ALLRewards AppProgram Affiliates</v>
      </c>
      <c r="E32" s="889" t="s">
        <v>261</v>
      </c>
    </row>
    <row r="33">
      <c r="A33" s="889" t="s">
        <v>698</v>
      </c>
      <c r="B33" s="898" t="s">
        <v>600</v>
      </c>
      <c r="C33" s="889" t="s">
        <v>255</v>
      </c>
      <c r="D33" t="str">
        <f t="shared" si="1"/>
        <v>ALLPushProgram Affiliates</v>
      </c>
      <c r="E33" s="889" t="s">
        <v>261</v>
      </c>
    </row>
    <row r="34">
      <c r="A34" s="899" t="s">
        <v>698</v>
      </c>
      <c r="B34" s="899" t="s">
        <v>657</v>
      </c>
      <c r="C34" s="889" t="s">
        <v>255</v>
      </c>
      <c r="D34" t="str">
        <f t="shared" si="1"/>
        <v>ALLAll Social (FB + Google)Program Affiliates</v>
      </c>
      <c r="E34" s="889" t="s">
        <v>261</v>
      </c>
    </row>
    <row r="35">
      <c r="A35" s="889" t="s">
        <v>698</v>
      </c>
      <c r="B35" s="897" t="s">
        <v>82</v>
      </c>
      <c r="C35" s="889" t="s">
        <v>682</v>
      </c>
      <c r="D35" t="str">
        <f t="shared" si="1"/>
        <v>ALLEmailServices BU - Deduplicated Sendlist</v>
      </c>
      <c r="E35" s="889" t="s">
        <v>260</v>
      </c>
    </row>
    <row r="36">
      <c r="A36" s="889" t="s">
        <v>698</v>
      </c>
      <c r="B36" s="889" t="s">
        <v>86</v>
      </c>
      <c r="C36" s="889" t="s">
        <v>682</v>
      </c>
      <c r="D36" t="str">
        <f t="shared" si="1"/>
        <v>ALLRewards AppServices BU - Deduplicated Sendlist</v>
      </c>
      <c r="E36" s="889" t="s">
        <v>261</v>
      </c>
    </row>
    <row r="37">
      <c r="A37" s="889" t="s">
        <v>698</v>
      </c>
      <c r="B37" s="898" t="s">
        <v>600</v>
      </c>
      <c r="C37" s="889" t="s">
        <v>682</v>
      </c>
      <c r="D37" t="str">
        <f t="shared" si="1"/>
        <v>ALLPushServices BU - Deduplicated Sendlist</v>
      </c>
      <c r="E37" s="889" t="s">
        <v>261</v>
      </c>
    </row>
    <row r="38">
      <c r="A38" s="899" t="s">
        <v>698</v>
      </c>
      <c r="B38" s="899" t="s">
        <v>657</v>
      </c>
      <c r="C38" s="889" t="s">
        <v>682</v>
      </c>
      <c r="D38" t="str">
        <f t="shared" si="1"/>
        <v>ALLAll Social (FB + Google)Services BU - Deduplicated Sendlist</v>
      </c>
      <c r="E38" s="889" t="s">
        <v>261</v>
      </c>
    </row>
    <row r="39">
      <c r="A39" s="889" t="s">
        <v>698</v>
      </c>
      <c r="B39" s="897" t="s">
        <v>82</v>
      </c>
      <c r="C39" s="889" t="s">
        <v>690</v>
      </c>
      <c r="D39" t="str">
        <f t="shared" si="1"/>
        <v>ALLEmailPopup Partners</v>
      </c>
      <c r="E39" s="889" t="s">
        <v>260</v>
      </c>
    </row>
    <row r="40">
      <c r="A40" s="889" t="s">
        <v>698</v>
      </c>
      <c r="B40" s="889" t="s">
        <v>86</v>
      </c>
      <c r="C40" s="889" t="s">
        <v>690</v>
      </c>
      <c r="D40" t="str">
        <f t="shared" si="1"/>
        <v>ALLRewards AppPopup Partners</v>
      </c>
      <c r="E40" s="889" t="s">
        <v>261</v>
      </c>
    </row>
    <row r="41">
      <c r="A41" s="889" t="s">
        <v>698</v>
      </c>
      <c r="B41" s="898" t="s">
        <v>600</v>
      </c>
      <c r="C41" s="889" t="s">
        <v>690</v>
      </c>
      <c r="D41" t="str">
        <f t="shared" si="1"/>
        <v>ALLPushPopup Partners</v>
      </c>
      <c r="E41" s="889" t="s">
        <v>261</v>
      </c>
    </row>
    <row r="42">
      <c r="A42" s="899" t="s">
        <v>698</v>
      </c>
      <c r="B42" s="899" t="s">
        <v>657</v>
      </c>
      <c r="C42" s="889" t="s">
        <v>690</v>
      </c>
      <c r="D42" t="str">
        <f t="shared" si="1"/>
        <v>ALLAll Social (FB + Google)Popup Partners</v>
      </c>
      <c r="E42" s="889" t="s">
        <v>261</v>
      </c>
    </row>
    <row r="43">
      <c r="A43" s="889" t="s">
        <v>698</v>
      </c>
      <c r="B43" s="897" t="s">
        <v>82</v>
      </c>
      <c r="C43" s="889" t="s">
        <v>293</v>
      </c>
      <c r="D43" t="str">
        <f t="shared" si="1"/>
        <v>ALLEmailQantas</v>
      </c>
      <c r="E43" s="889" t="s">
        <v>260</v>
      </c>
    </row>
    <row r="44">
      <c r="A44" s="889" t="s">
        <v>698</v>
      </c>
      <c r="B44" s="889" t="s">
        <v>86</v>
      </c>
      <c r="C44" s="889" t="s">
        <v>293</v>
      </c>
      <c r="D44" t="str">
        <f t="shared" si="1"/>
        <v>ALLRewards AppQantas</v>
      </c>
      <c r="E44" s="889" t="s">
        <v>261</v>
      </c>
    </row>
    <row r="45">
      <c r="A45" s="889" t="s">
        <v>698</v>
      </c>
      <c r="B45" s="898" t="s">
        <v>600</v>
      </c>
      <c r="C45" s="889" t="s">
        <v>293</v>
      </c>
      <c r="D45" t="str">
        <f t="shared" si="1"/>
        <v>ALLPushQantas</v>
      </c>
      <c r="E45" s="889" t="s">
        <v>261</v>
      </c>
    </row>
    <row r="46">
      <c r="A46" s="899" t="s">
        <v>698</v>
      </c>
      <c r="B46" s="899" t="s">
        <v>657</v>
      </c>
      <c r="C46" s="889" t="s">
        <v>293</v>
      </c>
      <c r="D46" t="str">
        <f t="shared" si="1"/>
        <v>ALLAll Social (FB + Google)Qantas</v>
      </c>
      <c r="E46" s="889" t="s">
        <v>261</v>
      </c>
    </row>
    <row r="47">
      <c r="A47" s="889" t="s">
        <v>698</v>
      </c>
      <c r="B47" s="897" t="s">
        <v>82</v>
      </c>
      <c r="C47" s="889" t="s">
        <v>296</v>
      </c>
      <c r="D47" t="str">
        <f t="shared" si="1"/>
        <v>ALLEmailBupa</v>
      </c>
      <c r="E47" s="889" t="s">
        <v>260</v>
      </c>
    </row>
    <row r="48">
      <c r="A48" s="889" t="s">
        <v>698</v>
      </c>
      <c r="B48" s="889" t="s">
        <v>86</v>
      </c>
      <c r="C48" s="889" t="s">
        <v>296</v>
      </c>
      <c r="D48" t="str">
        <f t="shared" si="1"/>
        <v>ALLRewards AppBupa</v>
      </c>
      <c r="E48" s="889" t="s">
        <v>261</v>
      </c>
    </row>
    <row r="49">
      <c r="A49" s="889" t="s">
        <v>698</v>
      </c>
      <c r="B49" s="898" t="s">
        <v>600</v>
      </c>
      <c r="C49" s="889" t="s">
        <v>296</v>
      </c>
      <c r="D49" t="str">
        <f t="shared" si="1"/>
        <v>ALLPushBupa</v>
      </c>
      <c r="E49" s="889" t="s">
        <v>261</v>
      </c>
    </row>
    <row r="50">
      <c r="A50" s="899" t="s">
        <v>698</v>
      </c>
      <c r="B50" s="899" t="s">
        <v>657</v>
      </c>
      <c r="C50" s="889" t="s">
        <v>296</v>
      </c>
      <c r="D50" t="str">
        <f t="shared" si="1"/>
        <v>ALLAll Social (FB + Google)Bupa</v>
      </c>
      <c r="E50" s="889" t="s">
        <v>261</v>
      </c>
    </row>
    <row r="51">
      <c r="A51" s="889" t="s">
        <v>698</v>
      </c>
      <c r="B51" s="897" t="s">
        <v>82</v>
      </c>
      <c r="C51" s="889" t="s">
        <v>298</v>
      </c>
      <c r="D51" t="str">
        <f t="shared" si="1"/>
        <v>ALLEmailOrigin</v>
      </c>
      <c r="E51" s="889" t="s">
        <v>260</v>
      </c>
    </row>
    <row r="52">
      <c r="A52" s="889" t="s">
        <v>698</v>
      </c>
      <c r="B52" s="889" t="s">
        <v>86</v>
      </c>
      <c r="C52" s="889" t="s">
        <v>298</v>
      </c>
      <c r="D52" t="str">
        <f t="shared" si="1"/>
        <v>ALLRewards AppOrigin</v>
      </c>
      <c r="E52" s="889" t="s">
        <v>261</v>
      </c>
    </row>
    <row r="53">
      <c r="A53" s="889" t="s">
        <v>698</v>
      </c>
      <c r="B53" s="898" t="s">
        <v>600</v>
      </c>
      <c r="C53" s="889" t="s">
        <v>298</v>
      </c>
      <c r="D53" t="str">
        <f t="shared" si="1"/>
        <v>ALLPushOrigin</v>
      </c>
      <c r="E53" s="889" t="s">
        <v>261</v>
      </c>
    </row>
    <row r="54">
      <c r="A54" s="899" t="s">
        <v>698</v>
      </c>
      <c r="B54" s="899" t="s">
        <v>657</v>
      </c>
      <c r="C54" s="889" t="s">
        <v>298</v>
      </c>
      <c r="D54" t="str">
        <f t="shared" si="1"/>
        <v>ALLAll Social (FB + Google)Origin</v>
      </c>
      <c r="E54" s="889" t="s">
        <v>261</v>
      </c>
    </row>
    <row r="55">
      <c r="A55" s="889" t="s">
        <v>698</v>
      </c>
      <c r="B55" s="897" t="s">
        <v>82</v>
      </c>
      <c r="C55" s="889" t="s">
        <v>687</v>
      </c>
      <c r="D55" t="str">
        <f t="shared" si="1"/>
        <v>ALLEmailMarley Spoon</v>
      </c>
      <c r="E55" s="889" t="s">
        <v>260</v>
      </c>
    </row>
    <row r="56">
      <c r="A56" s="889" t="s">
        <v>698</v>
      </c>
      <c r="B56" s="889" t="s">
        <v>86</v>
      </c>
      <c r="C56" s="889" t="s">
        <v>687</v>
      </c>
      <c r="D56" t="str">
        <f t="shared" si="1"/>
        <v>ALLRewards AppMarley Spoon</v>
      </c>
      <c r="E56" s="889" t="s">
        <v>261</v>
      </c>
    </row>
    <row r="57">
      <c r="A57" s="889" t="s">
        <v>698</v>
      </c>
      <c r="B57" s="898" t="s">
        <v>600</v>
      </c>
      <c r="C57" s="889" t="s">
        <v>687</v>
      </c>
      <c r="D57" t="str">
        <f t="shared" si="1"/>
        <v>ALLPushMarley Spoon</v>
      </c>
      <c r="E57" s="889" t="s">
        <v>261</v>
      </c>
    </row>
    <row r="58">
      <c r="A58" s="899" t="s">
        <v>698</v>
      </c>
      <c r="B58" s="899" t="s">
        <v>657</v>
      </c>
      <c r="C58" s="889" t="s">
        <v>687</v>
      </c>
      <c r="D58" t="str">
        <f t="shared" si="1"/>
        <v>ALLAll Social (FB + Google)Marley Spoon</v>
      </c>
      <c r="E58" s="889" t="s">
        <v>261</v>
      </c>
    </row>
    <row r="59">
      <c r="A59" s="889" t="s">
        <v>698</v>
      </c>
      <c r="B59" s="897" t="s">
        <v>82</v>
      </c>
      <c r="C59" s="889" t="s">
        <v>688</v>
      </c>
      <c r="D59" t="str">
        <f t="shared" si="1"/>
        <v>ALLEmailPet Culture</v>
      </c>
      <c r="E59" s="889" t="s">
        <v>260</v>
      </c>
    </row>
    <row r="60">
      <c r="A60" s="889" t="s">
        <v>698</v>
      </c>
      <c r="B60" s="889" t="s">
        <v>86</v>
      </c>
      <c r="C60" s="889" t="s">
        <v>688</v>
      </c>
      <c r="D60" t="str">
        <f t="shared" si="1"/>
        <v>ALLRewards AppPet Culture</v>
      </c>
      <c r="E60" s="889" t="s">
        <v>261</v>
      </c>
    </row>
    <row r="61">
      <c r="A61" s="889" t="s">
        <v>698</v>
      </c>
      <c r="B61" s="898" t="s">
        <v>600</v>
      </c>
      <c r="C61" s="889" t="s">
        <v>688</v>
      </c>
      <c r="D61" t="str">
        <f t="shared" si="1"/>
        <v>ALLPushPet Culture</v>
      </c>
      <c r="E61" s="889" t="s">
        <v>261</v>
      </c>
    </row>
    <row r="62">
      <c r="A62" s="899" t="s">
        <v>698</v>
      </c>
      <c r="B62" s="899" t="s">
        <v>657</v>
      </c>
      <c r="C62" s="889" t="s">
        <v>688</v>
      </c>
      <c r="D62" t="str">
        <f t="shared" si="1"/>
        <v>ALLAll Social (FB + Google)Pet Culture</v>
      </c>
      <c r="E62" s="889" t="s">
        <v>261</v>
      </c>
    </row>
    <row r="63">
      <c r="A63" s="889" t="s">
        <v>698</v>
      </c>
      <c r="B63" s="897" t="s">
        <v>82</v>
      </c>
      <c r="C63" s="889" t="s">
        <v>689</v>
      </c>
      <c r="D63" t="str">
        <f t="shared" si="1"/>
        <v>ALLEmailSuper Pharmacy</v>
      </c>
      <c r="E63" s="889" t="s">
        <v>260</v>
      </c>
    </row>
    <row r="64">
      <c r="A64" s="889" t="s">
        <v>698</v>
      </c>
      <c r="B64" s="889" t="s">
        <v>86</v>
      </c>
      <c r="C64" s="889" t="s">
        <v>689</v>
      </c>
      <c r="D64" t="str">
        <f t="shared" si="1"/>
        <v>ALLRewards AppSuper Pharmacy</v>
      </c>
      <c r="E64" s="889" t="s">
        <v>261</v>
      </c>
    </row>
    <row r="65">
      <c r="A65" s="889" t="s">
        <v>698</v>
      </c>
      <c r="B65" s="898" t="s">
        <v>600</v>
      </c>
      <c r="C65" s="889" t="s">
        <v>689</v>
      </c>
      <c r="D65" t="str">
        <f t="shared" si="1"/>
        <v>ALLPushSuper Pharmacy</v>
      </c>
      <c r="E65" s="889" t="s">
        <v>261</v>
      </c>
    </row>
    <row r="66">
      <c r="A66" s="899" t="s">
        <v>698</v>
      </c>
      <c r="B66" s="899" t="s">
        <v>657</v>
      </c>
      <c r="C66" s="889" t="s">
        <v>689</v>
      </c>
      <c r="D66" t="str">
        <f t="shared" si="1"/>
        <v>ALLAll Social (FB + Google)Super Pharmacy</v>
      </c>
      <c r="E66" s="889" t="s">
        <v>261</v>
      </c>
    </row>
    <row r="67">
      <c r="A67" s="889" t="s">
        <v>698</v>
      </c>
      <c r="B67" s="897" t="s">
        <v>82</v>
      </c>
      <c r="C67" s="889" t="s">
        <v>300</v>
      </c>
      <c r="D67" t="str">
        <f t="shared" si="1"/>
        <v>ALLEmailHealthy Life</v>
      </c>
      <c r="E67" s="889" t="s">
        <v>260</v>
      </c>
    </row>
    <row r="68">
      <c r="A68" s="889" t="s">
        <v>698</v>
      </c>
      <c r="B68" s="889" t="s">
        <v>86</v>
      </c>
      <c r="C68" s="889" t="s">
        <v>300</v>
      </c>
      <c r="D68" t="str">
        <f t="shared" si="1"/>
        <v>ALLRewards AppHealthy Life</v>
      </c>
      <c r="E68" s="889" t="s">
        <v>261</v>
      </c>
    </row>
    <row r="69">
      <c r="A69" s="889" t="s">
        <v>698</v>
      </c>
      <c r="B69" s="898" t="s">
        <v>600</v>
      </c>
      <c r="C69" s="889" t="s">
        <v>300</v>
      </c>
      <c r="D69" t="str">
        <f t="shared" si="1"/>
        <v>ALLPushHealthy Life</v>
      </c>
      <c r="E69" s="889" t="s">
        <v>261</v>
      </c>
    </row>
    <row r="70">
      <c r="A70" s="899" t="s">
        <v>698</v>
      </c>
      <c r="B70" s="899" t="s">
        <v>657</v>
      </c>
      <c r="C70" s="889" t="s">
        <v>300</v>
      </c>
      <c r="D70" t="str">
        <f t="shared" si="1"/>
        <v>ALLAll Social (FB + Google)Healthy Life</v>
      </c>
      <c r="E70" s="889" t="s">
        <v>261</v>
      </c>
    </row>
    <row r="71">
      <c r="A71" s="889" t="s">
        <v>698</v>
      </c>
      <c r="B71" s="897" t="s">
        <v>82</v>
      </c>
      <c r="C71" s="889" t="s">
        <v>614</v>
      </c>
      <c r="D71" t="str">
        <f t="shared" si="1"/>
        <v>ALLEmailCustomer Feedback</v>
      </c>
      <c r="E71" s="889" t="s">
        <v>260</v>
      </c>
    </row>
    <row r="72">
      <c r="A72" s="889" t="s">
        <v>698</v>
      </c>
      <c r="B72" s="889" t="s">
        <v>86</v>
      </c>
      <c r="C72" s="889" t="s">
        <v>614</v>
      </c>
      <c r="D72" t="str">
        <f t="shared" si="1"/>
        <v>ALLRewards AppCustomer Feedback</v>
      </c>
      <c r="E72" s="889" t="s">
        <v>261</v>
      </c>
    </row>
    <row r="73">
      <c r="A73" s="889" t="s">
        <v>698</v>
      </c>
      <c r="B73" s="898" t="s">
        <v>600</v>
      </c>
      <c r="C73" s="889" t="s">
        <v>614</v>
      </c>
      <c r="D73" t="str">
        <f t="shared" si="1"/>
        <v>ALLPushCustomer Feedback</v>
      </c>
      <c r="E73" s="889" t="s">
        <v>261</v>
      </c>
    </row>
    <row r="74">
      <c r="A74" s="899" t="s">
        <v>698</v>
      </c>
      <c r="B74" s="899" t="s">
        <v>657</v>
      </c>
      <c r="C74" s="889" t="s">
        <v>614</v>
      </c>
      <c r="D74" t="str">
        <f t="shared" si="1"/>
        <v>ALLAll Social (FB + Google)Customer Feedback</v>
      </c>
      <c r="E74" s="889" t="s">
        <v>261</v>
      </c>
    </row>
    <row r="75">
      <c r="A75" s="889" t="s">
        <v>698</v>
      </c>
      <c r="B75" s="897" t="s">
        <v>82</v>
      </c>
      <c r="C75" s="889" t="s">
        <v>304</v>
      </c>
      <c r="D75" t="str">
        <f t="shared" si="1"/>
        <v>ALLEmailMyDeal</v>
      </c>
      <c r="E75" s="889" t="s">
        <v>260</v>
      </c>
    </row>
    <row r="76">
      <c r="A76" s="889" t="s">
        <v>698</v>
      </c>
      <c r="B76" s="889" t="s">
        <v>86</v>
      </c>
      <c r="C76" s="889" t="s">
        <v>304</v>
      </c>
      <c r="D76" t="str">
        <f t="shared" si="1"/>
        <v>ALLRewards AppMyDeal</v>
      </c>
      <c r="E76" s="889" t="s">
        <v>261</v>
      </c>
    </row>
    <row r="77">
      <c r="A77" s="889" t="s">
        <v>698</v>
      </c>
      <c r="B77" s="898" t="s">
        <v>600</v>
      </c>
      <c r="C77" s="889" t="s">
        <v>304</v>
      </c>
      <c r="D77" t="str">
        <f t="shared" si="1"/>
        <v>ALLPushMyDeal</v>
      </c>
      <c r="E77" s="889" t="s">
        <v>261</v>
      </c>
    </row>
    <row r="78">
      <c r="A78" s="899" t="s">
        <v>698</v>
      </c>
      <c r="B78" s="899" t="s">
        <v>657</v>
      </c>
      <c r="C78" s="889" t="s">
        <v>304</v>
      </c>
      <c r="D78" t="str">
        <f t="shared" si="1"/>
        <v>ALLAll Social (FB + Google)MyDeal</v>
      </c>
      <c r="E78" s="889" t="s">
        <v>261</v>
      </c>
    </row>
    <row r="79">
      <c r="A79" s="889" t="s">
        <v>698</v>
      </c>
      <c r="B79" s="897" t="s">
        <v>82</v>
      </c>
      <c r="C79" s="889" t="s">
        <v>268</v>
      </c>
      <c r="D79" t="str">
        <f t="shared" si="1"/>
        <v>ALLEmailContact preference (website) - email</v>
      </c>
      <c r="E79" s="889" t="s">
        <v>260</v>
      </c>
    </row>
    <row r="80">
      <c r="A80" s="889" t="s">
        <v>698</v>
      </c>
      <c r="B80" s="889" t="s">
        <v>86</v>
      </c>
      <c r="C80" s="889" t="s">
        <v>268</v>
      </c>
      <c r="D80" t="str">
        <f t="shared" si="1"/>
        <v>ALLRewards AppContact preference (website) - email</v>
      </c>
      <c r="E80" s="889" t="s">
        <v>261</v>
      </c>
    </row>
    <row r="81">
      <c r="A81" s="889" t="s">
        <v>698</v>
      </c>
      <c r="B81" s="898" t="s">
        <v>600</v>
      </c>
      <c r="C81" s="889" t="s">
        <v>268</v>
      </c>
      <c r="D81" t="str">
        <f t="shared" si="1"/>
        <v>ALLPushContact preference (website) - email</v>
      </c>
      <c r="E81" s="889" t="s">
        <v>261</v>
      </c>
    </row>
    <row r="82">
      <c r="A82" s="899" t="s">
        <v>698</v>
      </c>
      <c r="B82" s="899" t="s">
        <v>657</v>
      </c>
      <c r="C82" s="889" t="s">
        <v>268</v>
      </c>
      <c r="D82" t="str">
        <f t="shared" si="1"/>
        <v>ALLAll Social (FB + Google)Contact preference (website) - email</v>
      </c>
      <c r="E82" s="889" t="s">
        <v>261</v>
      </c>
    </row>
    <row r="83">
      <c r="A83" s="889" t="s">
        <v>698</v>
      </c>
      <c r="B83" s="897" t="s">
        <v>82</v>
      </c>
      <c r="C83" s="889" t="s">
        <v>271</v>
      </c>
      <c r="D83" t="str">
        <f t="shared" si="1"/>
        <v>ALLEmailCancelled Woolworths Reward Card</v>
      </c>
      <c r="E83" s="889" t="b">
        <v>1</v>
      </c>
    </row>
    <row r="84">
      <c r="A84" s="889" t="s">
        <v>698</v>
      </c>
      <c r="B84" s="889" t="s">
        <v>86</v>
      </c>
      <c r="C84" s="889" t="s">
        <v>271</v>
      </c>
      <c r="D84" t="str">
        <f t="shared" si="1"/>
        <v>ALLRewards AppCancelled Woolworths Reward Card</v>
      </c>
      <c r="E84" s="889" t="b">
        <v>1</v>
      </c>
    </row>
    <row r="85">
      <c r="A85" s="889" t="s">
        <v>698</v>
      </c>
      <c r="B85" s="898" t="s">
        <v>600</v>
      </c>
      <c r="C85" s="889" t="s">
        <v>271</v>
      </c>
      <c r="D85" t="str">
        <f t="shared" si="1"/>
        <v>ALLPushCancelled Woolworths Reward Card</v>
      </c>
      <c r="E85" s="889" t="b">
        <v>1</v>
      </c>
    </row>
    <row r="86">
      <c r="A86" s="899" t="s">
        <v>698</v>
      </c>
      <c r="B86" s="899" t="s">
        <v>657</v>
      </c>
      <c r="C86" s="889" t="s">
        <v>271</v>
      </c>
      <c r="D86" t="str">
        <f t="shared" si="1"/>
        <v>ALLAll Social (FB + Google)Cancelled Woolworths Reward Card</v>
      </c>
      <c r="E86" s="889" t="b">
        <v>1</v>
      </c>
    </row>
    <row r="87">
      <c r="A87" s="889" t="s">
        <v>698</v>
      </c>
      <c r="B87" s="897" t="s">
        <v>82</v>
      </c>
      <c r="C87" s="889" t="s">
        <v>105</v>
      </c>
      <c r="D87" t="str">
        <f t="shared" si="1"/>
        <v>ALLEmailDeceased</v>
      </c>
      <c r="E87" s="889" t="b">
        <v>1</v>
      </c>
    </row>
    <row r="88">
      <c r="A88" s="889" t="s">
        <v>698</v>
      </c>
      <c r="B88" s="889" t="s">
        <v>86</v>
      </c>
      <c r="C88" s="889" t="s">
        <v>105</v>
      </c>
      <c r="D88" t="str">
        <f t="shared" si="1"/>
        <v>ALLRewards AppDeceased</v>
      </c>
      <c r="E88" s="889" t="b">
        <v>1</v>
      </c>
    </row>
    <row r="89">
      <c r="A89" s="889" t="s">
        <v>698</v>
      </c>
      <c r="B89" s="898" t="s">
        <v>600</v>
      </c>
      <c r="C89" s="889" t="s">
        <v>105</v>
      </c>
      <c r="D89" t="str">
        <f t="shared" si="1"/>
        <v>ALLPushDeceased</v>
      </c>
      <c r="E89" s="889" t="b">
        <v>1</v>
      </c>
    </row>
    <row r="90">
      <c r="A90" s="899" t="s">
        <v>698</v>
      </c>
      <c r="B90" s="899" t="s">
        <v>657</v>
      </c>
      <c r="C90" s="889" t="s">
        <v>105</v>
      </c>
      <c r="D90" t="str">
        <f t="shared" si="1"/>
        <v>ALLAll Social (FB + Google)Deceased</v>
      </c>
      <c r="E90" s="889" t="b">
        <v>1</v>
      </c>
    </row>
    <row r="91">
      <c r="A91" s="889" t="s">
        <v>698</v>
      </c>
      <c r="B91" s="897" t="s">
        <v>82</v>
      </c>
      <c r="C91" s="889" t="s">
        <v>106</v>
      </c>
      <c r="D91" t="str">
        <f t="shared" si="1"/>
        <v>ALLEmailAge &lt; 16 years</v>
      </c>
      <c r="E91" s="889" t="b">
        <v>1</v>
      </c>
    </row>
    <row r="92">
      <c r="A92" s="889" t="s">
        <v>698</v>
      </c>
      <c r="B92" s="889" t="s">
        <v>86</v>
      </c>
      <c r="C92" s="889" t="s">
        <v>106</v>
      </c>
      <c r="D92" t="str">
        <f t="shared" si="1"/>
        <v>ALLRewards AppAge &lt; 16 years</v>
      </c>
      <c r="E92" s="889" t="b">
        <v>1</v>
      </c>
    </row>
    <row r="93">
      <c r="A93" s="889" t="s">
        <v>698</v>
      </c>
      <c r="B93" s="898" t="s">
        <v>600</v>
      </c>
      <c r="C93" s="889" t="s">
        <v>106</v>
      </c>
      <c r="D93" t="str">
        <f t="shared" si="1"/>
        <v>ALLPushAge &lt; 16 years</v>
      </c>
      <c r="E93" s="889" t="b">
        <v>1</v>
      </c>
    </row>
    <row r="94">
      <c r="A94" s="899" t="s">
        <v>698</v>
      </c>
      <c r="B94" s="899" t="s">
        <v>657</v>
      </c>
      <c r="C94" s="889" t="s">
        <v>106</v>
      </c>
      <c r="D94" t="str">
        <f t="shared" si="1"/>
        <v>ALLAll Social (FB + Google)Age &lt; 16 years</v>
      </c>
      <c r="E94" s="889" t="b">
        <v>1</v>
      </c>
    </row>
    <row r="95">
      <c r="A95" s="889" t="s">
        <v>698</v>
      </c>
      <c r="B95" s="897" t="s">
        <v>82</v>
      </c>
      <c r="C95" s="889" t="s">
        <v>129</v>
      </c>
      <c r="D95" t="str">
        <f t="shared" si="1"/>
        <v>ALLEmailDC Universal Control Group</v>
      </c>
      <c r="E95" s="889" t="b">
        <v>1</v>
      </c>
    </row>
    <row r="96">
      <c r="A96" s="889" t="s">
        <v>698</v>
      </c>
      <c r="B96" s="889" t="s">
        <v>86</v>
      </c>
      <c r="C96" s="889" t="s">
        <v>129</v>
      </c>
      <c r="D96" t="str">
        <f t="shared" si="1"/>
        <v>ALLRewards AppDC Universal Control Group</v>
      </c>
      <c r="E96" s="889" t="b">
        <v>0</v>
      </c>
    </row>
    <row r="97">
      <c r="A97" s="889" t="s">
        <v>698</v>
      </c>
      <c r="B97" s="898" t="s">
        <v>600</v>
      </c>
      <c r="C97" s="889" t="s">
        <v>129</v>
      </c>
      <c r="D97" t="str">
        <f t="shared" si="1"/>
        <v>ALLPushDC Universal Control Group</v>
      </c>
      <c r="E97" s="889" t="b">
        <v>0</v>
      </c>
    </row>
    <row r="98">
      <c r="A98" s="899" t="s">
        <v>698</v>
      </c>
      <c r="B98" s="899" t="s">
        <v>657</v>
      </c>
      <c r="C98" s="889" t="s">
        <v>129</v>
      </c>
      <c r="D98" t="str">
        <f t="shared" si="1"/>
        <v>ALLAll Social (FB + Google)DC Universal Control Group</v>
      </c>
      <c r="E98" s="889" t="b">
        <v>0</v>
      </c>
    </row>
    <row r="99">
      <c r="A99" s="889" t="s">
        <v>698</v>
      </c>
      <c r="B99" s="897" t="s">
        <v>82</v>
      </c>
      <c r="C99" s="889" t="s">
        <v>343</v>
      </c>
      <c r="D99" t="str">
        <f t="shared" si="1"/>
        <v>ALLEmailCompetitor Email (Add Domain here for Ref)</v>
      </c>
      <c r="E99" s="889" t="b">
        <v>1</v>
      </c>
    </row>
    <row r="100">
      <c r="A100" s="889" t="s">
        <v>698</v>
      </c>
      <c r="B100" s="889" t="s">
        <v>86</v>
      </c>
      <c r="C100" s="889" t="s">
        <v>343</v>
      </c>
      <c r="D100" t="str">
        <f t="shared" si="1"/>
        <v>ALLRewards AppCompetitor Email (Add Domain here for Ref)</v>
      </c>
      <c r="E100" s="889" t="b">
        <v>0</v>
      </c>
    </row>
    <row r="101">
      <c r="A101" s="889" t="s">
        <v>698</v>
      </c>
      <c r="B101" s="898" t="s">
        <v>600</v>
      </c>
      <c r="C101" s="889" t="s">
        <v>343</v>
      </c>
      <c r="D101" t="str">
        <f t="shared" si="1"/>
        <v>ALLPushCompetitor Email (Add Domain here for Ref)</v>
      </c>
      <c r="E101" s="889" t="b">
        <v>0</v>
      </c>
    </row>
    <row r="102">
      <c r="A102" s="899" t="s">
        <v>698</v>
      </c>
      <c r="B102" s="899" t="s">
        <v>657</v>
      </c>
      <c r="C102" s="889" t="s">
        <v>343</v>
      </c>
      <c r="D102" t="str">
        <f t="shared" si="1"/>
        <v>ALLAll Social (FB + Google)Competitor Email (Add Domain here for Ref)</v>
      </c>
      <c r="E102" s="889" t="b">
        <v>0</v>
      </c>
    </row>
    <row r="103">
      <c r="A103" s="889" t="s">
        <v>698</v>
      </c>
      <c r="B103" s="900" t="s">
        <v>82</v>
      </c>
      <c r="C103" s="889" t="s">
        <v>107</v>
      </c>
      <c r="D103" t="str">
        <f t="shared" si="1"/>
        <v>ALLEmailAge &lt; 18 years</v>
      </c>
      <c r="E103" s="889" t="b">
        <v>0</v>
      </c>
    </row>
    <row r="104">
      <c r="A104" s="889" t="s">
        <v>698</v>
      </c>
      <c r="B104" s="901" t="s">
        <v>86</v>
      </c>
      <c r="C104" s="889" t="s">
        <v>107</v>
      </c>
      <c r="D104" t="str">
        <f t="shared" si="1"/>
        <v>ALLRewards AppAge &lt; 18 years</v>
      </c>
      <c r="E104" s="889" t="b">
        <v>0</v>
      </c>
    </row>
    <row r="105">
      <c r="A105" s="889" t="s">
        <v>698</v>
      </c>
      <c r="B105" s="901" t="s">
        <v>86</v>
      </c>
      <c r="C105" s="889" t="s">
        <v>107</v>
      </c>
      <c r="D105" t="str">
        <f t="shared" si="1"/>
        <v>ALLRewards AppAge &lt; 18 years</v>
      </c>
      <c r="E105" s="889" t="b">
        <v>0</v>
      </c>
    </row>
    <row r="106">
      <c r="A106" s="899" t="s">
        <v>698</v>
      </c>
      <c r="B106" s="902" t="s">
        <v>657</v>
      </c>
      <c r="C106" s="889" t="s">
        <v>107</v>
      </c>
      <c r="D106" t="str">
        <f t="shared" si="1"/>
        <v>ALLAll Social (FB + Google)Age &lt; 18 years</v>
      </c>
      <c r="E106" s="889" t="b">
        <v>0</v>
      </c>
    </row>
    <row r="107">
      <c r="A107" s="889" t="s">
        <v>252</v>
      </c>
      <c r="B107" s="900" t="s">
        <v>82</v>
      </c>
      <c r="C107" s="889" t="s">
        <v>107</v>
      </c>
      <c r="D107" t="str">
        <f t="shared" si="1"/>
        <v>BWSEmailAge &lt; 18 years</v>
      </c>
      <c r="E107" s="889" t="b">
        <v>1</v>
      </c>
    </row>
    <row r="108">
      <c r="A108" s="889" t="s">
        <v>252</v>
      </c>
      <c r="B108" s="901" t="s">
        <v>86</v>
      </c>
      <c r="C108" s="889" t="s">
        <v>107</v>
      </c>
      <c r="D108" t="str">
        <f t="shared" si="1"/>
        <v>BWSRewards AppAge &lt; 18 years</v>
      </c>
      <c r="E108" s="889" t="b">
        <v>1</v>
      </c>
    </row>
    <row r="109">
      <c r="A109" s="889" t="s">
        <v>252</v>
      </c>
      <c r="B109" s="901" t="s">
        <v>86</v>
      </c>
      <c r="C109" s="889" t="s">
        <v>107</v>
      </c>
      <c r="D109" t="str">
        <f t="shared" si="1"/>
        <v>BWSRewards AppAge &lt; 18 years</v>
      </c>
      <c r="E109" s="889" t="b">
        <v>1</v>
      </c>
    </row>
    <row r="110">
      <c r="A110" s="899" t="s">
        <v>252</v>
      </c>
      <c r="B110" s="902" t="s">
        <v>657</v>
      </c>
      <c r="C110" s="889" t="s">
        <v>107</v>
      </c>
      <c r="D110" t="str">
        <f t="shared" si="1"/>
        <v>BWSAll Social (FB + Google)Age &lt; 18 years</v>
      </c>
      <c r="E110" s="889" t="b">
        <v>1</v>
      </c>
    </row>
    <row r="111">
      <c r="A111" s="889" t="s">
        <v>704</v>
      </c>
      <c r="B111" s="900" t="s">
        <v>82</v>
      </c>
      <c r="C111" s="889" t="s">
        <v>107</v>
      </c>
      <c r="D111" t="str">
        <f t="shared" si="1"/>
        <v>XSellEmailAge &lt; 18 years</v>
      </c>
      <c r="E111" s="889" t="b">
        <v>1</v>
      </c>
    </row>
    <row r="112">
      <c r="A112" s="889" t="s">
        <v>704</v>
      </c>
      <c r="B112" s="901" t="s">
        <v>86</v>
      </c>
      <c r="C112" s="889" t="s">
        <v>107</v>
      </c>
      <c r="D112" t="str">
        <f t="shared" si="1"/>
        <v>XSellRewards AppAge &lt; 18 years</v>
      </c>
      <c r="E112" s="889" t="b">
        <v>1</v>
      </c>
    </row>
    <row r="113">
      <c r="A113" s="889" t="s">
        <v>704</v>
      </c>
      <c r="B113" s="901" t="s">
        <v>86</v>
      </c>
      <c r="C113" s="889" t="s">
        <v>107</v>
      </c>
      <c r="D113" t="str">
        <f t="shared" si="1"/>
        <v>XSellRewards AppAge &lt; 18 years</v>
      </c>
      <c r="E113" s="889" t="b">
        <v>1</v>
      </c>
    </row>
    <row r="114">
      <c r="A114" s="899" t="s">
        <v>704</v>
      </c>
      <c r="B114" s="902" t="s">
        <v>657</v>
      </c>
      <c r="C114" s="889" t="s">
        <v>107</v>
      </c>
      <c r="D114" t="str">
        <f t="shared" si="1"/>
        <v>XSellAll Social (FB + Google)Age &lt; 18 years</v>
      </c>
      <c r="E114" s="889" t="b">
        <v>1</v>
      </c>
    </row>
    <row r="115">
      <c r="A115" s="889" t="s">
        <v>698</v>
      </c>
      <c r="B115" s="897" t="s">
        <v>82</v>
      </c>
      <c r="C115" s="889" t="s">
        <v>275</v>
      </c>
      <c r="D115" t="str">
        <f t="shared" si="1"/>
        <v>ALLEmailAge &gt; 100 years or Missing</v>
      </c>
      <c r="E115" s="889" t="b">
        <v>1</v>
      </c>
    </row>
    <row r="116">
      <c r="A116" s="889" t="s">
        <v>698</v>
      </c>
      <c r="B116" s="889" t="s">
        <v>86</v>
      </c>
      <c r="C116" s="889" t="s">
        <v>275</v>
      </c>
      <c r="D116" t="str">
        <f t="shared" si="1"/>
        <v>ALLRewards AppAge &gt; 100 years or Missing</v>
      </c>
      <c r="E116" s="889" t="b">
        <v>1</v>
      </c>
    </row>
    <row r="117">
      <c r="A117" s="889" t="s">
        <v>698</v>
      </c>
      <c r="B117" s="898" t="s">
        <v>600</v>
      </c>
      <c r="C117" s="889" t="s">
        <v>275</v>
      </c>
      <c r="D117" t="str">
        <f t="shared" si="1"/>
        <v>ALLPushAge &gt; 100 years or Missing</v>
      </c>
      <c r="E117" s="889" t="b">
        <v>1</v>
      </c>
    </row>
    <row r="118">
      <c r="A118" s="899" t="s">
        <v>698</v>
      </c>
      <c r="B118" s="899" t="s">
        <v>657</v>
      </c>
      <c r="C118" s="889" t="s">
        <v>275</v>
      </c>
      <c r="D118" t="str">
        <f t="shared" si="1"/>
        <v>ALLAll Social (FB + Google)Age &gt; 100 years or Missing</v>
      </c>
      <c r="E118" s="889" t="b">
        <v>1</v>
      </c>
    </row>
    <row r="119">
      <c r="A119" s="889" t="s">
        <v>698</v>
      </c>
      <c r="B119" s="897" t="s">
        <v>82</v>
      </c>
      <c r="C119" s="889" t="s">
        <v>110</v>
      </c>
      <c r="D119" t="str">
        <f t="shared" si="1"/>
        <v>ALLEmailOverseas</v>
      </c>
      <c r="E119" s="889" t="b">
        <v>1</v>
      </c>
    </row>
    <row r="120">
      <c r="A120" s="889" t="s">
        <v>698</v>
      </c>
      <c r="B120" s="889" t="s">
        <v>86</v>
      </c>
      <c r="C120" s="889" t="s">
        <v>110</v>
      </c>
      <c r="D120" t="str">
        <f t="shared" si="1"/>
        <v>ALLRewards AppOverseas</v>
      </c>
      <c r="E120" s="889" t="b">
        <v>1</v>
      </c>
    </row>
    <row r="121">
      <c r="A121" s="889" t="s">
        <v>698</v>
      </c>
      <c r="B121" s="898" t="s">
        <v>600</v>
      </c>
      <c r="C121" s="889" t="s">
        <v>110</v>
      </c>
      <c r="D121" t="str">
        <f t="shared" si="1"/>
        <v>ALLPushOverseas</v>
      </c>
      <c r="E121" s="889" t="b">
        <v>1</v>
      </c>
    </row>
    <row r="122">
      <c r="A122" s="899" t="s">
        <v>698</v>
      </c>
      <c r="B122" s="899" t="s">
        <v>657</v>
      </c>
      <c r="C122" s="889" t="s">
        <v>110</v>
      </c>
      <c r="D122" t="str">
        <f t="shared" si="1"/>
        <v>ALLAll Social (FB + Google)Overseas</v>
      </c>
      <c r="E122" s="889" t="b">
        <v>1</v>
      </c>
    </row>
    <row r="123">
      <c r="A123" s="889" t="s">
        <v>698</v>
      </c>
      <c r="B123" s="897" t="s">
        <v>82</v>
      </c>
      <c r="C123" s="889" t="s">
        <v>276</v>
      </c>
      <c r="D123" t="str">
        <f t="shared" si="1"/>
        <v>ALLEmailMalicious First Name</v>
      </c>
      <c r="E123" s="889" t="b">
        <v>1</v>
      </c>
    </row>
    <row r="124">
      <c r="A124" s="889" t="s">
        <v>698</v>
      </c>
      <c r="B124" s="898" t="s">
        <v>86</v>
      </c>
      <c r="C124" s="889" t="s">
        <v>276</v>
      </c>
      <c r="D124" t="str">
        <f t="shared" si="1"/>
        <v>ALLRewards AppMalicious First Name</v>
      </c>
      <c r="E124" s="889" t="b">
        <v>0</v>
      </c>
    </row>
    <row r="125">
      <c r="A125" s="889" t="s">
        <v>698</v>
      </c>
      <c r="B125" s="898" t="s">
        <v>600</v>
      </c>
      <c r="C125" s="889" t="s">
        <v>276</v>
      </c>
      <c r="D125" t="str">
        <f t="shared" si="1"/>
        <v>ALLPushMalicious First Name</v>
      </c>
      <c r="E125" s="889" t="b">
        <v>0</v>
      </c>
    </row>
    <row r="126">
      <c r="A126" s="899" t="s">
        <v>698</v>
      </c>
      <c r="B126" s="899" t="s">
        <v>657</v>
      </c>
      <c r="C126" s="889" t="s">
        <v>276</v>
      </c>
      <c r="D126" t="str">
        <f t="shared" si="1"/>
        <v>ALLAll Social (FB + Google)Malicious First Name</v>
      </c>
      <c r="E126" s="889" t="b">
        <v>0</v>
      </c>
    </row>
    <row r="127">
      <c r="A127" s="889" t="s">
        <v>698</v>
      </c>
      <c r="B127" s="897" t="s">
        <v>82</v>
      </c>
      <c r="C127" s="889" t="s">
        <v>345</v>
      </c>
      <c r="D127" t="str">
        <f t="shared" si="1"/>
        <v>ALLEmailMalicious Last Name</v>
      </c>
      <c r="E127" s="889" t="b">
        <v>0</v>
      </c>
    </row>
    <row r="128">
      <c r="A128" s="889" t="s">
        <v>698</v>
      </c>
      <c r="B128" s="889" t="s">
        <v>86</v>
      </c>
      <c r="C128" s="889" t="s">
        <v>345</v>
      </c>
      <c r="D128" t="str">
        <f t="shared" si="1"/>
        <v>ALLRewards AppMalicious Last Name</v>
      </c>
      <c r="E128" s="889" t="b">
        <v>0</v>
      </c>
    </row>
    <row r="129">
      <c r="A129" s="889" t="s">
        <v>698</v>
      </c>
      <c r="B129" s="898" t="s">
        <v>600</v>
      </c>
      <c r="C129" s="889" t="s">
        <v>345</v>
      </c>
      <c r="D129" t="str">
        <f t="shared" si="1"/>
        <v>ALLPushMalicious Last Name</v>
      </c>
      <c r="E129" s="889" t="b">
        <v>0</v>
      </c>
    </row>
    <row r="130">
      <c r="A130" s="899" t="s">
        <v>698</v>
      </c>
      <c r="B130" s="899" t="s">
        <v>657</v>
      </c>
      <c r="C130" s="889" t="s">
        <v>345</v>
      </c>
      <c r="D130" t="str">
        <f t="shared" si="1"/>
        <v>ALLAll Social (FB + Google)Malicious Last Name</v>
      </c>
      <c r="E130" s="889" t="b">
        <v>0</v>
      </c>
    </row>
    <row r="131">
      <c r="A131" s="889" t="s">
        <v>698</v>
      </c>
      <c r="B131" s="900" t="s">
        <v>82</v>
      </c>
      <c r="C131" s="889" t="s">
        <v>136</v>
      </c>
      <c r="D131" t="str">
        <f t="shared" si="1"/>
        <v>ALLEmailDry Postcodes (for Liquor Campaigns)</v>
      </c>
      <c r="E131" s="889" t="b">
        <v>0</v>
      </c>
    </row>
    <row r="132">
      <c r="A132" s="889" t="s">
        <v>698</v>
      </c>
      <c r="B132" s="901" t="s">
        <v>86</v>
      </c>
      <c r="C132" s="889" t="s">
        <v>136</v>
      </c>
      <c r="D132" t="str">
        <f t="shared" si="1"/>
        <v>ALLRewards AppDry Postcodes (for Liquor Campaigns)</v>
      </c>
      <c r="E132" s="889" t="b">
        <v>0</v>
      </c>
    </row>
    <row r="133">
      <c r="A133" s="889" t="s">
        <v>698</v>
      </c>
      <c r="B133" s="901" t="s">
        <v>86</v>
      </c>
      <c r="C133" s="889" t="s">
        <v>136</v>
      </c>
      <c r="D133" t="str">
        <f t="shared" si="1"/>
        <v>ALLRewards AppDry Postcodes (for Liquor Campaigns)</v>
      </c>
      <c r="E133" s="889" t="b">
        <v>0</v>
      </c>
    </row>
    <row r="134">
      <c r="A134" s="899" t="s">
        <v>698</v>
      </c>
      <c r="B134" s="902" t="s">
        <v>657</v>
      </c>
      <c r="C134" s="889" t="s">
        <v>136</v>
      </c>
      <c r="D134" t="str">
        <f t="shared" si="1"/>
        <v>ALLAll Social (FB + Google)Dry Postcodes (for Liquor Campaigns)</v>
      </c>
      <c r="E134" s="889" t="b">
        <v>0</v>
      </c>
    </row>
    <row r="135">
      <c r="A135" s="889" t="s">
        <v>252</v>
      </c>
      <c r="B135" s="900" t="s">
        <v>82</v>
      </c>
      <c r="C135" s="889" t="s">
        <v>136</v>
      </c>
      <c r="D135" t="str">
        <f t="shared" si="1"/>
        <v>BWSEmailDry Postcodes (for Liquor Campaigns)</v>
      </c>
      <c r="E135" s="889" t="b">
        <v>1</v>
      </c>
    </row>
    <row r="136">
      <c r="A136" s="889" t="s">
        <v>252</v>
      </c>
      <c r="B136" s="901" t="s">
        <v>86</v>
      </c>
      <c r="C136" s="889" t="s">
        <v>136</v>
      </c>
      <c r="D136" t="str">
        <f t="shared" si="1"/>
        <v>BWSRewards AppDry Postcodes (for Liquor Campaigns)</v>
      </c>
      <c r="E136" s="889" t="b">
        <v>1</v>
      </c>
    </row>
    <row r="137">
      <c r="A137" s="889" t="s">
        <v>252</v>
      </c>
      <c r="B137" s="901" t="s">
        <v>86</v>
      </c>
      <c r="C137" s="889" t="s">
        <v>136</v>
      </c>
      <c r="D137" t="str">
        <f t="shared" si="1"/>
        <v>BWSRewards AppDry Postcodes (for Liquor Campaigns)</v>
      </c>
      <c r="E137" s="889" t="b">
        <v>1</v>
      </c>
    </row>
    <row r="138">
      <c r="A138" s="899" t="s">
        <v>252</v>
      </c>
      <c r="B138" s="902" t="s">
        <v>657</v>
      </c>
      <c r="C138" s="889" t="s">
        <v>136</v>
      </c>
      <c r="D138" t="str">
        <f t="shared" si="1"/>
        <v>BWSAll Social (FB + Google)Dry Postcodes (for Liquor Campaigns)</v>
      </c>
      <c r="E138" s="889" t="b">
        <v>1</v>
      </c>
    </row>
    <row r="139">
      <c r="A139" s="889" t="s">
        <v>704</v>
      </c>
      <c r="B139" s="900" t="s">
        <v>82</v>
      </c>
      <c r="C139" s="889" t="s">
        <v>136</v>
      </c>
      <c r="D139" t="str">
        <f t="shared" si="1"/>
        <v>XSellEmailDry Postcodes (for Liquor Campaigns)</v>
      </c>
      <c r="E139" s="889" t="b">
        <v>1</v>
      </c>
    </row>
    <row r="140">
      <c r="A140" s="889" t="s">
        <v>704</v>
      </c>
      <c r="B140" s="901" t="s">
        <v>86</v>
      </c>
      <c r="C140" s="889" t="s">
        <v>136</v>
      </c>
      <c r="D140" t="str">
        <f t="shared" si="1"/>
        <v>XSellRewards AppDry Postcodes (for Liquor Campaigns)</v>
      </c>
      <c r="E140" s="889" t="b">
        <v>1</v>
      </c>
    </row>
    <row r="141">
      <c r="A141" s="889" t="s">
        <v>704</v>
      </c>
      <c r="B141" s="901" t="s">
        <v>600</v>
      </c>
      <c r="C141" s="889" t="s">
        <v>136</v>
      </c>
      <c r="D141" t="str">
        <f t="shared" si="1"/>
        <v>XSellPushDry Postcodes (for Liquor Campaigns)</v>
      </c>
      <c r="E141" s="889" t="b">
        <v>1</v>
      </c>
    </row>
    <row r="142">
      <c r="A142" s="899" t="s">
        <v>704</v>
      </c>
      <c r="B142" s="902" t="s">
        <v>657</v>
      </c>
      <c r="C142" s="889" t="s">
        <v>136</v>
      </c>
      <c r="D142" t="str">
        <f t="shared" si="1"/>
        <v>XSellAll Social (FB + Google)Dry Postcodes (for Liquor Campaigns)</v>
      </c>
      <c r="E142" s="889" t="b">
        <v>1</v>
      </c>
    </row>
    <row r="143">
      <c r="A143" s="889" t="s">
        <v>698</v>
      </c>
      <c r="B143" s="897" t="s">
        <v>82</v>
      </c>
      <c r="C143" s="889" t="s">
        <v>278</v>
      </c>
      <c r="D143" t="str">
        <f t="shared" si="1"/>
        <v>ALLEmailOnboarding Journey (Joined Rewards in the last 30 days)</v>
      </c>
      <c r="E143" s="889" t="b">
        <v>1</v>
      </c>
    </row>
    <row r="144">
      <c r="A144" s="889" t="s">
        <v>698</v>
      </c>
      <c r="B144" s="889" t="s">
        <v>86</v>
      </c>
      <c r="C144" s="889" t="s">
        <v>278</v>
      </c>
      <c r="D144" t="str">
        <f t="shared" si="1"/>
        <v>ALLRewards AppOnboarding Journey (Joined Rewards in the last 30 days)</v>
      </c>
      <c r="E144" s="889" t="b">
        <v>1</v>
      </c>
    </row>
    <row r="145">
      <c r="A145" s="889" t="s">
        <v>698</v>
      </c>
      <c r="B145" s="898" t="s">
        <v>600</v>
      </c>
      <c r="C145" s="889" t="s">
        <v>278</v>
      </c>
      <c r="D145" t="str">
        <f t="shared" si="1"/>
        <v>ALLPushOnboarding Journey (Joined Rewards in the last 30 days)</v>
      </c>
      <c r="E145" s="889" t="b">
        <v>1</v>
      </c>
    </row>
    <row r="146">
      <c r="A146" s="899" t="s">
        <v>698</v>
      </c>
      <c r="B146" s="899" t="s">
        <v>657</v>
      </c>
      <c r="C146" s="889" t="s">
        <v>278</v>
      </c>
      <c r="D146" t="str">
        <f t="shared" si="1"/>
        <v>ALLAll Social (FB + Google)Onboarding Journey (Joined Rewards in the last 30 days)</v>
      </c>
      <c r="E146" s="889" t="b">
        <v>1</v>
      </c>
    </row>
    <row r="147">
      <c r="A147" s="889" t="s">
        <v>698</v>
      </c>
      <c r="B147" s="897" t="s">
        <v>82</v>
      </c>
      <c r="C147" s="889" t="s">
        <v>279</v>
      </c>
      <c r="D147" t="str">
        <f t="shared" si="1"/>
        <v>ALLEmailStaff</v>
      </c>
      <c r="E147" s="889" t="b">
        <v>1</v>
      </c>
    </row>
    <row r="148">
      <c r="A148" s="889" t="s">
        <v>698</v>
      </c>
      <c r="B148" s="889" t="s">
        <v>86</v>
      </c>
      <c r="C148" s="889" t="s">
        <v>279</v>
      </c>
      <c r="D148" t="str">
        <f t="shared" si="1"/>
        <v>ALLRewards AppStaff</v>
      </c>
      <c r="E148" s="889" t="b">
        <v>1</v>
      </c>
    </row>
    <row r="149">
      <c r="A149" s="889" t="s">
        <v>698</v>
      </c>
      <c r="B149" s="898" t="s">
        <v>600</v>
      </c>
      <c r="C149" s="889" t="s">
        <v>279</v>
      </c>
      <c r="D149" t="str">
        <f t="shared" si="1"/>
        <v>ALLPushStaff</v>
      </c>
      <c r="E149" s="889" t="b">
        <v>1</v>
      </c>
    </row>
    <row r="150">
      <c r="A150" s="899" t="s">
        <v>698</v>
      </c>
      <c r="B150" s="899" t="s">
        <v>657</v>
      </c>
      <c r="C150" s="889" t="s">
        <v>279</v>
      </c>
      <c r="D150" t="str">
        <f t="shared" si="1"/>
        <v>ALLAll Social (FB + Google)Staff</v>
      </c>
      <c r="E150" s="889" t="b">
        <v>1</v>
      </c>
    </row>
    <row r="151">
      <c r="A151" s="889" t="s">
        <v>698</v>
      </c>
      <c r="B151" s="897" t="s">
        <v>82</v>
      </c>
      <c r="C151" s="903" t="s">
        <v>705</v>
      </c>
      <c r="D151" t="str">
        <f t="shared" si="1"/>
        <v>ALLEmailNon Engaged (Has not clicked email in past 26 weeks)</v>
      </c>
      <c r="E151" s="889" t="b">
        <v>1</v>
      </c>
    </row>
    <row r="152">
      <c r="A152" s="889" t="s">
        <v>698</v>
      </c>
      <c r="B152" s="889" t="s">
        <v>86</v>
      </c>
      <c r="C152" s="903" t="s">
        <v>705</v>
      </c>
      <c r="D152" t="str">
        <f t="shared" si="1"/>
        <v>ALLRewards AppNon Engaged (Has not clicked email in past 26 weeks)</v>
      </c>
      <c r="E152" s="889" t="b">
        <v>0</v>
      </c>
    </row>
    <row r="153">
      <c r="A153" s="889" t="s">
        <v>698</v>
      </c>
      <c r="B153" s="898" t="s">
        <v>600</v>
      </c>
      <c r="C153" s="903" t="s">
        <v>705</v>
      </c>
      <c r="D153" t="str">
        <f t="shared" si="1"/>
        <v>ALLPushNon Engaged (Has not clicked email in past 26 weeks)</v>
      </c>
      <c r="E153" s="889" t="b">
        <v>0</v>
      </c>
    </row>
    <row r="154">
      <c r="A154" s="899" t="s">
        <v>698</v>
      </c>
      <c r="B154" s="899" t="s">
        <v>657</v>
      </c>
      <c r="C154" s="903" t="s">
        <v>705</v>
      </c>
      <c r="D154" t="str">
        <f t="shared" si="1"/>
        <v>ALLAll Social (FB + Google)Non Engaged (Has not clicked email in past 26 weeks)</v>
      </c>
      <c r="E154" s="889" t="b">
        <v>0</v>
      </c>
    </row>
    <row r="155">
      <c r="A155" s="904" t="s">
        <v>698</v>
      </c>
      <c r="B155" s="904" t="s">
        <v>706</v>
      </c>
      <c r="C155" s="904" t="s">
        <v>251</v>
      </c>
      <c r="D155" s="905" t="str">
        <f t="shared" si="1"/>
        <v>ALLUnsub ParameterSupers</v>
      </c>
      <c r="E155" s="889" t="s">
        <v>583</v>
      </c>
    </row>
    <row r="156">
      <c r="A156" s="904" t="s">
        <v>698</v>
      </c>
      <c r="B156" s="904" t="s">
        <v>706</v>
      </c>
      <c r="C156" s="904" t="s">
        <v>252</v>
      </c>
      <c r="D156" s="905" t="str">
        <f t="shared" si="1"/>
        <v>ALLUnsub ParameterBWS</v>
      </c>
      <c r="E156" t="s">
        <v>567</v>
      </c>
    </row>
    <row r="157">
      <c r="A157" s="904" t="s">
        <v>698</v>
      </c>
      <c r="B157" s="904" t="s">
        <v>706</v>
      </c>
      <c r="C157" s="904" t="s">
        <v>295</v>
      </c>
      <c r="D157" s="905" t="str">
        <f t="shared" si="1"/>
        <v>ALLUnsub ParameterBig W</v>
      </c>
      <c r="E157" s="890" t="s">
        <v>634</v>
      </c>
    </row>
    <row r="158">
      <c r="A158" s="904" t="s">
        <v>698</v>
      </c>
      <c r="B158" s="904" t="s">
        <v>706</v>
      </c>
      <c r="C158" s="904" t="s">
        <v>707</v>
      </c>
      <c r="D158" s="905" t="str">
        <f t="shared" si="1"/>
        <v>ALLUnsub ParameterEG</v>
      </c>
      <c r="E158" s="890" t="s">
        <v>575</v>
      </c>
    </row>
    <row r="159">
      <c r="A159" s="904" t="s">
        <v>698</v>
      </c>
      <c r="B159" s="904" t="s">
        <v>706</v>
      </c>
      <c r="C159" s="904" t="s">
        <v>299</v>
      </c>
      <c r="D159" s="905" t="str">
        <f t="shared" si="1"/>
        <v>ALLUnsub ParameterCaltex</v>
      </c>
      <c r="E159" s="890" t="s">
        <v>575</v>
      </c>
    </row>
    <row r="160">
      <c r="A160" s="904" t="s">
        <v>698</v>
      </c>
      <c r="B160" s="904" t="s">
        <v>706</v>
      </c>
      <c r="C160" s="904" t="s">
        <v>708</v>
      </c>
      <c r="D160" s="905" t="str">
        <f t="shared" si="1"/>
        <v>ALLUnsub ParameterPA</v>
      </c>
      <c r="E160" s="890" t="s">
        <v>641</v>
      </c>
    </row>
    <row r="161">
      <c r="A161" s="904" t="s">
        <v>698</v>
      </c>
      <c r="B161" s="904" t="s">
        <v>706</v>
      </c>
      <c r="C161" s="904" t="s">
        <v>704</v>
      </c>
      <c r="D161" s="905" t="str">
        <f t="shared" si="1"/>
        <v>ALLUnsub ParameterXSell</v>
      </c>
      <c r="E161" s="890" t="s">
        <v>630</v>
      </c>
    </row>
    <row r="162">
      <c r="A162" s="904" t="s">
        <v>698</v>
      </c>
      <c r="B162" s="904" t="s">
        <v>706</v>
      </c>
      <c r="C162" s="904" t="s">
        <v>305</v>
      </c>
      <c r="D162" s="905" t="str">
        <f t="shared" si="1"/>
        <v>ALLUnsub ParameterService</v>
      </c>
      <c r="E162" s="890" t="s">
        <v>630</v>
      </c>
    </row>
    <row r="163">
      <c r="A163" s="904" t="s">
        <v>698</v>
      </c>
      <c r="B163" s="904" t="s">
        <v>706</v>
      </c>
      <c r="C163" s="904" t="s">
        <v>709</v>
      </c>
      <c r="D163" s="905" t="str">
        <f t="shared" si="1"/>
        <v>ALLUnsub ParameterInsSerBU</v>
      </c>
      <c r="E163" s="889" t="s">
        <v>655</v>
      </c>
    </row>
    <row r="164">
      <c r="A164" s="904" t="s">
        <v>698</v>
      </c>
      <c r="B164" s="904" t="s">
        <v>706</v>
      </c>
      <c r="C164" s="904" t="s">
        <v>293</v>
      </c>
      <c r="D164" s="905" t="str">
        <f t="shared" si="1"/>
        <v>ALLUnsub ParameterQantas</v>
      </c>
      <c r="E164" s="906" t="s">
        <v>660</v>
      </c>
    </row>
    <row r="165">
      <c r="A165" s="904" t="s">
        <v>698</v>
      </c>
      <c r="B165" s="904" t="s">
        <v>706</v>
      </c>
      <c r="C165" s="904" t="s">
        <v>296</v>
      </c>
      <c r="D165" s="905" t="str">
        <f t="shared" si="1"/>
        <v>ALLUnsub ParameterBupa</v>
      </c>
      <c r="E165" s="892" t="s">
        <v>664</v>
      </c>
    </row>
    <row r="166">
      <c r="A166" s="904" t="s">
        <v>698</v>
      </c>
      <c r="B166" s="904" t="s">
        <v>706</v>
      </c>
      <c r="C166" s="904" t="s">
        <v>298</v>
      </c>
      <c r="D166" s="905" t="str">
        <f t="shared" si="1"/>
        <v>ALLUnsub ParameterOrigin</v>
      </c>
      <c r="E166" s="892" t="s">
        <v>667</v>
      </c>
    </row>
    <row r="167">
      <c r="A167" s="904" t="s">
        <v>698</v>
      </c>
      <c r="B167" s="904" t="s">
        <v>706</v>
      </c>
      <c r="C167" s="904" t="s">
        <v>710</v>
      </c>
      <c r="D167" s="905" t="str">
        <f t="shared" si="1"/>
        <v>ALLUnsub ParameterMarleySpoon</v>
      </c>
      <c r="E167" s="892" t="s">
        <v>671</v>
      </c>
    </row>
    <row r="168">
      <c r="A168" s="904" t="s">
        <v>698</v>
      </c>
      <c r="B168" s="904" t="s">
        <v>706</v>
      </c>
      <c r="C168" s="904" t="s">
        <v>711</v>
      </c>
      <c r="D168" s="905" t="str">
        <f t="shared" si="1"/>
        <v>ALLUnsub ParameterPetCulture</v>
      </c>
      <c r="E168" s="892" t="s">
        <v>675</v>
      </c>
    </row>
    <row r="169">
      <c r="A169" s="904" t="s">
        <v>698</v>
      </c>
      <c r="B169" s="904" t="s">
        <v>706</v>
      </c>
      <c r="C169" s="904" t="s">
        <v>712</v>
      </c>
      <c r="D169" s="905" t="str">
        <f t="shared" si="1"/>
        <v>ALLUnsub ParameterSuperPharmacy</v>
      </c>
      <c r="E169" s="889" t="s">
        <v>677</v>
      </c>
    </row>
    <row r="170">
      <c r="A170" s="904" t="s">
        <v>698</v>
      </c>
      <c r="B170" s="904" t="s">
        <v>706</v>
      </c>
      <c r="C170" s="904" t="s">
        <v>713</v>
      </c>
      <c r="D170" s="905" t="str">
        <f t="shared" si="1"/>
        <v>ALLUnsub ParameterHealthyLife</v>
      </c>
      <c r="E170" s="889" t="s">
        <v>680</v>
      </c>
    </row>
    <row r="171">
      <c r="A171" s="904" t="s">
        <v>698</v>
      </c>
      <c r="B171" s="904" t="s">
        <v>706</v>
      </c>
      <c r="C171" s="904" t="s">
        <v>714</v>
      </c>
      <c r="D171" s="905" t="str">
        <f t="shared" si="1"/>
        <v>ALLUnsub ParameterPopup</v>
      </c>
      <c r="E171" s="889" t="s">
        <v>683</v>
      </c>
    </row>
    <row r="172">
      <c r="A172" s="904" t="s">
        <v>698</v>
      </c>
      <c r="B172" s="904" t="s">
        <v>706</v>
      </c>
      <c r="C172" s="904" t="s">
        <v>715</v>
      </c>
      <c r="D172" s="905" t="str">
        <f t="shared" si="1"/>
        <v>ALLUnsub ParameterCustomerFeedback</v>
      </c>
      <c r="E172" s="890" t="s">
        <v>630</v>
      </c>
    </row>
    <row r="173">
      <c r="A173" s="904" t="s">
        <v>698</v>
      </c>
      <c r="B173" s="904" t="s">
        <v>706</v>
      </c>
      <c r="C173" s="904" t="s">
        <v>304</v>
      </c>
      <c r="D173" s="905" t="str">
        <f t="shared" si="1"/>
        <v>ALLUnsub ParameterMyDeal</v>
      </c>
      <c r="E173" s="889" t="s">
        <v>315</v>
      </c>
    </row>
    <row r="174">
      <c r="A174" s="897" t="s">
        <v>698</v>
      </c>
      <c r="B174" s="897" t="s">
        <v>82</v>
      </c>
      <c r="D174" t="str">
        <f t="shared" si="1"/>
        <v>ALLEmail</v>
      </c>
    </row>
    <row r="175">
      <c r="A175" s="889" t="s">
        <v>698</v>
      </c>
      <c r="B175" s="889" t="s">
        <v>86</v>
      </c>
      <c r="D175" t="str">
        <f t="shared" si="1"/>
        <v>ALLRewards App</v>
      </c>
    </row>
    <row r="176">
      <c r="A176" s="899" t="s">
        <v>698</v>
      </c>
      <c r="B176" s="899" t="s">
        <v>657</v>
      </c>
      <c r="D176" t="str">
        <f t="shared" si="1"/>
        <v>ALLAll Social (FB + Google)</v>
      </c>
    </row>
    <row r="177">
      <c r="A177" s="889" t="s">
        <v>698</v>
      </c>
      <c r="B177" s="897" t="s">
        <v>82</v>
      </c>
      <c r="D177" t="str">
        <f t="shared" si="1"/>
        <v>ALLEmail</v>
      </c>
    </row>
    <row r="178">
      <c r="A178" s="889" t="s">
        <v>698</v>
      </c>
      <c r="B178" s="889" t="s">
        <v>86</v>
      </c>
      <c r="D178" t="str">
        <f t="shared" si="1"/>
        <v>ALLRewards App</v>
      </c>
    </row>
    <row r="179">
      <c r="A179" s="899" t="s">
        <v>698</v>
      </c>
      <c r="B179" s="899" t="s">
        <v>657</v>
      </c>
      <c r="D179" t="str">
        <f t="shared" si="1"/>
        <v>ALLAll Social (FB + Google)</v>
      </c>
    </row>
    <row r="180">
      <c r="A180" s="889" t="s">
        <v>698</v>
      </c>
      <c r="B180" s="897" t="s">
        <v>82</v>
      </c>
      <c r="D180" t="str">
        <f t="shared" si="1"/>
        <v>ALLEmail</v>
      </c>
    </row>
    <row r="181">
      <c r="A181" s="889" t="s">
        <v>698</v>
      </c>
      <c r="B181" s="889" t="s">
        <v>86</v>
      </c>
      <c r="D181" t="str">
        <f t="shared" si="1"/>
        <v>ALLRewards App</v>
      </c>
    </row>
    <row r="182">
      <c r="A182" s="899" t="s">
        <v>698</v>
      </c>
      <c r="B182" s="899" t="s">
        <v>657</v>
      </c>
      <c r="D182" t="str">
        <f t="shared" si="1"/>
        <v>ALLAll Social (FB + Google)</v>
      </c>
    </row>
    <row r="183">
      <c r="A183" s="889" t="s">
        <v>698</v>
      </c>
      <c r="B183" s="897" t="s">
        <v>82</v>
      </c>
      <c r="D183" t="str">
        <f t="shared" si="1"/>
        <v>ALLEmail</v>
      </c>
    </row>
    <row r="184">
      <c r="A184" s="889" t="s">
        <v>698</v>
      </c>
      <c r="B184" s="889" t="s">
        <v>86</v>
      </c>
      <c r="D184" t="str">
        <f t="shared" si="1"/>
        <v>ALLRewards App</v>
      </c>
    </row>
    <row r="185">
      <c r="A185" s="899" t="s">
        <v>698</v>
      </c>
      <c r="B185" s="899" t="s">
        <v>657</v>
      </c>
      <c r="D185" t="str">
        <f t="shared" si="1"/>
        <v>ALLAll Social (FB + Google)</v>
      </c>
    </row>
    <row r="186">
      <c r="A186" s="889" t="s">
        <v>698</v>
      </c>
      <c r="B186" s="897" t="s">
        <v>82</v>
      </c>
      <c r="D186" t="str">
        <f t="shared" si="1"/>
        <v>ALLEmail</v>
      </c>
    </row>
    <row r="187">
      <c r="A187" s="889" t="s">
        <v>698</v>
      </c>
      <c r="B187" s="889" t="s">
        <v>86</v>
      </c>
      <c r="D187" t="str">
        <f t="shared" si="1"/>
        <v>ALLRewards App</v>
      </c>
    </row>
    <row r="188">
      <c r="A188" s="899" t="s">
        <v>698</v>
      </c>
      <c r="B188" s="899" t="s">
        <v>657</v>
      </c>
      <c r="D188" t="str">
        <f t="shared" si="1"/>
        <v>ALLAll Social (FB + Google)</v>
      </c>
    </row>
    <row r="189">
      <c r="A189" s="889" t="s">
        <v>698</v>
      </c>
      <c r="B189" s="897" t="s">
        <v>82</v>
      </c>
      <c r="D189" t="str">
        <f t="shared" si="1"/>
        <v>ALLEmail</v>
      </c>
    </row>
    <row r="190">
      <c r="A190" s="889" t="s">
        <v>698</v>
      </c>
      <c r="B190" s="889" t="s">
        <v>86</v>
      </c>
      <c r="D190" t="str">
        <f t="shared" si="1"/>
        <v>ALLRewards App</v>
      </c>
    </row>
    <row r="191">
      <c r="A191" s="899" t="s">
        <v>698</v>
      </c>
      <c r="B191" s="899" t="s">
        <v>657</v>
      </c>
      <c r="D191" t="str">
        <f t="shared" si="1"/>
        <v>ALLAll Social (FB + Google)</v>
      </c>
    </row>
    <row r="192">
      <c r="A192" s="889" t="s">
        <v>698</v>
      </c>
      <c r="B192" s="897" t="s">
        <v>82</v>
      </c>
      <c r="D192" t="str">
        <f t="shared" si="1"/>
        <v>ALLEmail</v>
      </c>
    </row>
    <row r="193">
      <c r="A193" s="889" t="s">
        <v>698</v>
      </c>
      <c r="B193" s="889" t="s">
        <v>86</v>
      </c>
      <c r="D193" t="str">
        <f t="shared" si="1"/>
        <v>ALLRewards App</v>
      </c>
    </row>
    <row r="194">
      <c r="A194" s="899" t="s">
        <v>698</v>
      </c>
      <c r="B194" s="899" t="s">
        <v>657</v>
      </c>
      <c r="D194" t="str">
        <f t="shared" si="1"/>
        <v>ALLAll Social (FB + Google)</v>
      </c>
    </row>
    <row r="195">
      <c r="A195" s="889" t="s">
        <v>698</v>
      </c>
      <c r="B195" s="897" t="s">
        <v>82</v>
      </c>
      <c r="D195" t="str">
        <f t="shared" si="1"/>
        <v>ALLEmail</v>
      </c>
    </row>
    <row r="196">
      <c r="A196" s="889" t="s">
        <v>698</v>
      </c>
      <c r="B196" s="889" t="s">
        <v>86</v>
      </c>
      <c r="D196" t="str">
        <f t="shared" si="1"/>
        <v>ALLRewards App</v>
      </c>
    </row>
    <row r="197">
      <c r="A197" s="899" t="s">
        <v>698</v>
      </c>
      <c r="B197" s="899" t="s">
        <v>657</v>
      </c>
      <c r="D197" t="str">
        <f t="shared" si="1"/>
        <v>ALLAll Social (FB + Google)</v>
      </c>
    </row>
    <row r="198">
      <c r="A198" s="889" t="s">
        <v>698</v>
      </c>
      <c r="B198" s="897" t="s">
        <v>82</v>
      </c>
      <c r="D198" t="str">
        <f t="shared" si="1"/>
        <v>ALLEmail</v>
      </c>
    </row>
    <row r="199">
      <c r="A199" s="889" t="s">
        <v>698</v>
      </c>
      <c r="B199" s="889" t="s">
        <v>86</v>
      </c>
      <c r="D199" t="str">
        <f t="shared" si="1"/>
        <v>ALLRewards App</v>
      </c>
    </row>
    <row r="200">
      <c r="A200" s="899" t="s">
        <v>698</v>
      </c>
      <c r="B200" s="899" t="s">
        <v>657</v>
      </c>
      <c r="D200" t="str">
        <f t="shared" si="1"/>
        <v>ALLAll Social (FB + Google)</v>
      </c>
    </row>
    <row r="201">
      <c r="A201" s="889" t="s">
        <v>698</v>
      </c>
      <c r="B201" s="897" t="s">
        <v>82</v>
      </c>
      <c r="D201" t="str">
        <f t="shared" si="1"/>
        <v>ALLEmail</v>
      </c>
    </row>
    <row r="202">
      <c r="A202" s="889" t="s">
        <v>698</v>
      </c>
      <c r="B202" s="889" t="s">
        <v>86</v>
      </c>
      <c r="D202" t="str">
        <f t="shared" si="1"/>
        <v>ALLRewards App</v>
      </c>
    </row>
    <row r="203">
      <c r="A203" s="899" t="s">
        <v>698</v>
      </c>
      <c r="B203" s="899" t="s">
        <v>657</v>
      </c>
      <c r="D203" t="str">
        <f t="shared" si="1"/>
        <v>ALLAll Social (FB + Google)</v>
      </c>
    </row>
    <row r="204">
      <c r="A204" s="889" t="s">
        <v>698</v>
      </c>
      <c r="B204" s="897" t="s">
        <v>82</v>
      </c>
      <c r="D204" t="str">
        <f t="shared" si="1"/>
        <v>ALLEmail</v>
      </c>
    </row>
    <row r="205">
      <c r="A205" s="889" t="s">
        <v>698</v>
      </c>
      <c r="B205" s="889" t="s">
        <v>86</v>
      </c>
      <c r="D205" t="str">
        <f t="shared" si="1"/>
        <v>ALLRewards App</v>
      </c>
    </row>
    <row r="206">
      <c r="A206" s="899" t="s">
        <v>698</v>
      </c>
      <c r="B206" s="899" t="s">
        <v>657</v>
      </c>
      <c r="D206" t="str">
        <f t="shared" si="1"/>
        <v>ALLAll Social (FB + Google)</v>
      </c>
    </row>
    <row r="207">
      <c r="A207" s="889" t="s">
        <v>698</v>
      </c>
      <c r="B207" s="897" t="s">
        <v>82</v>
      </c>
      <c r="D207" t="str">
        <f t="shared" si="1"/>
        <v>ALLEmail</v>
      </c>
    </row>
    <row r="208">
      <c r="A208" s="889" t="s">
        <v>698</v>
      </c>
      <c r="B208" s="889" t="s">
        <v>86</v>
      </c>
      <c r="D208" t="str">
        <f t="shared" si="1"/>
        <v>ALLRewards App</v>
      </c>
    </row>
    <row r="209">
      <c r="A209" s="899" t="s">
        <v>698</v>
      </c>
      <c r="B209" s="899" t="s">
        <v>657</v>
      </c>
      <c r="D209" t="str">
        <f t="shared" si="1"/>
        <v>ALLAll Social (FB + Google)</v>
      </c>
    </row>
    <row r="210">
      <c r="A210" s="889" t="s">
        <v>698</v>
      </c>
      <c r="B210" s="897" t="s">
        <v>82</v>
      </c>
      <c r="D210" t="str">
        <f t="shared" si="1"/>
        <v>ALLEmail</v>
      </c>
    </row>
    <row r="211">
      <c r="A211" s="889" t="s">
        <v>698</v>
      </c>
      <c r="B211" s="889" t="s">
        <v>86</v>
      </c>
      <c r="D211" t="str">
        <f t="shared" si="1"/>
        <v>ALLRewards App</v>
      </c>
    </row>
    <row r="212">
      <c r="A212" s="899" t="s">
        <v>698</v>
      </c>
      <c r="B212" s="899" t="s">
        <v>657</v>
      </c>
      <c r="D212" t="str">
        <f t="shared" si="1"/>
        <v>ALLAll Social (FB + Google)</v>
      </c>
    </row>
    <row r="213">
      <c r="A213" s="889" t="s">
        <v>698</v>
      </c>
      <c r="B213" s="897" t="s">
        <v>82</v>
      </c>
      <c r="D213" t="str">
        <f t="shared" si="1"/>
        <v>ALLEmail</v>
      </c>
    </row>
    <row r="214">
      <c r="A214" s="889" t="s">
        <v>698</v>
      </c>
      <c r="B214" s="889" t="s">
        <v>86</v>
      </c>
      <c r="D214" t="str">
        <f t="shared" si="1"/>
        <v>ALLRewards App</v>
      </c>
    </row>
    <row r="215">
      <c r="A215" s="899" t="s">
        <v>698</v>
      </c>
      <c r="B215" s="899" t="s">
        <v>657</v>
      </c>
      <c r="D215" t="str">
        <f t="shared" si="1"/>
        <v>ALLAll Social (FB + Google)</v>
      </c>
    </row>
    <row r="216">
      <c r="A216" s="889" t="s">
        <v>698</v>
      </c>
      <c r="B216" s="897" t="s">
        <v>82</v>
      </c>
      <c r="D216" t="str">
        <f t="shared" si="1"/>
        <v>ALLEmail</v>
      </c>
    </row>
    <row r="217">
      <c r="A217" s="889" t="s">
        <v>698</v>
      </c>
      <c r="B217" s="889" t="s">
        <v>86</v>
      </c>
      <c r="D217" t="str">
        <f t="shared" si="1"/>
        <v>ALLRewards App</v>
      </c>
    </row>
    <row r="218">
      <c r="A218" s="899" t="s">
        <v>698</v>
      </c>
      <c r="B218" s="899" t="s">
        <v>657</v>
      </c>
      <c r="D218" t="str">
        <f t="shared" si="1"/>
        <v>ALLAll Social (FB + Google)</v>
      </c>
    </row>
    <row r="219">
      <c r="A219" s="889" t="s">
        <v>698</v>
      </c>
      <c r="B219" s="897" t="s">
        <v>82</v>
      </c>
      <c r="D219" t="str">
        <f t="shared" si="1"/>
        <v>ALLEmail</v>
      </c>
    </row>
    <row r="220">
      <c r="A220" s="889" t="s">
        <v>698</v>
      </c>
      <c r="B220" s="889" t="s">
        <v>86</v>
      </c>
      <c r="D220" t="str">
        <f t="shared" si="1"/>
        <v>ALLRewards App</v>
      </c>
    </row>
    <row r="221">
      <c r="A221" s="899" t="s">
        <v>698</v>
      </c>
      <c r="B221" s="899" t="s">
        <v>657</v>
      </c>
      <c r="D221" t="str">
        <f t="shared" si="1"/>
        <v>ALLAll Social (FB + Google)</v>
      </c>
    </row>
    <row r="222">
      <c r="A222" s="889" t="s">
        <v>698</v>
      </c>
      <c r="B222" s="897" t="s">
        <v>82</v>
      </c>
      <c r="D222" t="str">
        <f t="shared" si="1"/>
        <v>ALLEmail</v>
      </c>
    </row>
    <row r="223">
      <c r="A223" s="889" t="s">
        <v>698</v>
      </c>
      <c r="B223" s="889" t="s">
        <v>86</v>
      </c>
      <c r="D223" t="str">
        <f t="shared" si="1"/>
        <v>ALLRewards App</v>
      </c>
    </row>
    <row r="224">
      <c r="A224" s="899" t="s">
        <v>698</v>
      </c>
      <c r="B224" s="899" t="s">
        <v>657</v>
      </c>
      <c r="D224" t="str">
        <f t="shared" si="1"/>
        <v>ALLAll Social (FB + Google)</v>
      </c>
    </row>
    <row r="225">
      <c r="A225" s="889" t="s">
        <v>698</v>
      </c>
      <c r="B225" s="897" t="s">
        <v>82</v>
      </c>
      <c r="D225" t="str">
        <f t="shared" si="1"/>
        <v>ALLEmail</v>
      </c>
    </row>
    <row r="226">
      <c r="A226" s="889" t="s">
        <v>698</v>
      </c>
      <c r="B226" s="889" t="s">
        <v>86</v>
      </c>
      <c r="D226" t="str">
        <f t="shared" si="1"/>
        <v>ALLRewards App</v>
      </c>
    </row>
    <row r="227">
      <c r="A227" s="899" t="s">
        <v>698</v>
      </c>
      <c r="B227" s="899" t="s">
        <v>657</v>
      </c>
      <c r="D227" t="str">
        <f t="shared" si="1"/>
        <v>ALLAll Social (FB + Google)</v>
      </c>
    </row>
    <row r="228">
      <c r="A228" s="889" t="s">
        <v>698</v>
      </c>
      <c r="B228" s="897" t="s">
        <v>82</v>
      </c>
      <c r="D228" t="str">
        <f t="shared" si="1"/>
        <v>ALLEmail</v>
      </c>
    </row>
    <row r="229">
      <c r="A229" s="889" t="s">
        <v>698</v>
      </c>
      <c r="B229" s="889" t="s">
        <v>86</v>
      </c>
      <c r="D229" t="str">
        <f t="shared" si="1"/>
        <v>ALLRewards App</v>
      </c>
    </row>
    <row r="230">
      <c r="A230" s="899" t="s">
        <v>698</v>
      </c>
      <c r="B230" s="899" t="s">
        <v>657</v>
      </c>
      <c r="D230" t="str">
        <f t="shared" si="1"/>
        <v>ALLAll Social (FB + Google)</v>
      </c>
    </row>
    <row r="231">
      <c r="A231" s="889" t="s">
        <v>698</v>
      </c>
      <c r="B231" s="897" t="s">
        <v>82</v>
      </c>
      <c r="D231" t="str">
        <f t="shared" si="1"/>
        <v>ALLEmail</v>
      </c>
    </row>
    <row r="232">
      <c r="A232" s="889" t="s">
        <v>698</v>
      </c>
      <c r="B232" s="889" t="s">
        <v>86</v>
      </c>
      <c r="D232" t="str">
        <f t="shared" si="1"/>
        <v>ALLRewards App</v>
      </c>
    </row>
    <row r="233">
      <c r="A233" s="899" t="s">
        <v>698</v>
      </c>
      <c r="B233" s="899" t="s">
        <v>657</v>
      </c>
      <c r="D233" t="str">
        <f t="shared" si="1"/>
        <v>ALLAll Social (FB + Google)</v>
      </c>
    </row>
    <row r="234">
      <c r="A234" s="889" t="s">
        <v>698</v>
      </c>
      <c r="B234" s="897" t="s">
        <v>82</v>
      </c>
      <c r="D234" t="str">
        <f t="shared" si="1"/>
        <v>ALLEmail</v>
      </c>
    </row>
    <row r="235">
      <c r="A235" s="889" t="s">
        <v>698</v>
      </c>
      <c r="B235" s="889" t="s">
        <v>86</v>
      </c>
      <c r="D235" t="str">
        <f t="shared" si="1"/>
        <v>ALLRewards App</v>
      </c>
    </row>
    <row r="236">
      <c r="A236" s="899" t="s">
        <v>698</v>
      </c>
      <c r="B236" s="899" t="s">
        <v>657</v>
      </c>
      <c r="D236" t="str">
        <f t="shared" si="1"/>
        <v>ALLAll Social (FB + Google)</v>
      </c>
    </row>
    <row r="237">
      <c r="A237" s="889" t="s">
        <v>698</v>
      </c>
      <c r="B237" s="897" t="s">
        <v>82</v>
      </c>
      <c r="D237" t="str">
        <f t="shared" si="1"/>
        <v>ALLEmail</v>
      </c>
    </row>
    <row r="238">
      <c r="A238" s="889" t="s">
        <v>698</v>
      </c>
      <c r="B238" s="889" t="s">
        <v>86</v>
      </c>
      <c r="D238" t="str">
        <f t="shared" si="1"/>
        <v>ALLRewards App</v>
      </c>
    </row>
    <row r="239">
      <c r="A239" s="899" t="s">
        <v>698</v>
      </c>
      <c r="B239" s="899" t="s">
        <v>657</v>
      </c>
      <c r="D239" t="str">
        <f t="shared" si="1"/>
        <v>ALLAll Social (FB + Google)</v>
      </c>
    </row>
    <row r="240">
      <c r="A240" s="889" t="s">
        <v>698</v>
      </c>
      <c r="B240" s="897" t="s">
        <v>82</v>
      </c>
      <c r="D240" t="str">
        <f t="shared" si="1"/>
        <v>ALLEmail</v>
      </c>
    </row>
    <row r="241">
      <c r="A241" s="889" t="s">
        <v>698</v>
      </c>
      <c r="B241" s="889" t="s">
        <v>86</v>
      </c>
      <c r="D241" t="str">
        <f t="shared" si="1"/>
        <v>ALLRewards App</v>
      </c>
    </row>
    <row r="242">
      <c r="A242" s="899" t="s">
        <v>698</v>
      </c>
      <c r="B242" s="899" t="s">
        <v>657</v>
      </c>
      <c r="D242" t="str">
        <f t="shared" si="1"/>
        <v>ALLAll Social (FB + Google)</v>
      </c>
    </row>
    <row r="243">
      <c r="A243" s="889" t="s">
        <v>698</v>
      </c>
      <c r="B243" s="897" t="s">
        <v>82</v>
      </c>
      <c r="D243" t="str">
        <f t="shared" si="1"/>
        <v>ALLEmail</v>
      </c>
    </row>
    <row r="244">
      <c r="A244" s="889" t="s">
        <v>698</v>
      </c>
      <c r="B244" s="889" t="s">
        <v>86</v>
      </c>
      <c r="D244" t="str">
        <f t="shared" si="1"/>
        <v>ALLRewards App</v>
      </c>
    </row>
    <row r="245">
      <c r="A245" s="899" t="s">
        <v>698</v>
      </c>
      <c r="B245" s="899" t="s">
        <v>657</v>
      </c>
      <c r="D245" t="str">
        <f t="shared" si="1"/>
        <v>ALLAll Social (FB + Google)</v>
      </c>
    </row>
    <row r="246">
      <c r="A246" s="889" t="s">
        <v>698</v>
      </c>
      <c r="B246" s="897" t="s">
        <v>82</v>
      </c>
      <c r="D246" t="str">
        <f t="shared" si="1"/>
        <v>ALLEmail</v>
      </c>
    </row>
    <row r="247">
      <c r="A247" s="889" t="s">
        <v>698</v>
      </c>
      <c r="B247" s="889" t="s">
        <v>86</v>
      </c>
      <c r="D247" t="str">
        <f t="shared" si="1"/>
        <v>ALLRewards App</v>
      </c>
    </row>
    <row r="248">
      <c r="A248" s="899" t="s">
        <v>698</v>
      </c>
      <c r="B248" s="899" t="s">
        <v>657</v>
      </c>
      <c r="D248" t="str">
        <f t="shared" si="1"/>
        <v>ALLAll Social (FB + Google)</v>
      </c>
    </row>
    <row r="249">
      <c r="A249" s="889" t="s">
        <v>698</v>
      </c>
      <c r="B249" s="897" t="s">
        <v>82</v>
      </c>
      <c r="D249" t="str">
        <f t="shared" si="1"/>
        <v>ALLEmail</v>
      </c>
    </row>
    <row r="250">
      <c r="A250" s="889" t="s">
        <v>698</v>
      </c>
      <c r="B250" s="889" t="s">
        <v>86</v>
      </c>
      <c r="D250" t="str">
        <f t="shared" si="1"/>
        <v>ALLRewards App</v>
      </c>
    </row>
    <row r="251">
      <c r="A251" s="899" t="s">
        <v>698</v>
      </c>
      <c r="B251" s="899" t="s">
        <v>657</v>
      </c>
      <c r="D251" t="str">
        <f t="shared" si="1"/>
        <v>ALLAll Social (FB + Google)</v>
      </c>
    </row>
    <row r="252">
      <c r="A252" s="889" t="s">
        <v>698</v>
      </c>
      <c r="B252" s="897" t="s">
        <v>82</v>
      </c>
      <c r="D252" t="str">
        <f t="shared" si="1"/>
        <v>ALLEmail</v>
      </c>
    </row>
    <row r="253">
      <c r="A253" s="889" t="s">
        <v>698</v>
      </c>
      <c r="B253" s="889" t="s">
        <v>86</v>
      </c>
      <c r="D253" t="str">
        <f t="shared" si="1"/>
        <v>ALLRewards App</v>
      </c>
    </row>
    <row r="254">
      <c r="A254" s="899" t="s">
        <v>698</v>
      </c>
      <c r="B254" s="899" t="s">
        <v>657</v>
      </c>
      <c r="D254" t="str">
        <f t="shared" si="1"/>
        <v>ALLAll Social (FB + Google)</v>
      </c>
    </row>
    <row r="255">
      <c r="A255" s="889" t="s">
        <v>698</v>
      </c>
      <c r="B255" s="897" t="s">
        <v>82</v>
      </c>
      <c r="D255" t="str">
        <f t="shared" si="1"/>
        <v>ALLEmail</v>
      </c>
    </row>
    <row r="256">
      <c r="A256" s="889" t="s">
        <v>698</v>
      </c>
      <c r="B256" s="889" t="s">
        <v>86</v>
      </c>
      <c r="D256" t="str">
        <f t="shared" si="1"/>
        <v>ALLRewards App</v>
      </c>
    </row>
    <row r="257">
      <c r="A257" s="899" t="s">
        <v>698</v>
      </c>
      <c r="B257" s="899" t="s">
        <v>657</v>
      </c>
      <c r="D257" t="str">
        <f t="shared" si="1"/>
        <v>ALLAll Social (FB + Google)</v>
      </c>
    </row>
    <row r="258">
      <c r="A258" s="889" t="s">
        <v>698</v>
      </c>
      <c r="B258" s="897" t="s">
        <v>82</v>
      </c>
      <c r="D258" t="str">
        <f t="shared" si="1"/>
        <v>ALLEmail</v>
      </c>
    </row>
    <row r="259">
      <c r="A259" s="889" t="s">
        <v>698</v>
      </c>
      <c r="B259" s="889" t="s">
        <v>86</v>
      </c>
      <c r="D259" t="str">
        <f t="shared" si="1"/>
        <v>ALLRewards App</v>
      </c>
    </row>
    <row r="260">
      <c r="A260" s="899" t="s">
        <v>698</v>
      </c>
      <c r="B260" s="899" t="s">
        <v>657</v>
      </c>
      <c r="D260" t="str">
        <f t="shared" si="1"/>
        <v>ALLAll Social (FB + Google)</v>
      </c>
    </row>
    <row r="261">
      <c r="A261" s="889" t="s">
        <v>698</v>
      </c>
      <c r="B261" s="897" t="s">
        <v>82</v>
      </c>
      <c r="D261" t="str">
        <f t="shared" si="1"/>
        <v>ALLEmail</v>
      </c>
    </row>
    <row r="262">
      <c r="A262" s="889" t="s">
        <v>698</v>
      </c>
      <c r="B262" s="889" t="s">
        <v>86</v>
      </c>
      <c r="D262" t="str">
        <f t="shared" si="1"/>
        <v>ALLRewards App</v>
      </c>
    </row>
    <row r="263">
      <c r="A263" s="899" t="s">
        <v>698</v>
      </c>
      <c r="B263" s="899" t="s">
        <v>657</v>
      </c>
      <c r="D263" t="str">
        <f t="shared" si="1"/>
        <v>ALLAll Social (FB + Google)</v>
      </c>
    </row>
    <row r="264">
      <c r="A264" s="889" t="s">
        <v>698</v>
      </c>
      <c r="B264" s="897" t="s">
        <v>82</v>
      </c>
      <c r="D264" t="str">
        <f t="shared" si="1"/>
        <v>ALLEmail</v>
      </c>
    </row>
    <row r="265">
      <c r="A265" s="889" t="s">
        <v>698</v>
      </c>
      <c r="B265" s="889" t="s">
        <v>86</v>
      </c>
      <c r="D265" t="str">
        <f t="shared" si="1"/>
        <v>ALLRewards App</v>
      </c>
    </row>
    <row r="266">
      <c r="A266" s="899" t="s">
        <v>698</v>
      </c>
      <c r="B266" s="899" t="s">
        <v>657</v>
      </c>
      <c r="D266" t="str">
        <f t="shared" si="1"/>
        <v>ALLAll Social (FB + Google)</v>
      </c>
    </row>
    <row r="267">
      <c r="A267" s="889" t="s">
        <v>698</v>
      </c>
      <c r="B267" s="897" t="s">
        <v>82</v>
      </c>
      <c r="D267" t="str">
        <f t="shared" si="1"/>
        <v>ALLEmail</v>
      </c>
    </row>
    <row r="268">
      <c r="A268" s="889" t="s">
        <v>698</v>
      </c>
      <c r="B268" s="889" t="s">
        <v>86</v>
      </c>
      <c r="D268" t="str">
        <f t="shared" si="1"/>
        <v>ALLRewards App</v>
      </c>
    </row>
    <row r="269">
      <c r="A269" s="899" t="s">
        <v>698</v>
      </c>
      <c r="B269" s="899" t="s">
        <v>657</v>
      </c>
      <c r="D269" t="str">
        <f t="shared" si="1"/>
        <v>ALLAll Social (FB + Google)</v>
      </c>
    </row>
    <row r="270">
      <c r="A270" s="889" t="s">
        <v>698</v>
      </c>
      <c r="B270" s="897" t="s">
        <v>82</v>
      </c>
      <c r="D270" t="str">
        <f t="shared" si="1"/>
        <v>ALLEmail</v>
      </c>
    </row>
    <row r="271">
      <c r="A271" s="889" t="s">
        <v>698</v>
      </c>
      <c r="B271" s="889" t="s">
        <v>86</v>
      </c>
      <c r="D271" t="str">
        <f t="shared" si="1"/>
        <v>ALLRewards App</v>
      </c>
    </row>
    <row r="272">
      <c r="A272" s="899" t="s">
        <v>698</v>
      </c>
      <c r="B272" s="899" t="s">
        <v>657</v>
      </c>
      <c r="D272" t="str">
        <f t="shared" si="1"/>
        <v>ALLAll Social (FB + Google)</v>
      </c>
    </row>
    <row r="273">
      <c r="A273" s="889" t="s">
        <v>698</v>
      </c>
      <c r="B273" s="897" t="s">
        <v>82</v>
      </c>
      <c r="D273" t="str">
        <f t="shared" si="1"/>
        <v>ALLEmail</v>
      </c>
    </row>
    <row r="274">
      <c r="A274" s="889" t="s">
        <v>698</v>
      </c>
      <c r="B274" s="889" t="s">
        <v>86</v>
      </c>
      <c r="D274" t="str">
        <f t="shared" si="1"/>
        <v>ALLRewards App</v>
      </c>
    </row>
    <row r="275">
      <c r="A275" s="899" t="s">
        <v>698</v>
      </c>
      <c r="B275" s="899" t="s">
        <v>657</v>
      </c>
      <c r="D275" t="str">
        <f t="shared" si="1"/>
        <v>ALLAll Social (FB + Google)</v>
      </c>
    </row>
    <row r="276">
      <c r="A276" s="889" t="s">
        <v>698</v>
      </c>
      <c r="B276" s="897" t="s">
        <v>82</v>
      </c>
      <c r="D276" t="str">
        <f t="shared" si="1"/>
        <v>ALLEmail</v>
      </c>
    </row>
    <row r="277">
      <c r="A277" s="889" t="s">
        <v>698</v>
      </c>
      <c r="B277" s="889" t="s">
        <v>86</v>
      </c>
      <c r="D277" t="str">
        <f t="shared" si="1"/>
        <v>ALLRewards App</v>
      </c>
    </row>
    <row r="278">
      <c r="A278" s="899" t="s">
        <v>698</v>
      </c>
      <c r="B278" s="899" t="s">
        <v>657</v>
      </c>
      <c r="D278" t="str">
        <f t="shared" si="1"/>
        <v>ALLAll Social (FB + Google)</v>
      </c>
    </row>
    <row r="279">
      <c r="A279" s="889" t="s">
        <v>698</v>
      </c>
      <c r="B279" s="897" t="s">
        <v>82</v>
      </c>
      <c r="D279" t="str">
        <f t="shared" si="1"/>
        <v>ALLEmail</v>
      </c>
    </row>
    <row r="280">
      <c r="A280" s="889" t="s">
        <v>698</v>
      </c>
      <c r="B280" s="889" t="s">
        <v>86</v>
      </c>
      <c r="D280" t="str">
        <f t="shared" si="1"/>
        <v>ALLRewards App</v>
      </c>
    </row>
    <row r="281">
      <c r="A281" s="899" t="s">
        <v>698</v>
      </c>
      <c r="B281" s="899" t="s">
        <v>657</v>
      </c>
      <c r="D281" t="str">
        <f t="shared" si="1"/>
        <v>ALLAll Social (FB + Google)</v>
      </c>
    </row>
    <row r="282">
      <c r="A282" s="889" t="s">
        <v>698</v>
      </c>
      <c r="B282" s="897" t="s">
        <v>82</v>
      </c>
      <c r="D282" t="str">
        <f t="shared" si="1"/>
        <v>ALLEmail</v>
      </c>
    </row>
    <row r="283">
      <c r="A283" s="889" t="s">
        <v>698</v>
      </c>
      <c r="B283" s="889" t="s">
        <v>86</v>
      </c>
      <c r="D283" t="str">
        <f t="shared" si="1"/>
        <v>ALLRewards App</v>
      </c>
    </row>
    <row r="284">
      <c r="A284" s="899" t="s">
        <v>698</v>
      </c>
      <c r="B284" s="899" t="s">
        <v>657</v>
      </c>
      <c r="D284" t="str">
        <f t="shared" si="1"/>
        <v>ALLAll Social (FB + Google)</v>
      </c>
    </row>
    <row r="285">
      <c r="A285" s="889" t="s">
        <v>698</v>
      </c>
      <c r="B285" s="897" t="s">
        <v>82</v>
      </c>
      <c r="D285" t="str">
        <f t="shared" si="1"/>
        <v>ALLEmail</v>
      </c>
    </row>
    <row r="286">
      <c r="A286" s="889" t="s">
        <v>698</v>
      </c>
      <c r="B286" s="889" t="s">
        <v>86</v>
      </c>
      <c r="D286" t="str">
        <f t="shared" si="1"/>
        <v>ALLRewards App</v>
      </c>
    </row>
    <row r="287">
      <c r="A287" s="899" t="s">
        <v>698</v>
      </c>
      <c r="B287" s="899" t="s">
        <v>657</v>
      </c>
      <c r="D287" t="str">
        <f t="shared" si="1"/>
        <v>ALLAll Social (FB + Google)</v>
      </c>
    </row>
    <row r="288">
      <c r="A288" s="889" t="s">
        <v>698</v>
      </c>
      <c r="B288" s="897" t="s">
        <v>82</v>
      </c>
      <c r="D288" t="str">
        <f t="shared" si="1"/>
        <v>ALLEmail</v>
      </c>
    </row>
    <row r="289">
      <c r="A289" s="889" t="s">
        <v>698</v>
      </c>
      <c r="B289" s="889" t="s">
        <v>86</v>
      </c>
      <c r="D289" t="str">
        <f t="shared" si="1"/>
        <v>ALLRewards App</v>
      </c>
    </row>
    <row r="290">
      <c r="A290" s="899" t="s">
        <v>698</v>
      </c>
      <c r="B290" s="899" t="s">
        <v>657</v>
      </c>
      <c r="D290" t="str">
        <f t="shared" si="1"/>
        <v>ALLAll Social (FB + Google)</v>
      </c>
    </row>
    <row r="291">
      <c r="A291" s="889" t="s">
        <v>698</v>
      </c>
      <c r="B291" s="897" t="s">
        <v>82</v>
      </c>
      <c r="D291" t="str">
        <f t="shared" si="1"/>
        <v>ALLEmail</v>
      </c>
    </row>
    <row r="292">
      <c r="A292" s="889" t="s">
        <v>698</v>
      </c>
      <c r="B292" s="889" t="s">
        <v>86</v>
      </c>
      <c r="D292" t="str">
        <f t="shared" si="1"/>
        <v>ALLRewards App</v>
      </c>
    </row>
    <row r="293">
      <c r="A293" s="899" t="s">
        <v>698</v>
      </c>
      <c r="B293" s="899" t="s">
        <v>657</v>
      </c>
      <c r="D293" t="str">
        <f t="shared" si="1"/>
        <v>ALLAll Social (FB + Google)</v>
      </c>
    </row>
    <row r="294">
      <c r="A294" s="889" t="s">
        <v>698</v>
      </c>
      <c r="B294" s="897" t="s">
        <v>82</v>
      </c>
      <c r="D294" t="str">
        <f t="shared" si="1"/>
        <v>ALLEmail</v>
      </c>
    </row>
    <row r="295">
      <c r="A295" s="889" t="s">
        <v>698</v>
      </c>
      <c r="B295" s="889" t="s">
        <v>86</v>
      </c>
      <c r="D295" t="str">
        <f t="shared" si="1"/>
        <v>ALLRewards App</v>
      </c>
    </row>
    <row r="296">
      <c r="A296" s="899" t="s">
        <v>698</v>
      </c>
      <c r="B296" s="899" t="s">
        <v>657</v>
      </c>
      <c r="D296" t="str">
        <f t="shared" si="1"/>
        <v>ALLAll Social (FB + Google)</v>
      </c>
    </row>
    <row r="297">
      <c r="A297" s="889" t="s">
        <v>698</v>
      </c>
      <c r="B297" s="897" t="s">
        <v>82</v>
      </c>
      <c r="D297" t="str">
        <f t="shared" si="1"/>
        <v>ALLEmail</v>
      </c>
    </row>
    <row r="298">
      <c r="A298" s="889" t="s">
        <v>698</v>
      </c>
      <c r="B298" s="889" t="s">
        <v>86</v>
      </c>
      <c r="D298" t="str">
        <f t="shared" si="1"/>
        <v>ALLRewards App</v>
      </c>
    </row>
    <row r="299">
      <c r="A299" s="899" t="s">
        <v>698</v>
      </c>
      <c r="B299" s="899" t="s">
        <v>657</v>
      </c>
      <c r="D299" t="str">
        <f t="shared" si="1"/>
        <v>ALLAll Social (FB + Google)</v>
      </c>
    </row>
    <row r="300">
      <c r="A300" s="889" t="s">
        <v>698</v>
      </c>
      <c r="B300" s="897" t="s">
        <v>82</v>
      </c>
      <c r="D300" t="str">
        <f t="shared" si="1"/>
        <v>ALLEmail</v>
      </c>
    </row>
    <row r="301">
      <c r="A301" s="889" t="s">
        <v>698</v>
      </c>
      <c r="B301" s="889" t="s">
        <v>86</v>
      </c>
      <c r="D301" t="str">
        <f t="shared" si="1"/>
        <v>ALLRewards App</v>
      </c>
    </row>
    <row r="302">
      <c r="A302" s="899" t="s">
        <v>698</v>
      </c>
      <c r="B302" s="899" t="s">
        <v>657</v>
      </c>
      <c r="D302" t="str">
        <f t="shared" si="1"/>
        <v>ALLAll Social (FB + Google)</v>
      </c>
    </row>
    <row r="303">
      <c r="A303" s="889" t="s">
        <v>698</v>
      </c>
      <c r="B303" s="897" t="s">
        <v>82</v>
      </c>
      <c r="D303" t="str">
        <f t="shared" si="1"/>
        <v>ALLEmail</v>
      </c>
    </row>
    <row r="304">
      <c r="A304" s="889" t="s">
        <v>698</v>
      </c>
      <c r="B304" s="889" t="s">
        <v>86</v>
      </c>
      <c r="D304" t="str">
        <f t="shared" si="1"/>
        <v>ALLRewards App</v>
      </c>
    </row>
    <row r="305">
      <c r="A305" s="899" t="s">
        <v>698</v>
      </c>
      <c r="B305" s="899" t="s">
        <v>657</v>
      </c>
      <c r="D305" t="str">
        <f t="shared" si="1"/>
        <v>ALLAll Social (FB + Google)</v>
      </c>
    </row>
    <row r="306">
      <c r="A306" s="889" t="s">
        <v>698</v>
      </c>
      <c r="B306" s="897" t="s">
        <v>82</v>
      </c>
      <c r="D306" t="str">
        <f t="shared" si="1"/>
        <v>ALLEmail</v>
      </c>
    </row>
    <row r="307">
      <c r="A307" s="889" t="s">
        <v>698</v>
      </c>
      <c r="B307" s="889" t="s">
        <v>86</v>
      </c>
      <c r="D307" t="str">
        <f t="shared" si="1"/>
        <v>ALLRewards App</v>
      </c>
    </row>
    <row r="308">
      <c r="A308" s="899" t="s">
        <v>698</v>
      </c>
      <c r="B308" s="899" t="s">
        <v>657</v>
      </c>
      <c r="D308" t="str">
        <f t="shared" si="1"/>
        <v>ALLAll Social (FB + Google)</v>
      </c>
    </row>
    <row r="309">
      <c r="A309" s="889" t="s">
        <v>698</v>
      </c>
      <c r="B309" s="897" t="s">
        <v>82</v>
      </c>
      <c r="D309" t="str">
        <f t="shared" si="1"/>
        <v>ALLEmail</v>
      </c>
    </row>
    <row r="310">
      <c r="A310" s="889" t="s">
        <v>698</v>
      </c>
      <c r="B310" s="889" t="s">
        <v>86</v>
      </c>
      <c r="D310" t="str">
        <f t="shared" si="1"/>
        <v>ALLRewards App</v>
      </c>
    </row>
    <row r="311">
      <c r="A311" s="899" t="s">
        <v>698</v>
      </c>
      <c r="B311" s="899" t="s">
        <v>657</v>
      </c>
      <c r="D311" t="str">
        <f t="shared" si="1"/>
        <v>ALLAll Social (FB + Google)</v>
      </c>
    </row>
    <row r="312">
      <c r="A312" s="889" t="s">
        <v>698</v>
      </c>
      <c r="B312" s="897" t="s">
        <v>82</v>
      </c>
      <c r="D312" t="str">
        <f t="shared" si="1"/>
        <v>ALLEmail</v>
      </c>
    </row>
    <row r="313">
      <c r="A313" s="889" t="s">
        <v>698</v>
      </c>
      <c r="B313" s="889" t="s">
        <v>86</v>
      </c>
      <c r="D313" t="str">
        <f t="shared" si="1"/>
        <v>ALLRewards App</v>
      </c>
    </row>
    <row r="314">
      <c r="A314" s="899" t="s">
        <v>698</v>
      </c>
      <c r="B314" s="899" t="s">
        <v>657</v>
      </c>
      <c r="D314" t="str">
        <f t="shared" si="1"/>
        <v>ALLAll Social (FB + Google)</v>
      </c>
    </row>
    <row r="315">
      <c r="A315" s="889" t="s">
        <v>698</v>
      </c>
      <c r="B315" s="897" t="s">
        <v>82</v>
      </c>
      <c r="D315" t="str">
        <f t="shared" si="1"/>
        <v>ALLEmail</v>
      </c>
    </row>
    <row r="316">
      <c r="A316" s="889" t="s">
        <v>698</v>
      </c>
      <c r="B316" s="889" t="s">
        <v>86</v>
      </c>
      <c r="D316" t="str">
        <f t="shared" si="1"/>
        <v>ALLRewards App</v>
      </c>
    </row>
    <row r="317">
      <c r="A317" s="899" t="s">
        <v>698</v>
      </c>
      <c r="B317" s="899" t="s">
        <v>657</v>
      </c>
      <c r="D317" t="str">
        <f t="shared" si="1"/>
        <v>ALLAll Social (FB + Google)</v>
      </c>
    </row>
    <row r="318">
      <c r="A318" s="889" t="s">
        <v>698</v>
      </c>
      <c r="B318" s="897" t="s">
        <v>82</v>
      </c>
      <c r="D318" t="str">
        <f t="shared" si="1"/>
        <v>ALLEmail</v>
      </c>
    </row>
    <row r="319">
      <c r="A319" s="889" t="s">
        <v>698</v>
      </c>
      <c r="B319" s="889" t="s">
        <v>86</v>
      </c>
      <c r="D319" t="str">
        <f t="shared" si="1"/>
        <v>ALLRewards App</v>
      </c>
    </row>
    <row r="320">
      <c r="A320" s="899" t="s">
        <v>698</v>
      </c>
      <c r="B320" s="899" t="s">
        <v>657</v>
      </c>
      <c r="D320" t="str">
        <f t="shared" si="1"/>
        <v>ALLAll Social (FB + Google)</v>
      </c>
    </row>
    <row r="321">
      <c r="A321" s="889" t="s">
        <v>698</v>
      </c>
      <c r="B321" s="897" t="s">
        <v>82</v>
      </c>
      <c r="D321" t="str">
        <f t="shared" si="1"/>
        <v>ALLEmail</v>
      </c>
    </row>
    <row r="322">
      <c r="A322" s="889" t="s">
        <v>698</v>
      </c>
      <c r="B322" s="889" t="s">
        <v>86</v>
      </c>
      <c r="D322" t="str">
        <f t="shared" si="1"/>
        <v>ALLRewards App</v>
      </c>
    </row>
    <row r="323">
      <c r="A323" s="899" t="s">
        <v>698</v>
      </c>
      <c r="B323" s="899" t="s">
        <v>657</v>
      </c>
      <c r="D323" t="str">
        <f t="shared" si="1"/>
        <v>ALLAll Social (FB + Google)</v>
      </c>
    </row>
    <row r="324">
      <c r="A324" s="889" t="s">
        <v>698</v>
      </c>
      <c r="B324" s="897" t="s">
        <v>82</v>
      </c>
      <c r="D324" t="str">
        <f t="shared" si="1"/>
        <v>ALLEmail</v>
      </c>
    </row>
    <row r="325">
      <c r="A325" s="889" t="s">
        <v>698</v>
      </c>
      <c r="B325" s="889" t="s">
        <v>86</v>
      </c>
      <c r="D325" t="str">
        <f t="shared" si="1"/>
        <v>ALLRewards App</v>
      </c>
    </row>
    <row r="326">
      <c r="A326" s="899" t="s">
        <v>698</v>
      </c>
      <c r="B326" s="899" t="s">
        <v>657</v>
      </c>
      <c r="D326" t="str">
        <f t="shared" si="1"/>
        <v>ALLAll Social (FB + Google)</v>
      </c>
    </row>
    <row r="327">
      <c r="A327" s="889" t="s">
        <v>698</v>
      </c>
      <c r="B327" s="897" t="s">
        <v>82</v>
      </c>
      <c r="D327" t="str">
        <f t="shared" si="1"/>
        <v>ALLEmail</v>
      </c>
    </row>
    <row r="328">
      <c r="A328" s="889" t="s">
        <v>698</v>
      </c>
      <c r="B328" s="889" t="s">
        <v>86</v>
      </c>
      <c r="D328" t="str">
        <f t="shared" si="1"/>
        <v>ALLRewards App</v>
      </c>
    </row>
    <row r="329">
      <c r="A329" s="899" t="s">
        <v>698</v>
      </c>
      <c r="B329" s="899" t="s">
        <v>657</v>
      </c>
      <c r="D329" t="str">
        <f t="shared" si="1"/>
        <v>ALLAll Social (FB + Google)</v>
      </c>
    </row>
    <row r="330">
      <c r="A330" s="889" t="s">
        <v>698</v>
      </c>
      <c r="B330" s="897" t="s">
        <v>82</v>
      </c>
      <c r="D330" t="str">
        <f t="shared" si="1"/>
        <v>ALLEmail</v>
      </c>
    </row>
    <row r="331">
      <c r="A331" s="889" t="s">
        <v>698</v>
      </c>
      <c r="B331" s="889" t="s">
        <v>86</v>
      </c>
      <c r="D331" t="str">
        <f t="shared" si="1"/>
        <v>ALLRewards App</v>
      </c>
    </row>
    <row r="332">
      <c r="A332" s="899" t="s">
        <v>698</v>
      </c>
      <c r="B332" s="899" t="s">
        <v>657</v>
      </c>
      <c r="D332" t="str">
        <f t="shared" si="1"/>
        <v>ALLAll Social (FB + Google)</v>
      </c>
    </row>
    <row r="333">
      <c r="A333" s="889" t="s">
        <v>698</v>
      </c>
      <c r="B333" s="897" t="s">
        <v>82</v>
      </c>
      <c r="D333" t="str">
        <f t="shared" si="1"/>
        <v>ALLEmail</v>
      </c>
    </row>
    <row r="334">
      <c r="A334" s="889" t="s">
        <v>698</v>
      </c>
      <c r="B334" s="889" t="s">
        <v>86</v>
      </c>
      <c r="D334" t="str">
        <f t="shared" si="1"/>
        <v>ALLRewards App</v>
      </c>
    </row>
    <row r="335">
      <c r="A335" s="899" t="s">
        <v>698</v>
      </c>
      <c r="B335" s="899" t="s">
        <v>657</v>
      </c>
      <c r="D335" t="str">
        <f t="shared" si="1"/>
        <v>ALLAll Social (FB + Google)</v>
      </c>
    </row>
    <row r="336">
      <c r="A336" s="889" t="s">
        <v>698</v>
      </c>
      <c r="B336" s="897" t="s">
        <v>82</v>
      </c>
      <c r="D336" t="str">
        <f t="shared" si="1"/>
        <v>ALLEmail</v>
      </c>
    </row>
    <row r="337">
      <c r="A337" s="889" t="s">
        <v>698</v>
      </c>
      <c r="B337" s="889" t="s">
        <v>86</v>
      </c>
      <c r="D337" t="str">
        <f t="shared" si="1"/>
        <v>ALLRewards App</v>
      </c>
    </row>
    <row r="338">
      <c r="A338" s="899" t="s">
        <v>698</v>
      </c>
      <c r="B338" s="899" t="s">
        <v>657</v>
      </c>
      <c r="D338" t="str">
        <f t="shared" si="1"/>
        <v>ALLAll Social (FB + Google)</v>
      </c>
    </row>
    <row r="339">
      <c r="A339" s="889" t="s">
        <v>698</v>
      </c>
      <c r="B339" s="897" t="s">
        <v>82</v>
      </c>
      <c r="D339" t="str">
        <f t="shared" si="1"/>
        <v>ALLEmail</v>
      </c>
    </row>
    <row r="340">
      <c r="A340" s="889" t="s">
        <v>698</v>
      </c>
      <c r="B340" s="889" t="s">
        <v>86</v>
      </c>
      <c r="D340" t="str">
        <f t="shared" si="1"/>
        <v>ALLRewards App</v>
      </c>
    </row>
    <row r="341">
      <c r="A341" s="899" t="s">
        <v>698</v>
      </c>
      <c r="B341" s="899" t="s">
        <v>657</v>
      </c>
      <c r="D341" t="str">
        <f t="shared" si="1"/>
        <v>ALLAll Social (FB + Google)</v>
      </c>
    </row>
    <row r="342">
      <c r="A342" s="889" t="s">
        <v>698</v>
      </c>
      <c r="B342" s="897" t="s">
        <v>82</v>
      </c>
      <c r="D342" t="str">
        <f t="shared" si="1"/>
        <v>ALLEmail</v>
      </c>
    </row>
    <row r="343">
      <c r="A343" s="889" t="s">
        <v>698</v>
      </c>
      <c r="B343" s="889" t="s">
        <v>86</v>
      </c>
      <c r="D343" t="str">
        <f t="shared" si="1"/>
        <v>ALLRewards App</v>
      </c>
    </row>
    <row r="344">
      <c r="A344" s="899" t="s">
        <v>698</v>
      </c>
      <c r="B344" s="899" t="s">
        <v>657</v>
      </c>
      <c r="D344" t="str">
        <f t="shared" si="1"/>
        <v>ALLAll Social (FB + Google)</v>
      </c>
    </row>
    <row r="345">
      <c r="A345" s="889" t="s">
        <v>698</v>
      </c>
      <c r="B345" s="897" t="s">
        <v>82</v>
      </c>
      <c r="D345" t="str">
        <f t="shared" si="1"/>
        <v>ALLEmail</v>
      </c>
    </row>
    <row r="346">
      <c r="A346" s="889" t="s">
        <v>698</v>
      </c>
      <c r="B346" s="889" t="s">
        <v>86</v>
      </c>
      <c r="D346" t="str">
        <f t="shared" si="1"/>
        <v>ALLRewards App</v>
      </c>
    </row>
    <row r="347">
      <c r="A347" s="899" t="s">
        <v>698</v>
      </c>
      <c r="B347" s="899" t="s">
        <v>657</v>
      </c>
      <c r="D347" t="str">
        <f t="shared" si="1"/>
        <v>ALLAll Social (FB + Google)</v>
      </c>
    </row>
    <row r="348">
      <c r="A348" s="889" t="s">
        <v>698</v>
      </c>
      <c r="B348" s="897" t="s">
        <v>82</v>
      </c>
      <c r="D348" t="str">
        <f t="shared" si="1"/>
        <v>ALLEmail</v>
      </c>
    </row>
    <row r="349">
      <c r="A349" s="889" t="s">
        <v>698</v>
      </c>
      <c r="B349" s="889" t="s">
        <v>86</v>
      </c>
      <c r="D349" t="str">
        <f t="shared" si="1"/>
        <v>ALLRewards App</v>
      </c>
    </row>
    <row r="350">
      <c r="A350" s="899" t="s">
        <v>698</v>
      </c>
      <c r="B350" s="899" t="s">
        <v>657</v>
      </c>
      <c r="D350" t="str">
        <f t="shared" si="1"/>
        <v>ALLAll Social (FB + Google)</v>
      </c>
    </row>
    <row r="351">
      <c r="A351" s="889" t="s">
        <v>698</v>
      </c>
      <c r="B351" s="897" t="s">
        <v>82</v>
      </c>
      <c r="D351" t="str">
        <f t="shared" si="1"/>
        <v>ALLEmail</v>
      </c>
    </row>
    <row r="352">
      <c r="A352" s="889" t="s">
        <v>698</v>
      </c>
      <c r="B352" s="889" t="s">
        <v>86</v>
      </c>
      <c r="D352" t="str">
        <f t="shared" si="1"/>
        <v>ALLRewards App</v>
      </c>
    </row>
    <row r="353">
      <c r="A353" s="899" t="s">
        <v>698</v>
      </c>
      <c r="B353" s="899" t="s">
        <v>657</v>
      </c>
      <c r="D353" t="str">
        <f t="shared" si="1"/>
        <v>ALLAll Social (FB + Google)</v>
      </c>
    </row>
    <row r="354">
      <c r="A354" s="889" t="s">
        <v>698</v>
      </c>
      <c r="B354" s="897" t="s">
        <v>82</v>
      </c>
      <c r="D354" t="str">
        <f t="shared" si="1"/>
        <v>ALLEmail</v>
      </c>
    </row>
    <row r="355">
      <c r="A355" s="889" t="s">
        <v>698</v>
      </c>
      <c r="B355" s="889" t="s">
        <v>86</v>
      </c>
      <c r="D355" t="str">
        <f t="shared" si="1"/>
        <v>ALLRewards App</v>
      </c>
    </row>
    <row r="356">
      <c r="A356" s="899" t="s">
        <v>698</v>
      </c>
      <c r="B356" s="899" t="s">
        <v>657</v>
      </c>
      <c r="D356" t="str">
        <f t="shared" si="1"/>
        <v>ALLAll Social (FB + Google)</v>
      </c>
    </row>
    <row r="357">
      <c r="A357" s="889" t="s">
        <v>698</v>
      </c>
      <c r="B357" s="897" t="s">
        <v>82</v>
      </c>
      <c r="D357" t="str">
        <f t="shared" si="1"/>
        <v>ALLEmail</v>
      </c>
    </row>
    <row r="358">
      <c r="A358" s="889" t="s">
        <v>698</v>
      </c>
      <c r="B358" s="889" t="s">
        <v>86</v>
      </c>
      <c r="D358" t="str">
        <f t="shared" si="1"/>
        <v>ALLRewards App</v>
      </c>
    </row>
    <row r="359">
      <c r="A359" s="899" t="s">
        <v>698</v>
      </c>
      <c r="B359" s="899" t="s">
        <v>657</v>
      </c>
      <c r="D359" t="str">
        <f t="shared" si="1"/>
        <v>ALLAll Social (FB + Google)</v>
      </c>
    </row>
    <row r="360">
      <c r="A360" s="889" t="s">
        <v>698</v>
      </c>
      <c r="B360" s="897" t="s">
        <v>82</v>
      </c>
      <c r="D360" t="str">
        <f t="shared" si="1"/>
        <v>ALLEmail</v>
      </c>
    </row>
    <row r="361">
      <c r="A361" s="889" t="s">
        <v>698</v>
      </c>
      <c r="B361" s="889" t="s">
        <v>86</v>
      </c>
      <c r="D361" t="str">
        <f t="shared" si="1"/>
        <v>ALLRewards App</v>
      </c>
    </row>
    <row r="362">
      <c r="A362" s="899" t="s">
        <v>698</v>
      </c>
      <c r="B362" s="899" t="s">
        <v>657</v>
      </c>
      <c r="D362" t="str">
        <f t="shared" si="1"/>
        <v>ALLAll Social (FB + Google)</v>
      </c>
    </row>
    <row r="363">
      <c r="A363" s="889" t="s">
        <v>698</v>
      </c>
      <c r="B363" s="897" t="s">
        <v>82</v>
      </c>
      <c r="D363" t="str">
        <f t="shared" si="1"/>
        <v>ALLEmail</v>
      </c>
    </row>
    <row r="364">
      <c r="A364" s="889" t="s">
        <v>698</v>
      </c>
      <c r="B364" s="889" t="s">
        <v>86</v>
      </c>
      <c r="D364" t="str">
        <f t="shared" si="1"/>
        <v>ALLRewards App</v>
      </c>
    </row>
    <row r="365">
      <c r="A365" s="899" t="s">
        <v>698</v>
      </c>
      <c r="B365" s="899" t="s">
        <v>657</v>
      </c>
      <c r="D365" t="str">
        <f t="shared" si="1"/>
        <v>ALLAll Social (FB + Google)</v>
      </c>
    </row>
    <row r="366">
      <c r="A366" s="889" t="s">
        <v>698</v>
      </c>
      <c r="B366" s="897" t="s">
        <v>82</v>
      </c>
      <c r="D366" t="str">
        <f t="shared" si="1"/>
        <v>ALLEmail</v>
      </c>
    </row>
    <row r="367">
      <c r="A367" s="889" t="s">
        <v>698</v>
      </c>
      <c r="B367" s="889" t="s">
        <v>86</v>
      </c>
      <c r="D367" t="str">
        <f t="shared" si="1"/>
        <v>ALLRewards App</v>
      </c>
    </row>
    <row r="368">
      <c r="A368" s="899" t="s">
        <v>698</v>
      </c>
      <c r="B368" s="899" t="s">
        <v>657</v>
      </c>
      <c r="D368" t="str">
        <f t="shared" si="1"/>
        <v>ALLAll Social (FB + Google)</v>
      </c>
    </row>
    <row r="369">
      <c r="A369" s="889" t="s">
        <v>698</v>
      </c>
      <c r="B369" s="897" t="s">
        <v>82</v>
      </c>
      <c r="D369" t="str">
        <f t="shared" si="1"/>
        <v>ALLEmail</v>
      </c>
    </row>
    <row r="370">
      <c r="A370" s="889" t="s">
        <v>698</v>
      </c>
      <c r="B370" s="889" t="s">
        <v>86</v>
      </c>
      <c r="D370" t="str">
        <f t="shared" si="1"/>
        <v>ALLRewards App</v>
      </c>
    </row>
    <row r="371">
      <c r="A371" s="899" t="s">
        <v>698</v>
      </c>
      <c r="B371" s="899" t="s">
        <v>657</v>
      </c>
      <c r="D371" t="str">
        <f t="shared" si="1"/>
        <v>ALLAll Social (FB + Google)</v>
      </c>
    </row>
    <row r="372">
      <c r="A372" s="889" t="s">
        <v>698</v>
      </c>
      <c r="B372" s="897" t="s">
        <v>82</v>
      </c>
      <c r="D372" t="str">
        <f t="shared" si="1"/>
        <v>ALLEmail</v>
      </c>
    </row>
    <row r="373">
      <c r="A373" s="889" t="s">
        <v>698</v>
      </c>
      <c r="B373" s="889" t="s">
        <v>86</v>
      </c>
      <c r="D373" t="str">
        <f t="shared" si="1"/>
        <v>ALLRewards App</v>
      </c>
    </row>
    <row r="374">
      <c r="A374" s="899" t="s">
        <v>698</v>
      </c>
      <c r="B374" s="899" t="s">
        <v>657</v>
      </c>
      <c r="D374" t="str">
        <f t="shared" si="1"/>
        <v>ALLAll Social (FB + Google)</v>
      </c>
    </row>
    <row r="375">
      <c r="A375" s="889" t="s">
        <v>698</v>
      </c>
      <c r="B375" s="897" t="s">
        <v>82</v>
      </c>
      <c r="D375" t="str">
        <f t="shared" si="1"/>
        <v>ALLEmail</v>
      </c>
    </row>
    <row r="376">
      <c r="A376" s="889" t="s">
        <v>698</v>
      </c>
      <c r="B376" s="889" t="s">
        <v>86</v>
      </c>
      <c r="D376" t="str">
        <f t="shared" si="1"/>
        <v>ALLRewards App</v>
      </c>
    </row>
    <row r="377">
      <c r="A377" s="899" t="s">
        <v>698</v>
      </c>
      <c r="B377" s="899" t="s">
        <v>657</v>
      </c>
      <c r="D377" t="str">
        <f t="shared" si="1"/>
        <v>ALLAll Social (FB + Google)</v>
      </c>
    </row>
    <row r="378">
      <c r="A378" s="889" t="s">
        <v>698</v>
      </c>
      <c r="B378" s="897" t="s">
        <v>82</v>
      </c>
      <c r="D378" t="str">
        <f t="shared" si="1"/>
        <v>ALLEmail</v>
      </c>
    </row>
    <row r="379">
      <c r="A379" s="889" t="s">
        <v>698</v>
      </c>
      <c r="B379" s="889" t="s">
        <v>86</v>
      </c>
      <c r="D379" t="str">
        <f t="shared" si="1"/>
        <v>ALLRewards App</v>
      </c>
    </row>
    <row r="380">
      <c r="A380" s="899" t="s">
        <v>698</v>
      </c>
      <c r="B380" s="899" t="s">
        <v>657</v>
      </c>
      <c r="D380" t="str">
        <f t="shared" si="1"/>
        <v>ALLAll Social (FB + Google)</v>
      </c>
    </row>
    <row r="381">
      <c r="A381" s="889" t="s">
        <v>698</v>
      </c>
      <c r="B381" s="897" t="s">
        <v>82</v>
      </c>
      <c r="D381" t="str">
        <f t="shared" si="1"/>
        <v>ALLEmail</v>
      </c>
    </row>
    <row r="382">
      <c r="A382" s="889" t="s">
        <v>698</v>
      </c>
      <c r="B382" s="889" t="s">
        <v>86</v>
      </c>
      <c r="D382" t="str">
        <f t="shared" si="1"/>
        <v>ALLRewards App</v>
      </c>
    </row>
    <row r="383">
      <c r="A383" s="899" t="s">
        <v>698</v>
      </c>
      <c r="B383" s="899" t="s">
        <v>657</v>
      </c>
      <c r="D383" t="str">
        <f t="shared" si="1"/>
        <v>ALLAll Social (FB + Google)</v>
      </c>
    </row>
    <row r="384">
      <c r="A384" s="889"/>
      <c r="B384" s="889"/>
    </row>
  </sheetData>
  <autoFilter ref="$B$2:$E$383"/>
  <dataValidations>
    <dataValidation type="list" allowBlank="1" showErrorMessage="1" sqref="E3:E82">
      <formula1>meta!$J$2:$J$5</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6.0"/>
    <col customWidth="1" min="3" max="3" width="50.86"/>
    <col customWidth="1" min="4" max="4" width="31.43"/>
  </cols>
  <sheetData>
    <row r="2">
      <c r="A2" s="896" t="s">
        <v>693</v>
      </c>
      <c r="B2" s="896" t="s">
        <v>694</v>
      </c>
      <c r="C2" s="896" t="s">
        <v>695</v>
      </c>
      <c r="D2" s="896" t="s">
        <v>696</v>
      </c>
      <c r="E2" s="896" t="s">
        <v>697</v>
      </c>
    </row>
    <row r="3">
      <c r="A3" s="889" t="s">
        <v>698</v>
      </c>
      <c r="B3" s="897" t="s">
        <v>82</v>
      </c>
      <c r="C3" s="889" t="s">
        <v>259</v>
      </c>
      <c r="D3" t="str">
        <f t="shared" ref="D3:D290" si="1">CONCATENATE(A3,B3,C3)</f>
        <v>ALLEmailUnsubscribe from all Everyday Rewards communications</v>
      </c>
      <c r="E3" s="889" t="s">
        <v>260</v>
      </c>
      <c r="G3" t="s">
        <v>699</v>
      </c>
      <c r="H3" t="str">
        <f>vlookup(G3,D3:E80,2,false)</f>
        <v>Ex Optout</v>
      </c>
    </row>
    <row r="4">
      <c r="A4" s="889" t="s">
        <v>698</v>
      </c>
      <c r="B4" s="889" t="s">
        <v>86</v>
      </c>
      <c r="C4" s="889" t="s">
        <v>259</v>
      </c>
      <c r="D4" t="str">
        <f t="shared" si="1"/>
        <v>ALLRewards AppUnsubscribe from all Everyday Rewards communications</v>
      </c>
      <c r="E4" s="889" t="s">
        <v>261</v>
      </c>
      <c r="G4" t="s">
        <v>700</v>
      </c>
      <c r="H4" t="str">
        <f t="shared" ref="H4:H7" si="2">vlookup(G4,D4:E81,1)</f>
        <v>ALLAll Social (FB + Google)Dry Postcodes (for Liquor Campaigns)</v>
      </c>
    </row>
    <row r="5">
      <c r="A5" s="899" t="s">
        <v>698</v>
      </c>
      <c r="B5" s="899" t="s">
        <v>657</v>
      </c>
      <c r="C5" s="889" t="s">
        <v>259</v>
      </c>
      <c r="D5" t="str">
        <f t="shared" si="1"/>
        <v>ALLAll Social (FB + Google)Unsubscribe from all Everyday Rewards communications</v>
      </c>
      <c r="E5" s="889" t="s">
        <v>261</v>
      </c>
      <c r="G5" t="s">
        <v>701</v>
      </c>
      <c r="H5" t="str">
        <f t="shared" si="2"/>
        <v>ALLAll Social (FB + Google)Competitor Email (Add Domain here for Ref)</v>
      </c>
    </row>
    <row r="6">
      <c r="A6" s="889" t="s">
        <v>698</v>
      </c>
      <c r="B6" s="897" t="s">
        <v>82</v>
      </c>
      <c r="C6" s="889" t="s">
        <v>262</v>
      </c>
      <c r="D6" t="str">
        <f t="shared" si="1"/>
        <v>ALLEmailExclusive offers and promotions</v>
      </c>
      <c r="E6" s="889" t="s">
        <v>260</v>
      </c>
      <c r="G6" t="s">
        <v>702</v>
      </c>
      <c r="H6" t="str">
        <f t="shared" si="2"/>
        <v>ALLAll Social (FB + Google)Overseas</v>
      </c>
    </row>
    <row r="7">
      <c r="A7" s="889" t="s">
        <v>698</v>
      </c>
      <c r="B7" s="889" t="s">
        <v>86</v>
      </c>
      <c r="C7" s="889" t="s">
        <v>262</v>
      </c>
      <c r="D7" t="str">
        <f t="shared" si="1"/>
        <v>ALLRewards AppExclusive offers and promotions</v>
      </c>
      <c r="E7" s="889" t="s">
        <v>261</v>
      </c>
      <c r="G7" t="s">
        <v>703</v>
      </c>
      <c r="H7" t="str">
        <f t="shared" si="2"/>
        <v>ALLEmail</v>
      </c>
    </row>
    <row r="8">
      <c r="A8" s="899" t="s">
        <v>698</v>
      </c>
      <c r="B8" s="899" t="s">
        <v>657</v>
      </c>
      <c r="C8" s="889" t="s">
        <v>262</v>
      </c>
      <c r="D8" t="str">
        <f t="shared" si="1"/>
        <v>ALLAll Social (FB + Google)Exclusive offers and promotions</v>
      </c>
      <c r="E8" s="889" t="s">
        <v>261</v>
      </c>
    </row>
    <row r="9">
      <c r="A9" s="889" t="s">
        <v>698</v>
      </c>
      <c r="B9" s="897" t="s">
        <v>82</v>
      </c>
      <c r="C9" s="889" t="s">
        <v>95</v>
      </c>
      <c r="D9" t="str">
        <f t="shared" si="1"/>
        <v>ALLEmailWoolworths Supermarkets</v>
      </c>
      <c r="E9" s="889" t="s">
        <v>260</v>
      </c>
    </row>
    <row r="10">
      <c r="A10" s="889" t="s">
        <v>698</v>
      </c>
      <c r="B10" s="889" t="s">
        <v>86</v>
      </c>
      <c r="C10" s="889" t="s">
        <v>95</v>
      </c>
      <c r="D10" t="str">
        <f t="shared" si="1"/>
        <v>ALLRewards AppWoolworths Supermarkets</v>
      </c>
      <c r="E10" s="889" t="s">
        <v>261</v>
      </c>
    </row>
    <row r="11">
      <c r="A11" s="899" t="s">
        <v>698</v>
      </c>
      <c r="B11" s="899" t="s">
        <v>657</v>
      </c>
      <c r="C11" s="889" t="s">
        <v>95</v>
      </c>
      <c r="D11" t="str">
        <f t="shared" si="1"/>
        <v>ALLAll Social (FB + Google)Woolworths Supermarkets</v>
      </c>
      <c r="E11" s="889" t="s">
        <v>261</v>
      </c>
    </row>
    <row r="12">
      <c r="A12" s="889" t="s">
        <v>698</v>
      </c>
      <c r="B12" s="897" t="s">
        <v>82</v>
      </c>
      <c r="C12" s="889" t="s">
        <v>252</v>
      </c>
      <c r="D12" t="str">
        <f t="shared" si="1"/>
        <v>ALLEmailBWS</v>
      </c>
      <c r="E12" s="889" t="s">
        <v>260</v>
      </c>
    </row>
    <row r="13">
      <c r="A13" s="889" t="s">
        <v>698</v>
      </c>
      <c r="B13" s="889" t="s">
        <v>86</v>
      </c>
      <c r="C13" s="889" t="s">
        <v>252</v>
      </c>
      <c r="D13" t="str">
        <f t="shared" si="1"/>
        <v>ALLRewards AppBWS</v>
      </c>
      <c r="E13" s="889" t="s">
        <v>261</v>
      </c>
    </row>
    <row r="14">
      <c r="A14" s="899" t="s">
        <v>698</v>
      </c>
      <c r="B14" s="899" t="s">
        <v>657</v>
      </c>
      <c r="C14" s="889" t="s">
        <v>252</v>
      </c>
      <c r="D14" t="str">
        <f t="shared" si="1"/>
        <v>ALLAll Social (FB + Google)BWS</v>
      </c>
      <c r="E14" s="889" t="s">
        <v>261</v>
      </c>
    </row>
    <row r="15">
      <c r="A15" s="889" t="s">
        <v>698</v>
      </c>
      <c r="B15" s="897" t="s">
        <v>82</v>
      </c>
      <c r="C15" s="889" t="s">
        <v>266</v>
      </c>
      <c r="D15" t="str">
        <f t="shared" si="1"/>
        <v>ALLEmailNo liquor offers and promotions</v>
      </c>
      <c r="E15" s="889" t="s">
        <v>263</v>
      </c>
    </row>
    <row r="16">
      <c r="A16" s="889" t="s">
        <v>698</v>
      </c>
      <c r="B16" s="889" t="s">
        <v>86</v>
      </c>
      <c r="C16" s="889" t="s">
        <v>266</v>
      </c>
      <c r="D16" t="str">
        <f t="shared" si="1"/>
        <v>ALLRewards AppNo liquor offers and promotions</v>
      </c>
      <c r="E16" s="889" t="s">
        <v>263</v>
      </c>
    </row>
    <row r="17">
      <c r="A17" s="899" t="s">
        <v>698</v>
      </c>
      <c r="B17" s="899" t="s">
        <v>657</v>
      </c>
      <c r="C17" s="889" t="s">
        <v>266</v>
      </c>
      <c r="D17" t="str">
        <f t="shared" si="1"/>
        <v>ALLAll Social (FB + Google)No liquor offers and promotions</v>
      </c>
      <c r="E17" s="889" t="s">
        <v>263</v>
      </c>
    </row>
    <row r="18">
      <c r="A18" s="889" t="s">
        <v>698</v>
      </c>
      <c r="B18" s="897" t="s">
        <v>82</v>
      </c>
      <c r="C18" s="889" t="s">
        <v>295</v>
      </c>
      <c r="D18" t="str">
        <f t="shared" si="1"/>
        <v>ALLEmailBig W</v>
      </c>
      <c r="E18" s="889" t="s">
        <v>260</v>
      </c>
    </row>
    <row r="19">
      <c r="A19" s="889" t="s">
        <v>698</v>
      </c>
      <c r="B19" s="889" t="s">
        <v>86</v>
      </c>
      <c r="C19" s="889" t="s">
        <v>295</v>
      </c>
      <c r="D19" t="str">
        <f t="shared" si="1"/>
        <v>ALLRewards AppBig W</v>
      </c>
      <c r="E19" s="889" t="s">
        <v>261</v>
      </c>
    </row>
    <row r="20">
      <c r="A20" s="899" t="s">
        <v>698</v>
      </c>
      <c r="B20" s="899" t="s">
        <v>657</v>
      </c>
      <c r="C20" s="889" t="s">
        <v>295</v>
      </c>
      <c r="D20" t="str">
        <f t="shared" si="1"/>
        <v>ALLAll Social (FB + Google)Big W</v>
      </c>
      <c r="E20" s="889" t="s">
        <v>261</v>
      </c>
    </row>
    <row r="21">
      <c r="A21" s="889" t="s">
        <v>698</v>
      </c>
      <c r="B21" s="897" t="s">
        <v>82</v>
      </c>
      <c r="C21" s="889" t="s">
        <v>265</v>
      </c>
      <c r="D21" t="str">
        <f t="shared" si="1"/>
        <v>ALLEmailFuel</v>
      </c>
      <c r="E21" s="889" t="s">
        <v>260</v>
      </c>
    </row>
    <row r="22">
      <c r="A22" s="889" t="s">
        <v>698</v>
      </c>
      <c r="B22" s="889" t="s">
        <v>86</v>
      </c>
      <c r="C22" s="889" t="s">
        <v>265</v>
      </c>
      <c r="D22" t="str">
        <f t="shared" si="1"/>
        <v>ALLRewards AppFuel</v>
      </c>
      <c r="E22" s="889" t="s">
        <v>261</v>
      </c>
    </row>
    <row r="23">
      <c r="A23" s="899" t="s">
        <v>698</v>
      </c>
      <c r="B23" s="899" t="s">
        <v>657</v>
      </c>
      <c r="C23" s="889" t="s">
        <v>265</v>
      </c>
      <c r="D23" t="str">
        <f t="shared" si="1"/>
        <v>ALLAll Social (FB + Google)Fuel</v>
      </c>
      <c r="E23" s="889" t="s">
        <v>261</v>
      </c>
    </row>
    <row r="24">
      <c r="A24" s="889" t="s">
        <v>698</v>
      </c>
      <c r="B24" s="897" t="s">
        <v>82</v>
      </c>
      <c r="C24" s="889" t="s">
        <v>255</v>
      </c>
      <c r="D24" t="str">
        <f t="shared" si="1"/>
        <v>ALLEmailProgram Affiliates</v>
      </c>
      <c r="E24" s="889" t="s">
        <v>260</v>
      </c>
    </row>
    <row r="25">
      <c r="A25" s="889" t="s">
        <v>698</v>
      </c>
      <c r="B25" s="889" t="s">
        <v>86</v>
      </c>
      <c r="C25" s="889" t="s">
        <v>255</v>
      </c>
      <c r="D25" t="str">
        <f t="shared" si="1"/>
        <v>ALLRewards AppProgram Affiliates</v>
      </c>
      <c r="E25" s="889" t="s">
        <v>261</v>
      </c>
    </row>
    <row r="26">
      <c r="A26" s="899" t="s">
        <v>698</v>
      </c>
      <c r="B26" s="899" t="s">
        <v>657</v>
      </c>
      <c r="C26" s="889" t="s">
        <v>255</v>
      </c>
      <c r="D26" t="str">
        <f t="shared" si="1"/>
        <v>ALLAll Social (FB + Google)Program Affiliates</v>
      </c>
      <c r="E26" s="889" t="s">
        <v>261</v>
      </c>
    </row>
    <row r="27">
      <c r="A27" s="889" t="s">
        <v>698</v>
      </c>
      <c r="B27" s="897" t="s">
        <v>82</v>
      </c>
      <c r="C27" s="889" t="s">
        <v>268</v>
      </c>
      <c r="D27" t="str">
        <f t="shared" si="1"/>
        <v>ALLEmailContact preference (website) - email</v>
      </c>
      <c r="E27" s="889" t="s">
        <v>260</v>
      </c>
    </row>
    <row r="28">
      <c r="A28" s="889" t="s">
        <v>698</v>
      </c>
      <c r="B28" s="889" t="s">
        <v>86</v>
      </c>
      <c r="C28" s="889" t="s">
        <v>268</v>
      </c>
      <c r="D28" t="str">
        <f t="shared" si="1"/>
        <v>ALLRewards AppContact preference (website) - email</v>
      </c>
      <c r="E28" s="889" t="s">
        <v>261</v>
      </c>
    </row>
    <row r="29">
      <c r="A29" s="899" t="s">
        <v>698</v>
      </c>
      <c r="B29" s="899" t="s">
        <v>657</v>
      </c>
      <c r="C29" s="889" t="s">
        <v>268</v>
      </c>
      <c r="D29" t="str">
        <f t="shared" si="1"/>
        <v>ALLAll Social (FB + Google)Contact preference (website) - email</v>
      </c>
      <c r="E29" s="889" t="s">
        <v>261</v>
      </c>
    </row>
    <row r="30">
      <c r="A30" s="889" t="s">
        <v>698</v>
      </c>
      <c r="B30" s="897" t="s">
        <v>82</v>
      </c>
      <c r="C30" s="889" t="s">
        <v>271</v>
      </c>
      <c r="D30" t="str">
        <f t="shared" si="1"/>
        <v>ALLEmailCancelled Woolworths Reward Card</v>
      </c>
      <c r="E30" s="889" t="s">
        <v>572</v>
      </c>
    </row>
    <row r="31">
      <c r="A31" s="889" t="s">
        <v>698</v>
      </c>
      <c r="B31" s="889" t="s">
        <v>86</v>
      </c>
      <c r="C31" s="889" t="s">
        <v>271</v>
      </c>
      <c r="D31" t="str">
        <f t="shared" si="1"/>
        <v>ALLRewards AppCancelled Woolworths Reward Card</v>
      </c>
      <c r="E31" s="889" t="s">
        <v>572</v>
      </c>
    </row>
    <row r="32">
      <c r="A32" s="899" t="s">
        <v>698</v>
      </c>
      <c r="B32" s="899" t="s">
        <v>657</v>
      </c>
      <c r="C32" s="889" t="s">
        <v>271</v>
      </c>
      <c r="D32" t="str">
        <f t="shared" si="1"/>
        <v>ALLAll Social (FB + Google)Cancelled Woolworths Reward Card</v>
      </c>
      <c r="E32" s="889" t="s">
        <v>572</v>
      </c>
    </row>
    <row r="33">
      <c r="A33" s="889" t="s">
        <v>698</v>
      </c>
      <c r="B33" s="897" t="s">
        <v>82</v>
      </c>
      <c r="C33" s="889" t="s">
        <v>105</v>
      </c>
      <c r="D33" t="str">
        <f t="shared" si="1"/>
        <v>ALLEmailDeceased</v>
      </c>
      <c r="E33" s="889" t="s">
        <v>572</v>
      </c>
    </row>
    <row r="34">
      <c r="A34" s="889" t="s">
        <v>698</v>
      </c>
      <c r="B34" s="889" t="s">
        <v>86</v>
      </c>
      <c r="C34" s="889" t="s">
        <v>105</v>
      </c>
      <c r="D34" t="str">
        <f t="shared" si="1"/>
        <v>ALLRewards AppDeceased</v>
      </c>
      <c r="E34" s="889" t="s">
        <v>580</v>
      </c>
    </row>
    <row r="35">
      <c r="A35" s="899" t="s">
        <v>698</v>
      </c>
      <c r="B35" s="899" t="s">
        <v>657</v>
      </c>
      <c r="C35" s="889" t="s">
        <v>105</v>
      </c>
      <c r="D35" t="str">
        <f t="shared" si="1"/>
        <v>ALLAll Social (FB + Google)Deceased</v>
      </c>
      <c r="E35" s="889" t="s">
        <v>572</v>
      </c>
    </row>
    <row r="36">
      <c r="A36" s="889" t="s">
        <v>698</v>
      </c>
      <c r="B36" s="897" t="s">
        <v>82</v>
      </c>
      <c r="C36" s="889" t="s">
        <v>106</v>
      </c>
      <c r="D36" t="str">
        <f t="shared" si="1"/>
        <v>ALLEmailAge &lt; 16 years</v>
      </c>
      <c r="E36" s="889" t="s">
        <v>572</v>
      </c>
    </row>
    <row r="37">
      <c r="A37" s="889" t="s">
        <v>698</v>
      </c>
      <c r="B37" s="889" t="s">
        <v>86</v>
      </c>
      <c r="C37" s="889" t="s">
        <v>106</v>
      </c>
      <c r="D37" t="str">
        <f t="shared" si="1"/>
        <v>ALLRewards AppAge &lt; 16 years</v>
      </c>
      <c r="E37" s="889" t="s">
        <v>572</v>
      </c>
    </row>
    <row r="38">
      <c r="A38" s="899" t="s">
        <v>698</v>
      </c>
      <c r="B38" s="899" t="s">
        <v>657</v>
      </c>
      <c r="C38" s="889" t="s">
        <v>106</v>
      </c>
      <c r="D38" t="str">
        <f t="shared" si="1"/>
        <v>ALLAll Social (FB + Google)Age &lt; 16 years</v>
      </c>
      <c r="E38" s="889" t="s">
        <v>572</v>
      </c>
    </row>
    <row r="39">
      <c r="A39" s="889" t="s">
        <v>698</v>
      </c>
      <c r="B39" s="897" t="s">
        <v>82</v>
      </c>
      <c r="C39" s="889" t="s">
        <v>129</v>
      </c>
      <c r="D39" t="str">
        <f t="shared" si="1"/>
        <v>ALLEmailDC Universal Control Group</v>
      </c>
      <c r="E39" s="889" t="s">
        <v>580</v>
      </c>
    </row>
    <row r="40">
      <c r="A40" s="889" t="s">
        <v>698</v>
      </c>
      <c r="B40" s="889" t="s">
        <v>86</v>
      </c>
      <c r="C40" s="889" t="s">
        <v>129</v>
      </c>
      <c r="D40" t="str">
        <f t="shared" si="1"/>
        <v>ALLRewards AppDC Universal Control Group</v>
      </c>
      <c r="E40" s="889" t="s">
        <v>580</v>
      </c>
    </row>
    <row r="41">
      <c r="A41" s="899" t="s">
        <v>698</v>
      </c>
      <c r="B41" s="899" t="s">
        <v>657</v>
      </c>
      <c r="C41" s="889" t="s">
        <v>129</v>
      </c>
      <c r="D41" t="str">
        <f t="shared" si="1"/>
        <v>ALLAll Social (FB + Google)DC Universal Control Group</v>
      </c>
      <c r="E41" s="889" t="s">
        <v>580</v>
      </c>
    </row>
    <row r="42">
      <c r="A42" s="889" t="s">
        <v>698</v>
      </c>
      <c r="B42" s="897" t="s">
        <v>82</v>
      </c>
      <c r="C42" s="889" t="s">
        <v>343</v>
      </c>
      <c r="D42" t="str">
        <f t="shared" si="1"/>
        <v>ALLEmailCompetitor Email (Add Domain here for Ref)</v>
      </c>
      <c r="E42" s="889" t="s">
        <v>572</v>
      </c>
    </row>
    <row r="43">
      <c r="A43" s="889" t="s">
        <v>698</v>
      </c>
      <c r="B43" s="889" t="s">
        <v>86</v>
      </c>
      <c r="C43" s="889" t="s">
        <v>343</v>
      </c>
      <c r="D43" t="str">
        <f t="shared" si="1"/>
        <v>ALLRewards AppCompetitor Email (Add Domain here for Ref)</v>
      </c>
      <c r="E43" s="889" t="s">
        <v>580</v>
      </c>
    </row>
    <row r="44">
      <c r="A44" s="899" t="s">
        <v>698</v>
      </c>
      <c r="B44" s="899" t="s">
        <v>657</v>
      </c>
      <c r="C44" s="889" t="s">
        <v>343</v>
      </c>
      <c r="D44" t="str">
        <f t="shared" si="1"/>
        <v>ALLAll Social (FB + Google)Competitor Email (Add Domain here for Ref)</v>
      </c>
      <c r="E44" s="889" t="s">
        <v>580</v>
      </c>
    </row>
    <row r="45">
      <c r="A45" s="889" t="s">
        <v>698</v>
      </c>
      <c r="B45" s="900" t="s">
        <v>82</v>
      </c>
      <c r="C45" s="889" t="s">
        <v>107</v>
      </c>
      <c r="D45" t="str">
        <f t="shared" si="1"/>
        <v>ALLEmailAge &lt; 18 years</v>
      </c>
      <c r="E45" s="889" t="s">
        <v>580</v>
      </c>
    </row>
    <row r="46">
      <c r="A46" s="889" t="s">
        <v>698</v>
      </c>
      <c r="B46" s="901" t="s">
        <v>86</v>
      </c>
      <c r="C46" s="889" t="s">
        <v>107</v>
      </c>
      <c r="D46" t="str">
        <f t="shared" si="1"/>
        <v>ALLRewards AppAge &lt; 18 years</v>
      </c>
      <c r="E46" s="889" t="s">
        <v>580</v>
      </c>
    </row>
    <row r="47">
      <c r="A47" s="899" t="s">
        <v>698</v>
      </c>
      <c r="B47" s="902" t="s">
        <v>657</v>
      </c>
      <c r="C47" s="889" t="s">
        <v>107</v>
      </c>
      <c r="D47" t="str">
        <f t="shared" si="1"/>
        <v>ALLAll Social (FB + Google)Age &lt; 18 years</v>
      </c>
      <c r="E47" s="889" t="s">
        <v>580</v>
      </c>
    </row>
    <row r="48">
      <c r="A48" s="889" t="s">
        <v>252</v>
      </c>
      <c r="B48" s="900" t="s">
        <v>82</v>
      </c>
      <c r="C48" s="889" t="s">
        <v>107</v>
      </c>
      <c r="D48" t="str">
        <f t="shared" si="1"/>
        <v>BWSEmailAge &lt; 18 years</v>
      </c>
      <c r="E48" s="889" t="s">
        <v>572</v>
      </c>
    </row>
    <row r="49">
      <c r="A49" s="889" t="s">
        <v>252</v>
      </c>
      <c r="B49" s="901" t="s">
        <v>86</v>
      </c>
      <c r="C49" s="889" t="s">
        <v>107</v>
      </c>
      <c r="D49" t="str">
        <f t="shared" si="1"/>
        <v>BWSRewards AppAge &lt; 18 years</v>
      </c>
      <c r="E49" s="889" t="s">
        <v>572</v>
      </c>
    </row>
    <row r="50">
      <c r="A50" s="899" t="s">
        <v>252</v>
      </c>
      <c r="B50" s="902" t="s">
        <v>657</v>
      </c>
      <c r="C50" s="889" t="s">
        <v>107</v>
      </c>
      <c r="D50" t="str">
        <f t="shared" si="1"/>
        <v>BWSAll Social (FB + Google)Age &lt; 18 years</v>
      </c>
      <c r="E50" s="889" t="s">
        <v>572</v>
      </c>
    </row>
    <row r="51">
      <c r="A51" s="889" t="s">
        <v>704</v>
      </c>
      <c r="B51" s="900" t="s">
        <v>82</v>
      </c>
      <c r="C51" s="889" t="s">
        <v>107</v>
      </c>
      <c r="D51" t="str">
        <f t="shared" si="1"/>
        <v>XSellEmailAge &lt; 18 years</v>
      </c>
      <c r="E51" s="889" t="s">
        <v>572</v>
      </c>
    </row>
    <row r="52">
      <c r="A52" s="889" t="s">
        <v>704</v>
      </c>
      <c r="B52" s="901" t="s">
        <v>86</v>
      </c>
      <c r="C52" s="889" t="s">
        <v>107</v>
      </c>
      <c r="D52" t="str">
        <f t="shared" si="1"/>
        <v>XSellRewards AppAge &lt; 18 years</v>
      </c>
      <c r="E52" s="889" t="s">
        <v>572</v>
      </c>
    </row>
    <row r="53">
      <c r="A53" s="899" t="s">
        <v>704</v>
      </c>
      <c r="B53" s="902" t="s">
        <v>657</v>
      </c>
      <c r="C53" s="889" t="s">
        <v>107</v>
      </c>
      <c r="D53" t="str">
        <f t="shared" si="1"/>
        <v>XSellAll Social (FB + Google)Age &lt; 18 years</v>
      </c>
      <c r="E53" s="889" t="s">
        <v>572</v>
      </c>
    </row>
    <row r="54">
      <c r="A54" s="889" t="s">
        <v>698</v>
      </c>
      <c r="B54" s="897" t="s">
        <v>82</v>
      </c>
      <c r="C54" s="889" t="s">
        <v>275</v>
      </c>
      <c r="D54" t="str">
        <f t="shared" si="1"/>
        <v>ALLEmailAge &gt; 100 years or Missing</v>
      </c>
      <c r="E54" s="889" t="s">
        <v>572</v>
      </c>
    </row>
    <row r="55">
      <c r="A55" s="889" t="s">
        <v>698</v>
      </c>
      <c r="B55" s="889" t="s">
        <v>86</v>
      </c>
      <c r="C55" s="889" t="s">
        <v>275</v>
      </c>
      <c r="D55" t="str">
        <f t="shared" si="1"/>
        <v>ALLRewards AppAge &gt; 100 years or Missing</v>
      </c>
      <c r="E55" s="889" t="s">
        <v>572</v>
      </c>
    </row>
    <row r="56">
      <c r="A56" s="899" t="s">
        <v>698</v>
      </c>
      <c r="B56" s="899" t="s">
        <v>657</v>
      </c>
      <c r="C56" s="889" t="s">
        <v>275</v>
      </c>
      <c r="D56" t="str">
        <f t="shared" si="1"/>
        <v>ALLAll Social (FB + Google)Age &gt; 100 years or Missing</v>
      </c>
      <c r="E56" s="889" t="s">
        <v>572</v>
      </c>
    </row>
    <row r="57">
      <c r="A57" s="889" t="s">
        <v>698</v>
      </c>
      <c r="B57" s="897" t="s">
        <v>82</v>
      </c>
      <c r="C57" s="889" t="s">
        <v>110</v>
      </c>
      <c r="D57" t="str">
        <f t="shared" si="1"/>
        <v>ALLEmailOverseas</v>
      </c>
      <c r="E57" s="889" t="s">
        <v>572</v>
      </c>
    </row>
    <row r="58">
      <c r="A58" s="889" t="s">
        <v>698</v>
      </c>
      <c r="B58" s="889" t="s">
        <v>86</v>
      </c>
      <c r="C58" s="889" t="s">
        <v>110</v>
      </c>
      <c r="D58" t="str">
        <f t="shared" si="1"/>
        <v>ALLRewards AppOverseas</v>
      </c>
      <c r="E58" s="889" t="s">
        <v>572</v>
      </c>
    </row>
    <row r="59">
      <c r="A59" s="899" t="s">
        <v>698</v>
      </c>
      <c r="B59" s="899" t="s">
        <v>657</v>
      </c>
      <c r="C59" s="889" t="s">
        <v>110</v>
      </c>
      <c r="D59" t="str">
        <f t="shared" si="1"/>
        <v>ALLAll Social (FB + Google)Overseas</v>
      </c>
      <c r="E59" s="889" t="s">
        <v>572</v>
      </c>
    </row>
    <row r="60">
      <c r="A60" s="889" t="s">
        <v>698</v>
      </c>
      <c r="B60" s="897" t="s">
        <v>82</v>
      </c>
      <c r="C60" s="889" t="s">
        <v>276</v>
      </c>
      <c r="D60" t="str">
        <f t="shared" si="1"/>
        <v>ALLEmailMalicious First Name</v>
      </c>
      <c r="E60" s="889" t="s">
        <v>572</v>
      </c>
    </row>
    <row r="61">
      <c r="A61" s="889" t="s">
        <v>698</v>
      </c>
      <c r="B61" s="889" t="s">
        <v>86</v>
      </c>
      <c r="C61" s="889" t="s">
        <v>276</v>
      </c>
      <c r="D61" t="str">
        <f t="shared" si="1"/>
        <v>ALLRewards AppMalicious First Name</v>
      </c>
      <c r="E61" s="889" t="s">
        <v>580</v>
      </c>
    </row>
    <row r="62">
      <c r="A62" s="899" t="s">
        <v>698</v>
      </c>
      <c r="B62" s="899" t="s">
        <v>657</v>
      </c>
      <c r="C62" s="889" t="s">
        <v>276</v>
      </c>
      <c r="D62" t="str">
        <f t="shared" si="1"/>
        <v>ALLAll Social (FB + Google)Malicious First Name</v>
      </c>
      <c r="E62" s="889" t="s">
        <v>580</v>
      </c>
    </row>
    <row r="63">
      <c r="A63" s="889" t="s">
        <v>698</v>
      </c>
      <c r="B63" s="897" t="s">
        <v>82</v>
      </c>
      <c r="C63" s="889" t="s">
        <v>345</v>
      </c>
      <c r="D63" t="str">
        <f t="shared" si="1"/>
        <v>ALLEmailMalicious Last Name</v>
      </c>
      <c r="E63" s="889" t="s">
        <v>580</v>
      </c>
    </row>
    <row r="64">
      <c r="A64" s="889" t="s">
        <v>698</v>
      </c>
      <c r="B64" s="889" t="s">
        <v>86</v>
      </c>
      <c r="C64" s="889" t="s">
        <v>345</v>
      </c>
      <c r="D64" t="str">
        <f t="shared" si="1"/>
        <v>ALLRewards AppMalicious Last Name</v>
      </c>
      <c r="E64" s="889" t="s">
        <v>580</v>
      </c>
    </row>
    <row r="65">
      <c r="A65" s="899" t="s">
        <v>698</v>
      </c>
      <c r="B65" s="899" t="s">
        <v>657</v>
      </c>
      <c r="C65" s="889" t="s">
        <v>345</v>
      </c>
      <c r="D65" t="str">
        <f t="shared" si="1"/>
        <v>ALLAll Social (FB + Google)Malicious Last Name</v>
      </c>
      <c r="E65" s="889" t="s">
        <v>580</v>
      </c>
    </row>
    <row r="66">
      <c r="A66" s="889" t="s">
        <v>698</v>
      </c>
      <c r="B66" s="900" t="s">
        <v>82</v>
      </c>
      <c r="C66" s="889" t="s">
        <v>136</v>
      </c>
      <c r="D66" t="str">
        <f t="shared" si="1"/>
        <v>ALLEmailDry Postcodes (for Liquor Campaigns)</v>
      </c>
      <c r="E66" s="889" t="s">
        <v>580</v>
      </c>
    </row>
    <row r="67">
      <c r="A67" s="889" t="s">
        <v>698</v>
      </c>
      <c r="B67" s="901" t="s">
        <v>86</v>
      </c>
      <c r="C67" s="889" t="s">
        <v>136</v>
      </c>
      <c r="D67" t="str">
        <f t="shared" si="1"/>
        <v>ALLRewards AppDry Postcodes (for Liquor Campaigns)</v>
      </c>
      <c r="E67" s="889" t="s">
        <v>580</v>
      </c>
    </row>
    <row r="68">
      <c r="A68" s="899" t="s">
        <v>698</v>
      </c>
      <c r="B68" s="902" t="s">
        <v>657</v>
      </c>
      <c r="C68" s="889" t="s">
        <v>136</v>
      </c>
      <c r="D68" t="str">
        <f t="shared" si="1"/>
        <v>ALLAll Social (FB + Google)Dry Postcodes (for Liquor Campaigns)</v>
      </c>
      <c r="E68" s="889" t="s">
        <v>580</v>
      </c>
    </row>
    <row r="69">
      <c r="A69" s="889" t="s">
        <v>252</v>
      </c>
      <c r="B69" s="900" t="s">
        <v>82</v>
      </c>
      <c r="C69" s="889" t="s">
        <v>136</v>
      </c>
      <c r="D69" t="str">
        <f t="shared" si="1"/>
        <v>BWSEmailDry Postcodes (for Liquor Campaigns)</v>
      </c>
      <c r="E69" s="889" t="s">
        <v>572</v>
      </c>
    </row>
    <row r="70">
      <c r="A70" s="889" t="s">
        <v>252</v>
      </c>
      <c r="B70" s="901" t="s">
        <v>86</v>
      </c>
      <c r="C70" s="889" t="s">
        <v>136</v>
      </c>
      <c r="D70" t="str">
        <f t="shared" si="1"/>
        <v>BWSRewards AppDry Postcodes (for Liquor Campaigns)</v>
      </c>
      <c r="E70" s="889" t="s">
        <v>572</v>
      </c>
    </row>
    <row r="71">
      <c r="A71" s="899" t="s">
        <v>252</v>
      </c>
      <c r="B71" s="902" t="s">
        <v>657</v>
      </c>
      <c r="C71" s="889" t="s">
        <v>136</v>
      </c>
      <c r="D71" t="str">
        <f t="shared" si="1"/>
        <v>BWSAll Social (FB + Google)Dry Postcodes (for Liquor Campaigns)</v>
      </c>
      <c r="E71" s="889" t="s">
        <v>572</v>
      </c>
    </row>
    <row r="72">
      <c r="A72" s="889" t="s">
        <v>704</v>
      </c>
      <c r="B72" s="900" t="s">
        <v>82</v>
      </c>
      <c r="C72" s="889" t="s">
        <v>136</v>
      </c>
      <c r="D72" t="str">
        <f t="shared" si="1"/>
        <v>XSellEmailDry Postcodes (for Liquor Campaigns)</v>
      </c>
      <c r="E72" s="889" t="s">
        <v>572</v>
      </c>
    </row>
    <row r="73">
      <c r="A73" s="889" t="s">
        <v>704</v>
      </c>
      <c r="B73" s="901" t="s">
        <v>86</v>
      </c>
      <c r="C73" s="889" t="s">
        <v>136</v>
      </c>
      <c r="D73" t="str">
        <f t="shared" si="1"/>
        <v>XSellRewards AppDry Postcodes (for Liquor Campaigns)</v>
      </c>
      <c r="E73" s="889" t="s">
        <v>572</v>
      </c>
    </row>
    <row r="74">
      <c r="A74" s="899" t="s">
        <v>704</v>
      </c>
      <c r="B74" s="902" t="s">
        <v>657</v>
      </c>
      <c r="C74" s="889" t="s">
        <v>136</v>
      </c>
      <c r="D74" t="str">
        <f t="shared" si="1"/>
        <v>XSellAll Social (FB + Google)Dry Postcodes (for Liquor Campaigns)</v>
      </c>
      <c r="E74" s="889" t="s">
        <v>572</v>
      </c>
    </row>
    <row r="75">
      <c r="A75" s="889" t="s">
        <v>698</v>
      </c>
      <c r="B75" s="897" t="s">
        <v>82</v>
      </c>
      <c r="C75" s="889" t="s">
        <v>278</v>
      </c>
      <c r="D75" t="str">
        <f t="shared" si="1"/>
        <v>ALLEmailOnboarding Journey (Joined Rewards in the last 30 days)</v>
      </c>
      <c r="E75" s="889" t="s">
        <v>572</v>
      </c>
    </row>
    <row r="76">
      <c r="A76" s="889" t="s">
        <v>698</v>
      </c>
      <c r="B76" s="889" t="s">
        <v>86</v>
      </c>
      <c r="C76" s="889" t="s">
        <v>278</v>
      </c>
      <c r="D76" t="str">
        <f t="shared" si="1"/>
        <v>ALLRewards AppOnboarding Journey (Joined Rewards in the last 30 days)</v>
      </c>
      <c r="E76" s="889" t="s">
        <v>572</v>
      </c>
    </row>
    <row r="77">
      <c r="A77" s="899" t="s">
        <v>698</v>
      </c>
      <c r="B77" s="899" t="s">
        <v>657</v>
      </c>
      <c r="C77" s="889" t="s">
        <v>278</v>
      </c>
      <c r="D77" t="str">
        <f t="shared" si="1"/>
        <v>ALLAll Social (FB + Google)Onboarding Journey (Joined Rewards in the last 30 days)</v>
      </c>
      <c r="E77" s="889" t="s">
        <v>572</v>
      </c>
    </row>
    <row r="78">
      <c r="A78" s="889" t="s">
        <v>698</v>
      </c>
      <c r="B78" s="897" t="s">
        <v>82</v>
      </c>
      <c r="C78" s="889" t="s">
        <v>279</v>
      </c>
      <c r="D78" t="str">
        <f t="shared" si="1"/>
        <v>ALLEmailStaff</v>
      </c>
      <c r="E78" s="889" t="s">
        <v>572</v>
      </c>
    </row>
    <row r="79">
      <c r="A79" s="889" t="s">
        <v>698</v>
      </c>
      <c r="B79" s="889" t="s">
        <v>86</v>
      </c>
      <c r="C79" s="889" t="s">
        <v>279</v>
      </c>
      <c r="D79" t="str">
        <f t="shared" si="1"/>
        <v>ALLRewards AppStaff</v>
      </c>
      <c r="E79" s="889" t="s">
        <v>572</v>
      </c>
    </row>
    <row r="80">
      <c r="A80" s="899" t="s">
        <v>698</v>
      </c>
      <c r="B80" s="899" t="s">
        <v>657</v>
      </c>
      <c r="C80" s="889" t="s">
        <v>279</v>
      </c>
      <c r="D80" t="str">
        <f t="shared" si="1"/>
        <v>ALLAll Social (FB + Google)Staff</v>
      </c>
      <c r="E80" s="889" t="s">
        <v>572</v>
      </c>
    </row>
    <row r="81">
      <c r="A81" s="889" t="s">
        <v>698</v>
      </c>
      <c r="B81" s="897" t="s">
        <v>82</v>
      </c>
      <c r="D81" t="str">
        <f t="shared" si="1"/>
        <v>ALLEmail</v>
      </c>
    </row>
    <row r="82">
      <c r="A82" s="889" t="s">
        <v>698</v>
      </c>
      <c r="B82" s="889" t="s">
        <v>86</v>
      </c>
      <c r="D82" t="str">
        <f t="shared" si="1"/>
        <v>ALLRewards App</v>
      </c>
    </row>
    <row r="83">
      <c r="A83" s="899" t="s">
        <v>698</v>
      </c>
      <c r="B83" s="899" t="s">
        <v>657</v>
      </c>
      <c r="D83" t="str">
        <f t="shared" si="1"/>
        <v>ALLAll Social (FB + Google)</v>
      </c>
    </row>
    <row r="84">
      <c r="A84" s="889" t="s">
        <v>698</v>
      </c>
      <c r="B84" s="897" t="s">
        <v>82</v>
      </c>
      <c r="D84" t="str">
        <f t="shared" si="1"/>
        <v>ALLEmail</v>
      </c>
    </row>
    <row r="85">
      <c r="A85" s="889" t="s">
        <v>698</v>
      </c>
      <c r="B85" s="889" t="s">
        <v>86</v>
      </c>
      <c r="D85" t="str">
        <f t="shared" si="1"/>
        <v>ALLRewards App</v>
      </c>
    </row>
    <row r="86">
      <c r="A86" s="899" t="s">
        <v>698</v>
      </c>
      <c r="B86" s="899" t="s">
        <v>657</v>
      </c>
      <c r="D86" t="str">
        <f t="shared" si="1"/>
        <v>ALLAll Social (FB + Google)</v>
      </c>
    </row>
    <row r="87">
      <c r="A87" s="889" t="s">
        <v>698</v>
      </c>
      <c r="B87" s="897" t="s">
        <v>82</v>
      </c>
      <c r="D87" t="str">
        <f t="shared" si="1"/>
        <v>ALLEmail</v>
      </c>
    </row>
    <row r="88">
      <c r="A88" s="889" t="s">
        <v>698</v>
      </c>
      <c r="B88" s="889" t="s">
        <v>86</v>
      </c>
      <c r="D88" t="str">
        <f t="shared" si="1"/>
        <v>ALLRewards App</v>
      </c>
    </row>
    <row r="89">
      <c r="A89" s="899" t="s">
        <v>698</v>
      </c>
      <c r="B89" s="899" t="s">
        <v>657</v>
      </c>
      <c r="D89" t="str">
        <f t="shared" si="1"/>
        <v>ALLAll Social (FB + Google)</v>
      </c>
    </row>
    <row r="90">
      <c r="A90" s="889" t="s">
        <v>698</v>
      </c>
      <c r="B90" s="897" t="s">
        <v>82</v>
      </c>
      <c r="D90" t="str">
        <f t="shared" si="1"/>
        <v>ALLEmail</v>
      </c>
    </row>
    <row r="91">
      <c r="A91" s="889" t="s">
        <v>698</v>
      </c>
      <c r="B91" s="889" t="s">
        <v>86</v>
      </c>
      <c r="D91" t="str">
        <f t="shared" si="1"/>
        <v>ALLRewards App</v>
      </c>
    </row>
    <row r="92">
      <c r="A92" s="899" t="s">
        <v>698</v>
      </c>
      <c r="B92" s="899" t="s">
        <v>657</v>
      </c>
      <c r="D92" t="str">
        <f t="shared" si="1"/>
        <v>ALLAll Social (FB + Google)</v>
      </c>
    </row>
    <row r="93">
      <c r="A93" s="889" t="s">
        <v>698</v>
      </c>
      <c r="B93" s="897" t="s">
        <v>82</v>
      </c>
      <c r="D93" t="str">
        <f t="shared" si="1"/>
        <v>ALLEmail</v>
      </c>
    </row>
    <row r="94">
      <c r="A94" s="889" t="s">
        <v>698</v>
      </c>
      <c r="B94" s="889" t="s">
        <v>86</v>
      </c>
      <c r="D94" t="str">
        <f t="shared" si="1"/>
        <v>ALLRewards App</v>
      </c>
    </row>
    <row r="95">
      <c r="A95" s="899" t="s">
        <v>698</v>
      </c>
      <c r="B95" s="899" t="s">
        <v>657</v>
      </c>
      <c r="D95" t="str">
        <f t="shared" si="1"/>
        <v>ALLAll Social (FB + Google)</v>
      </c>
    </row>
    <row r="96">
      <c r="A96" s="889" t="s">
        <v>698</v>
      </c>
      <c r="B96" s="897" t="s">
        <v>82</v>
      </c>
      <c r="D96" t="str">
        <f t="shared" si="1"/>
        <v>ALLEmail</v>
      </c>
    </row>
    <row r="97">
      <c r="A97" s="889" t="s">
        <v>698</v>
      </c>
      <c r="B97" s="889" t="s">
        <v>86</v>
      </c>
      <c r="D97" t="str">
        <f t="shared" si="1"/>
        <v>ALLRewards App</v>
      </c>
    </row>
    <row r="98">
      <c r="A98" s="899" t="s">
        <v>698</v>
      </c>
      <c r="B98" s="899" t="s">
        <v>657</v>
      </c>
      <c r="D98" t="str">
        <f t="shared" si="1"/>
        <v>ALLAll Social (FB + Google)</v>
      </c>
    </row>
    <row r="99">
      <c r="A99" s="889" t="s">
        <v>698</v>
      </c>
      <c r="B99" s="897" t="s">
        <v>82</v>
      </c>
      <c r="D99" t="str">
        <f t="shared" si="1"/>
        <v>ALLEmail</v>
      </c>
    </row>
    <row r="100">
      <c r="A100" s="889" t="s">
        <v>698</v>
      </c>
      <c r="B100" s="889" t="s">
        <v>86</v>
      </c>
      <c r="D100" t="str">
        <f t="shared" si="1"/>
        <v>ALLRewards App</v>
      </c>
    </row>
    <row r="101">
      <c r="A101" s="899" t="s">
        <v>698</v>
      </c>
      <c r="B101" s="899" t="s">
        <v>657</v>
      </c>
      <c r="D101" t="str">
        <f t="shared" si="1"/>
        <v>ALLAll Social (FB + Google)</v>
      </c>
    </row>
    <row r="102">
      <c r="A102" s="889" t="s">
        <v>698</v>
      </c>
      <c r="B102" s="897" t="s">
        <v>82</v>
      </c>
      <c r="D102" t="str">
        <f t="shared" si="1"/>
        <v>ALLEmail</v>
      </c>
    </row>
    <row r="103">
      <c r="A103" s="889" t="s">
        <v>698</v>
      </c>
      <c r="B103" s="889" t="s">
        <v>86</v>
      </c>
      <c r="D103" t="str">
        <f t="shared" si="1"/>
        <v>ALLRewards App</v>
      </c>
    </row>
    <row r="104">
      <c r="A104" s="899" t="s">
        <v>698</v>
      </c>
      <c r="B104" s="899" t="s">
        <v>657</v>
      </c>
      <c r="D104" t="str">
        <f t="shared" si="1"/>
        <v>ALLAll Social (FB + Google)</v>
      </c>
    </row>
    <row r="105">
      <c r="A105" s="889" t="s">
        <v>698</v>
      </c>
      <c r="B105" s="897" t="s">
        <v>82</v>
      </c>
      <c r="D105" t="str">
        <f t="shared" si="1"/>
        <v>ALLEmail</v>
      </c>
    </row>
    <row r="106">
      <c r="A106" s="889" t="s">
        <v>698</v>
      </c>
      <c r="B106" s="889" t="s">
        <v>86</v>
      </c>
      <c r="D106" t="str">
        <f t="shared" si="1"/>
        <v>ALLRewards App</v>
      </c>
    </row>
    <row r="107">
      <c r="A107" s="899" t="s">
        <v>698</v>
      </c>
      <c r="B107" s="899" t="s">
        <v>657</v>
      </c>
      <c r="D107" t="str">
        <f t="shared" si="1"/>
        <v>ALLAll Social (FB + Google)</v>
      </c>
    </row>
    <row r="108">
      <c r="A108" s="889" t="s">
        <v>698</v>
      </c>
      <c r="B108" s="897" t="s">
        <v>82</v>
      </c>
      <c r="D108" t="str">
        <f t="shared" si="1"/>
        <v>ALLEmail</v>
      </c>
    </row>
    <row r="109">
      <c r="A109" s="889" t="s">
        <v>698</v>
      </c>
      <c r="B109" s="889" t="s">
        <v>86</v>
      </c>
      <c r="D109" t="str">
        <f t="shared" si="1"/>
        <v>ALLRewards App</v>
      </c>
    </row>
    <row r="110">
      <c r="A110" s="899" t="s">
        <v>698</v>
      </c>
      <c r="B110" s="899" t="s">
        <v>657</v>
      </c>
      <c r="D110" t="str">
        <f t="shared" si="1"/>
        <v>ALLAll Social (FB + Google)</v>
      </c>
    </row>
    <row r="111">
      <c r="A111" s="889" t="s">
        <v>698</v>
      </c>
      <c r="B111" s="897" t="s">
        <v>82</v>
      </c>
      <c r="D111" t="str">
        <f t="shared" si="1"/>
        <v>ALLEmail</v>
      </c>
    </row>
    <row r="112">
      <c r="A112" s="889" t="s">
        <v>698</v>
      </c>
      <c r="B112" s="889" t="s">
        <v>86</v>
      </c>
      <c r="D112" t="str">
        <f t="shared" si="1"/>
        <v>ALLRewards App</v>
      </c>
    </row>
    <row r="113">
      <c r="A113" s="899" t="s">
        <v>698</v>
      </c>
      <c r="B113" s="899" t="s">
        <v>657</v>
      </c>
      <c r="D113" t="str">
        <f t="shared" si="1"/>
        <v>ALLAll Social (FB + Google)</v>
      </c>
    </row>
    <row r="114">
      <c r="A114" s="889" t="s">
        <v>698</v>
      </c>
      <c r="B114" s="897" t="s">
        <v>82</v>
      </c>
      <c r="D114" t="str">
        <f t="shared" si="1"/>
        <v>ALLEmail</v>
      </c>
    </row>
    <row r="115">
      <c r="A115" s="889" t="s">
        <v>698</v>
      </c>
      <c r="B115" s="889" t="s">
        <v>86</v>
      </c>
      <c r="D115" t="str">
        <f t="shared" si="1"/>
        <v>ALLRewards App</v>
      </c>
    </row>
    <row r="116">
      <c r="A116" s="899" t="s">
        <v>698</v>
      </c>
      <c r="B116" s="899" t="s">
        <v>657</v>
      </c>
      <c r="D116" t="str">
        <f t="shared" si="1"/>
        <v>ALLAll Social (FB + Google)</v>
      </c>
    </row>
    <row r="117">
      <c r="A117" s="889" t="s">
        <v>698</v>
      </c>
      <c r="B117" s="897" t="s">
        <v>82</v>
      </c>
      <c r="D117" t="str">
        <f t="shared" si="1"/>
        <v>ALLEmail</v>
      </c>
    </row>
    <row r="118">
      <c r="A118" s="889" t="s">
        <v>698</v>
      </c>
      <c r="B118" s="889" t="s">
        <v>86</v>
      </c>
      <c r="D118" t="str">
        <f t="shared" si="1"/>
        <v>ALLRewards App</v>
      </c>
    </row>
    <row r="119">
      <c r="A119" s="899" t="s">
        <v>698</v>
      </c>
      <c r="B119" s="899" t="s">
        <v>657</v>
      </c>
      <c r="D119" t="str">
        <f t="shared" si="1"/>
        <v>ALLAll Social (FB + Google)</v>
      </c>
    </row>
    <row r="120">
      <c r="A120" s="889" t="s">
        <v>698</v>
      </c>
      <c r="B120" s="897" t="s">
        <v>82</v>
      </c>
      <c r="D120" t="str">
        <f t="shared" si="1"/>
        <v>ALLEmail</v>
      </c>
    </row>
    <row r="121">
      <c r="A121" s="889" t="s">
        <v>698</v>
      </c>
      <c r="B121" s="889" t="s">
        <v>86</v>
      </c>
      <c r="D121" t="str">
        <f t="shared" si="1"/>
        <v>ALLRewards App</v>
      </c>
    </row>
    <row r="122">
      <c r="A122" s="899" t="s">
        <v>698</v>
      </c>
      <c r="B122" s="899" t="s">
        <v>657</v>
      </c>
      <c r="D122" t="str">
        <f t="shared" si="1"/>
        <v>ALLAll Social (FB + Google)</v>
      </c>
    </row>
    <row r="123">
      <c r="A123" s="889" t="s">
        <v>698</v>
      </c>
      <c r="B123" s="897" t="s">
        <v>82</v>
      </c>
      <c r="D123" t="str">
        <f t="shared" si="1"/>
        <v>ALLEmail</v>
      </c>
    </row>
    <row r="124">
      <c r="A124" s="889" t="s">
        <v>698</v>
      </c>
      <c r="B124" s="889" t="s">
        <v>86</v>
      </c>
      <c r="D124" t="str">
        <f t="shared" si="1"/>
        <v>ALLRewards App</v>
      </c>
    </row>
    <row r="125">
      <c r="A125" s="899" t="s">
        <v>698</v>
      </c>
      <c r="B125" s="899" t="s">
        <v>657</v>
      </c>
      <c r="D125" t="str">
        <f t="shared" si="1"/>
        <v>ALLAll Social (FB + Google)</v>
      </c>
    </row>
    <row r="126">
      <c r="A126" s="889" t="s">
        <v>698</v>
      </c>
      <c r="B126" s="897" t="s">
        <v>82</v>
      </c>
      <c r="D126" t="str">
        <f t="shared" si="1"/>
        <v>ALLEmail</v>
      </c>
    </row>
    <row r="127">
      <c r="A127" s="889" t="s">
        <v>698</v>
      </c>
      <c r="B127" s="889" t="s">
        <v>86</v>
      </c>
      <c r="D127" t="str">
        <f t="shared" si="1"/>
        <v>ALLRewards App</v>
      </c>
    </row>
    <row r="128">
      <c r="A128" s="899" t="s">
        <v>698</v>
      </c>
      <c r="B128" s="899" t="s">
        <v>657</v>
      </c>
      <c r="D128" t="str">
        <f t="shared" si="1"/>
        <v>ALLAll Social (FB + Google)</v>
      </c>
    </row>
    <row r="129">
      <c r="A129" s="889" t="s">
        <v>698</v>
      </c>
      <c r="B129" s="897" t="s">
        <v>82</v>
      </c>
      <c r="D129" t="str">
        <f t="shared" si="1"/>
        <v>ALLEmail</v>
      </c>
    </row>
    <row r="130">
      <c r="A130" s="889" t="s">
        <v>698</v>
      </c>
      <c r="B130" s="889" t="s">
        <v>86</v>
      </c>
      <c r="D130" t="str">
        <f t="shared" si="1"/>
        <v>ALLRewards App</v>
      </c>
    </row>
    <row r="131">
      <c r="A131" s="899" t="s">
        <v>698</v>
      </c>
      <c r="B131" s="899" t="s">
        <v>657</v>
      </c>
      <c r="D131" t="str">
        <f t="shared" si="1"/>
        <v>ALLAll Social (FB + Google)</v>
      </c>
    </row>
    <row r="132">
      <c r="A132" s="889" t="s">
        <v>698</v>
      </c>
      <c r="B132" s="897" t="s">
        <v>82</v>
      </c>
      <c r="D132" t="str">
        <f t="shared" si="1"/>
        <v>ALLEmail</v>
      </c>
    </row>
    <row r="133">
      <c r="A133" s="889" t="s">
        <v>698</v>
      </c>
      <c r="B133" s="889" t="s">
        <v>86</v>
      </c>
      <c r="D133" t="str">
        <f t="shared" si="1"/>
        <v>ALLRewards App</v>
      </c>
    </row>
    <row r="134">
      <c r="A134" s="899" t="s">
        <v>698</v>
      </c>
      <c r="B134" s="899" t="s">
        <v>657</v>
      </c>
      <c r="D134" t="str">
        <f t="shared" si="1"/>
        <v>ALLAll Social (FB + Google)</v>
      </c>
    </row>
    <row r="135">
      <c r="A135" s="889" t="s">
        <v>698</v>
      </c>
      <c r="B135" s="897" t="s">
        <v>82</v>
      </c>
      <c r="D135" t="str">
        <f t="shared" si="1"/>
        <v>ALLEmail</v>
      </c>
    </row>
    <row r="136">
      <c r="A136" s="889" t="s">
        <v>698</v>
      </c>
      <c r="B136" s="889" t="s">
        <v>86</v>
      </c>
      <c r="D136" t="str">
        <f t="shared" si="1"/>
        <v>ALLRewards App</v>
      </c>
    </row>
    <row r="137">
      <c r="A137" s="899" t="s">
        <v>698</v>
      </c>
      <c r="B137" s="899" t="s">
        <v>657</v>
      </c>
      <c r="D137" t="str">
        <f t="shared" si="1"/>
        <v>ALLAll Social (FB + Google)</v>
      </c>
    </row>
    <row r="138">
      <c r="A138" s="889" t="s">
        <v>698</v>
      </c>
      <c r="B138" s="897" t="s">
        <v>82</v>
      </c>
      <c r="D138" t="str">
        <f t="shared" si="1"/>
        <v>ALLEmail</v>
      </c>
    </row>
    <row r="139">
      <c r="A139" s="889" t="s">
        <v>698</v>
      </c>
      <c r="B139" s="889" t="s">
        <v>86</v>
      </c>
      <c r="D139" t="str">
        <f t="shared" si="1"/>
        <v>ALLRewards App</v>
      </c>
    </row>
    <row r="140">
      <c r="A140" s="899" t="s">
        <v>698</v>
      </c>
      <c r="B140" s="899" t="s">
        <v>657</v>
      </c>
      <c r="D140" t="str">
        <f t="shared" si="1"/>
        <v>ALLAll Social (FB + Google)</v>
      </c>
    </row>
    <row r="141">
      <c r="A141" s="889" t="s">
        <v>698</v>
      </c>
      <c r="B141" s="897" t="s">
        <v>82</v>
      </c>
      <c r="D141" t="str">
        <f t="shared" si="1"/>
        <v>ALLEmail</v>
      </c>
    </row>
    <row r="142">
      <c r="A142" s="889" t="s">
        <v>698</v>
      </c>
      <c r="B142" s="889" t="s">
        <v>86</v>
      </c>
      <c r="D142" t="str">
        <f t="shared" si="1"/>
        <v>ALLRewards App</v>
      </c>
    </row>
    <row r="143">
      <c r="A143" s="899" t="s">
        <v>698</v>
      </c>
      <c r="B143" s="899" t="s">
        <v>657</v>
      </c>
      <c r="D143" t="str">
        <f t="shared" si="1"/>
        <v>ALLAll Social (FB + Google)</v>
      </c>
    </row>
    <row r="144">
      <c r="A144" s="889" t="s">
        <v>698</v>
      </c>
      <c r="B144" s="897" t="s">
        <v>82</v>
      </c>
      <c r="D144" t="str">
        <f t="shared" si="1"/>
        <v>ALLEmail</v>
      </c>
    </row>
    <row r="145">
      <c r="A145" s="889" t="s">
        <v>698</v>
      </c>
      <c r="B145" s="889" t="s">
        <v>86</v>
      </c>
      <c r="D145" t="str">
        <f t="shared" si="1"/>
        <v>ALLRewards App</v>
      </c>
    </row>
    <row r="146">
      <c r="A146" s="899" t="s">
        <v>698</v>
      </c>
      <c r="B146" s="899" t="s">
        <v>657</v>
      </c>
      <c r="D146" t="str">
        <f t="shared" si="1"/>
        <v>ALLAll Social (FB + Google)</v>
      </c>
    </row>
    <row r="147">
      <c r="A147" s="889" t="s">
        <v>698</v>
      </c>
      <c r="B147" s="897" t="s">
        <v>82</v>
      </c>
      <c r="D147" t="str">
        <f t="shared" si="1"/>
        <v>ALLEmail</v>
      </c>
    </row>
    <row r="148">
      <c r="A148" s="889" t="s">
        <v>698</v>
      </c>
      <c r="B148" s="889" t="s">
        <v>86</v>
      </c>
      <c r="D148" t="str">
        <f t="shared" si="1"/>
        <v>ALLRewards App</v>
      </c>
    </row>
    <row r="149">
      <c r="A149" s="899" t="s">
        <v>698</v>
      </c>
      <c r="B149" s="899" t="s">
        <v>657</v>
      </c>
      <c r="D149" t="str">
        <f t="shared" si="1"/>
        <v>ALLAll Social (FB + Google)</v>
      </c>
    </row>
    <row r="150">
      <c r="A150" s="889" t="s">
        <v>698</v>
      </c>
      <c r="B150" s="897" t="s">
        <v>82</v>
      </c>
      <c r="D150" t="str">
        <f t="shared" si="1"/>
        <v>ALLEmail</v>
      </c>
    </row>
    <row r="151">
      <c r="A151" s="889" t="s">
        <v>698</v>
      </c>
      <c r="B151" s="889" t="s">
        <v>86</v>
      </c>
      <c r="D151" t="str">
        <f t="shared" si="1"/>
        <v>ALLRewards App</v>
      </c>
    </row>
    <row r="152">
      <c r="A152" s="899" t="s">
        <v>698</v>
      </c>
      <c r="B152" s="899" t="s">
        <v>657</v>
      </c>
      <c r="D152" t="str">
        <f t="shared" si="1"/>
        <v>ALLAll Social (FB + Google)</v>
      </c>
    </row>
    <row r="153">
      <c r="A153" s="889" t="s">
        <v>698</v>
      </c>
      <c r="B153" s="897" t="s">
        <v>82</v>
      </c>
      <c r="D153" t="str">
        <f t="shared" si="1"/>
        <v>ALLEmail</v>
      </c>
    </row>
    <row r="154">
      <c r="A154" s="889" t="s">
        <v>698</v>
      </c>
      <c r="B154" s="889" t="s">
        <v>86</v>
      </c>
      <c r="D154" t="str">
        <f t="shared" si="1"/>
        <v>ALLRewards App</v>
      </c>
    </row>
    <row r="155">
      <c r="A155" s="899" t="s">
        <v>698</v>
      </c>
      <c r="B155" s="899" t="s">
        <v>657</v>
      </c>
      <c r="D155" t="str">
        <f t="shared" si="1"/>
        <v>ALLAll Social (FB + Google)</v>
      </c>
    </row>
    <row r="156">
      <c r="A156" s="889" t="s">
        <v>698</v>
      </c>
      <c r="B156" s="897" t="s">
        <v>82</v>
      </c>
      <c r="D156" t="str">
        <f t="shared" si="1"/>
        <v>ALLEmail</v>
      </c>
    </row>
    <row r="157">
      <c r="A157" s="889" t="s">
        <v>698</v>
      </c>
      <c r="B157" s="889" t="s">
        <v>86</v>
      </c>
      <c r="D157" t="str">
        <f t="shared" si="1"/>
        <v>ALLRewards App</v>
      </c>
    </row>
    <row r="158">
      <c r="A158" s="899" t="s">
        <v>698</v>
      </c>
      <c r="B158" s="899" t="s">
        <v>657</v>
      </c>
      <c r="D158" t="str">
        <f t="shared" si="1"/>
        <v>ALLAll Social (FB + Google)</v>
      </c>
    </row>
    <row r="159">
      <c r="A159" s="889" t="s">
        <v>698</v>
      </c>
      <c r="B159" s="897" t="s">
        <v>82</v>
      </c>
      <c r="D159" t="str">
        <f t="shared" si="1"/>
        <v>ALLEmail</v>
      </c>
    </row>
    <row r="160">
      <c r="A160" s="889" t="s">
        <v>698</v>
      </c>
      <c r="B160" s="889" t="s">
        <v>86</v>
      </c>
      <c r="D160" t="str">
        <f t="shared" si="1"/>
        <v>ALLRewards App</v>
      </c>
    </row>
    <row r="161">
      <c r="A161" s="899" t="s">
        <v>698</v>
      </c>
      <c r="B161" s="899" t="s">
        <v>657</v>
      </c>
      <c r="D161" t="str">
        <f t="shared" si="1"/>
        <v>ALLAll Social (FB + Google)</v>
      </c>
    </row>
    <row r="162">
      <c r="A162" s="889" t="s">
        <v>698</v>
      </c>
      <c r="B162" s="897" t="s">
        <v>82</v>
      </c>
      <c r="D162" t="str">
        <f t="shared" si="1"/>
        <v>ALLEmail</v>
      </c>
    </row>
    <row r="163">
      <c r="A163" s="889" t="s">
        <v>698</v>
      </c>
      <c r="B163" s="889" t="s">
        <v>86</v>
      </c>
      <c r="D163" t="str">
        <f t="shared" si="1"/>
        <v>ALLRewards App</v>
      </c>
    </row>
    <row r="164">
      <c r="A164" s="899" t="s">
        <v>698</v>
      </c>
      <c r="B164" s="899" t="s">
        <v>657</v>
      </c>
      <c r="D164" t="str">
        <f t="shared" si="1"/>
        <v>ALLAll Social (FB + Google)</v>
      </c>
    </row>
    <row r="165">
      <c r="A165" s="889" t="s">
        <v>698</v>
      </c>
      <c r="B165" s="897" t="s">
        <v>82</v>
      </c>
      <c r="D165" t="str">
        <f t="shared" si="1"/>
        <v>ALLEmail</v>
      </c>
    </row>
    <row r="166">
      <c r="A166" s="889" t="s">
        <v>698</v>
      </c>
      <c r="B166" s="889" t="s">
        <v>86</v>
      </c>
      <c r="D166" t="str">
        <f t="shared" si="1"/>
        <v>ALLRewards App</v>
      </c>
    </row>
    <row r="167">
      <c r="A167" s="899" t="s">
        <v>698</v>
      </c>
      <c r="B167" s="899" t="s">
        <v>657</v>
      </c>
      <c r="D167" t="str">
        <f t="shared" si="1"/>
        <v>ALLAll Social (FB + Google)</v>
      </c>
    </row>
    <row r="168">
      <c r="A168" s="889" t="s">
        <v>698</v>
      </c>
      <c r="B168" s="897" t="s">
        <v>82</v>
      </c>
      <c r="D168" t="str">
        <f t="shared" si="1"/>
        <v>ALLEmail</v>
      </c>
    </row>
    <row r="169">
      <c r="A169" s="889" t="s">
        <v>698</v>
      </c>
      <c r="B169" s="889" t="s">
        <v>86</v>
      </c>
      <c r="D169" t="str">
        <f t="shared" si="1"/>
        <v>ALLRewards App</v>
      </c>
    </row>
    <row r="170">
      <c r="A170" s="899" t="s">
        <v>698</v>
      </c>
      <c r="B170" s="899" t="s">
        <v>657</v>
      </c>
      <c r="D170" t="str">
        <f t="shared" si="1"/>
        <v>ALLAll Social (FB + Google)</v>
      </c>
    </row>
    <row r="171">
      <c r="A171" s="889" t="s">
        <v>698</v>
      </c>
      <c r="B171" s="897" t="s">
        <v>82</v>
      </c>
      <c r="D171" t="str">
        <f t="shared" si="1"/>
        <v>ALLEmail</v>
      </c>
    </row>
    <row r="172">
      <c r="A172" s="889" t="s">
        <v>698</v>
      </c>
      <c r="B172" s="889" t="s">
        <v>86</v>
      </c>
      <c r="D172" t="str">
        <f t="shared" si="1"/>
        <v>ALLRewards App</v>
      </c>
    </row>
    <row r="173">
      <c r="A173" s="899" t="s">
        <v>698</v>
      </c>
      <c r="B173" s="899" t="s">
        <v>657</v>
      </c>
      <c r="D173" t="str">
        <f t="shared" si="1"/>
        <v>ALLAll Social (FB + Google)</v>
      </c>
    </row>
    <row r="174">
      <c r="A174" s="889" t="s">
        <v>698</v>
      </c>
      <c r="B174" s="897" t="s">
        <v>82</v>
      </c>
      <c r="D174" t="str">
        <f t="shared" si="1"/>
        <v>ALLEmail</v>
      </c>
    </row>
    <row r="175">
      <c r="A175" s="889" t="s">
        <v>698</v>
      </c>
      <c r="B175" s="889" t="s">
        <v>86</v>
      </c>
      <c r="D175" t="str">
        <f t="shared" si="1"/>
        <v>ALLRewards App</v>
      </c>
    </row>
    <row r="176">
      <c r="A176" s="899" t="s">
        <v>698</v>
      </c>
      <c r="B176" s="899" t="s">
        <v>657</v>
      </c>
      <c r="D176" t="str">
        <f t="shared" si="1"/>
        <v>ALLAll Social (FB + Google)</v>
      </c>
    </row>
    <row r="177">
      <c r="A177" s="889" t="s">
        <v>698</v>
      </c>
      <c r="B177" s="897" t="s">
        <v>82</v>
      </c>
      <c r="D177" t="str">
        <f t="shared" si="1"/>
        <v>ALLEmail</v>
      </c>
    </row>
    <row r="178">
      <c r="A178" s="889" t="s">
        <v>698</v>
      </c>
      <c r="B178" s="889" t="s">
        <v>86</v>
      </c>
      <c r="D178" t="str">
        <f t="shared" si="1"/>
        <v>ALLRewards App</v>
      </c>
    </row>
    <row r="179">
      <c r="A179" s="899" t="s">
        <v>698</v>
      </c>
      <c r="B179" s="899" t="s">
        <v>657</v>
      </c>
      <c r="D179" t="str">
        <f t="shared" si="1"/>
        <v>ALLAll Social (FB + Google)</v>
      </c>
    </row>
    <row r="180">
      <c r="A180" s="889" t="s">
        <v>698</v>
      </c>
      <c r="B180" s="897" t="s">
        <v>82</v>
      </c>
      <c r="D180" t="str">
        <f t="shared" si="1"/>
        <v>ALLEmail</v>
      </c>
    </row>
    <row r="181">
      <c r="A181" s="889" t="s">
        <v>698</v>
      </c>
      <c r="B181" s="889" t="s">
        <v>86</v>
      </c>
      <c r="D181" t="str">
        <f t="shared" si="1"/>
        <v>ALLRewards App</v>
      </c>
    </row>
    <row r="182">
      <c r="A182" s="899" t="s">
        <v>698</v>
      </c>
      <c r="B182" s="899" t="s">
        <v>657</v>
      </c>
      <c r="D182" t="str">
        <f t="shared" si="1"/>
        <v>ALLAll Social (FB + Google)</v>
      </c>
    </row>
    <row r="183">
      <c r="A183" s="889" t="s">
        <v>698</v>
      </c>
      <c r="B183" s="897" t="s">
        <v>82</v>
      </c>
      <c r="D183" t="str">
        <f t="shared" si="1"/>
        <v>ALLEmail</v>
      </c>
    </row>
    <row r="184">
      <c r="A184" s="889" t="s">
        <v>698</v>
      </c>
      <c r="B184" s="889" t="s">
        <v>86</v>
      </c>
      <c r="D184" t="str">
        <f t="shared" si="1"/>
        <v>ALLRewards App</v>
      </c>
    </row>
    <row r="185">
      <c r="A185" s="899" t="s">
        <v>698</v>
      </c>
      <c r="B185" s="899" t="s">
        <v>657</v>
      </c>
      <c r="D185" t="str">
        <f t="shared" si="1"/>
        <v>ALLAll Social (FB + Google)</v>
      </c>
    </row>
    <row r="186">
      <c r="A186" s="889" t="s">
        <v>698</v>
      </c>
      <c r="B186" s="897" t="s">
        <v>82</v>
      </c>
      <c r="D186" t="str">
        <f t="shared" si="1"/>
        <v>ALLEmail</v>
      </c>
    </row>
    <row r="187">
      <c r="A187" s="889" t="s">
        <v>698</v>
      </c>
      <c r="B187" s="889" t="s">
        <v>86</v>
      </c>
      <c r="D187" t="str">
        <f t="shared" si="1"/>
        <v>ALLRewards App</v>
      </c>
    </row>
    <row r="188">
      <c r="A188" s="899" t="s">
        <v>698</v>
      </c>
      <c r="B188" s="899" t="s">
        <v>657</v>
      </c>
      <c r="D188" t="str">
        <f t="shared" si="1"/>
        <v>ALLAll Social (FB + Google)</v>
      </c>
    </row>
    <row r="189">
      <c r="A189" s="889" t="s">
        <v>698</v>
      </c>
      <c r="B189" s="897" t="s">
        <v>82</v>
      </c>
      <c r="D189" t="str">
        <f t="shared" si="1"/>
        <v>ALLEmail</v>
      </c>
    </row>
    <row r="190">
      <c r="A190" s="889" t="s">
        <v>698</v>
      </c>
      <c r="B190" s="889" t="s">
        <v>86</v>
      </c>
      <c r="D190" t="str">
        <f t="shared" si="1"/>
        <v>ALLRewards App</v>
      </c>
    </row>
    <row r="191">
      <c r="A191" s="899" t="s">
        <v>698</v>
      </c>
      <c r="B191" s="899" t="s">
        <v>657</v>
      </c>
      <c r="D191" t="str">
        <f t="shared" si="1"/>
        <v>ALLAll Social (FB + Google)</v>
      </c>
    </row>
    <row r="192">
      <c r="A192" s="889" t="s">
        <v>698</v>
      </c>
      <c r="B192" s="897" t="s">
        <v>82</v>
      </c>
      <c r="D192" t="str">
        <f t="shared" si="1"/>
        <v>ALLEmail</v>
      </c>
    </row>
    <row r="193">
      <c r="A193" s="889" t="s">
        <v>698</v>
      </c>
      <c r="B193" s="889" t="s">
        <v>86</v>
      </c>
      <c r="D193" t="str">
        <f t="shared" si="1"/>
        <v>ALLRewards App</v>
      </c>
    </row>
    <row r="194">
      <c r="A194" s="899" t="s">
        <v>698</v>
      </c>
      <c r="B194" s="899" t="s">
        <v>657</v>
      </c>
      <c r="D194" t="str">
        <f t="shared" si="1"/>
        <v>ALLAll Social (FB + Google)</v>
      </c>
    </row>
    <row r="195">
      <c r="A195" s="889" t="s">
        <v>698</v>
      </c>
      <c r="B195" s="897" t="s">
        <v>82</v>
      </c>
      <c r="D195" t="str">
        <f t="shared" si="1"/>
        <v>ALLEmail</v>
      </c>
    </row>
    <row r="196">
      <c r="A196" s="889" t="s">
        <v>698</v>
      </c>
      <c r="B196" s="889" t="s">
        <v>86</v>
      </c>
      <c r="D196" t="str">
        <f t="shared" si="1"/>
        <v>ALLRewards App</v>
      </c>
    </row>
    <row r="197">
      <c r="A197" s="899" t="s">
        <v>698</v>
      </c>
      <c r="B197" s="899" t="s">
        <v>657</v>
      </c>
      <c r="D197" t="str">
        <f t="shared" si="1"/>
        <v>ALLAll Social (FB + Google)</v>
      </c>
    </row>
    <row r="198">
      <c r="A198" s="889" t="s">
        <v>698</v>
      </c>
      <c r="B198" s="897" t="s">
        <v>82</v>
      </c>
      <c r="D198" t="str">
        <f t="shared" si="1"/>
        <v>ALLEmail</v>
      </c>
    </row>
    <row r="199">
      <c r="A199" s="889" t="s">
        <v>698</v>
      </c>
      <c r="B199" s="889" t="s">
        <v>86</v>
      </c>
      <c r="D199" t="str">
        <f t="shared" si="1"/>
        <v>ALLRewards App</v>
      </c>
    </row>
    <row r="200">
      <c r="A200" s="899" t="s">
        <v>698</v>
      </c>
      <c r="B200" s="899" t="s">
        <v>657</v>
      </c>
      <c r="D200" t="str">
        <f t="shared" si="1"/>
        <v>ALLAll Social (FB + Google)</v>
      </c>
    </row>
    <row r="201">
      <c r="A201" s="889" t="s">
        <v>698</v>
      </c>
      <c r="B201" s="897" t="s">
        <v>82</v>
      </c>
      <c r="D201" t="str">
        <f t="shared" si="1"/>
        <v>ALLEmail</v>
      </c>
    </row>
    <row r="202">
      <c r="A202" s="889" t="s">
        <v>698</v>
      </c>
      <c r="B202" s="889" t="s">
        <v>86</v>
      </c>
      <c r="D202" t="str">
        <f t="shared" si="1"/>
        <v>ALLRewards App</v>
      </c>
    </row>
    <row r="203">
      <c r="A203" s="899" t="s">
        <v>698</v>
      </c>
      <c r="B203" s="899" t="s">
        <v>657</v>
      </c>
      <c r="D203" t="str">
        <f t="shared" si="1"/>
        <v>ALLAll Social (FB + Google)</v>
      </c>
    </row>
    <row r="204">
      <c r="A204" s="889" t="s">
        <v>698</v>
      </c>
      <c r="B204" s="897" t="s">
        <v>82</v>
      </c>
      <c r="D204" t="str">
        <f t="shared" si="1"/>
        <v>ALLEmail</v>
      </c>
    </row>
    <row r="205">
      <c r="A205" s="889" t="s">
        <v>698</v>
      </c>
      <c r="B205" s="889" t="s">
        <v>86</v>
      </c>
      <c r="D205" t="str">
        <f t="shared" si="1"/>
        <v>ALLRewards App</v>
      </c>
    </row>
    <row r="206">
      <c r="A206" s="899" t="s">
        <v>698</v>
      </c>
      <c r="B206" s="899" t="s">
        <v>657</v>
      </c>
      <c r="D206" t="str">
        <f t="shared" si="1"/>
        <v>ALLAll Social (FB + Google)</v>
      </c>
    </row>
    <row r="207">
      <c r="A207" s="889" t="s">
        <v>698</v>
      </c>
      <c r="B207" s="897" t="s">
        <v>82</v>
      </c>
      <c r="D207" t="str">
        <f t="shared" si="1"/>
        <v>ALLEmail</v>
      </c>
    </row>
    <row r="208">
      <c r="A208" s="889" t="s">
        <v>698</v>
      </c>
      <c r="B208" s="889" t="s">
        <v>86</v>
      </c>
      <c r="D208" t="str">
        <f t="shared" si="1"/>
        <v>ALLRewards App</v>
      </c>
    </row>
    <row r="209">
      <c r="A209" s="899" t="s">
        <v>698</v>
      </c>
      <c r="B209" s="899" t="s">
        <v>657</v>
      </c>
      <c r="D209" t="str">
        <f t="shared" si="1"/>
        <v>ALLAll Social (FB + Google)</v>
      </c>
    </row>
    <row r="210">
      <c r="A210" s="889" t="s">
        <v>698</v>
      </c>
      <c r="B210" s="897" t="s">
        <v>82</v>
      </c>
      <c r="D210" t="str">
        <f t="shared" si="1"/>
        <v>ALLEmail</v>
      </c>
    </row>
    <row r="211">
      <c r="A211" s="889" t="s">
        <v>698</v>
      </c>
      <c r="B211" s="889" t="s">
        <v>86</v>
      </c>
      <c r="D211" t="str">
        <f t="shared" si="1"/>
        <v>ALLRewards App</v>
      </c>
    </row>
    <row r="212">
      <c r="A212" s="899" t="s">
        <v>698</v>
      </c>
      <c r="B212" s="899" t="s">
        <v>657</v>
      </c>
      <c r="D212" t="str">
        <f t="shared" si="1"/>
        <v>ALLAll Social (FB + Google)</v>
      </c>
    </row>
    <row r="213">
      <c r="A213" s="889" t="s">
        <v>698</v>
      </c>
      <c r="B213" s="897" t="s">
        <v>82</v>
      </c>
      <c r="D213" t="str">
        <f t="shared" si="1"/>
        <v>ALLEmail</v>
      </c>
    </row>
    <row r="214">
      <c r="A214" s="889" t="s">
        <v>698</v>
      </c>
      <c r="B214" s="889" t="s">
        <v>86</v>
      </c>
      <c r="D214" t="str">
        <f t="shared" si="1"/>
        <v>ALLRewards App</v>
      </c>
    </row>
    <row r="215">
      <c r="A215" s="899" t="s">
        <v>698</v>
      </c>
      <c r="B215" s="899" t="s">
        <v>657</v>
      </c>
      <c r="D215" t="str">
        <f t="shared" si="1"/>
        <v>ALLAll Social (FB + Google)</v>
      </c>
    </row>
    <row r="216">
      <c r="A216" s="889" t="s">
        <v>698</v>
      </c>
      <c r="B216" s="897" t="s">
        <v>82</v>
      </c>
      <c r="D216" t="str">
        <f t="shared" si="1"/>
        <v>ALLEmail</v>
      </c>
    </row>
    <row r="217">
      <c r="A217" s="889" t="s">
        <v>698</v>
      </c>
      <c r="B217" s="889" t="s">
        <v>86</v>
      </c>
      <c r="D217" t="str">
        <f t="shared" si="1"/>
        <v>ALLRewards App</v>
      </c>
    </row>
    <row r="218">
      <c r="A218" s="899" t="s">
        <v>698</v>
      </c>
      <c r="B218" s="899" t="s">
        <v>657</v>
      </c>
      <c r="D218" t="str">
        <f t="shared" si="1"/>
        <v>ALLAll Social (FB + Google)</v>
      </c>
    </row>
    <row r="219">
      <c r="A219" s="889" t="s">
        <v>698</v>
      </c>
      <c r="B219" s="897" t="s">
        <v>82</v>
      </c>
      <c r="D219" t="str">
        <f t="shared" si="1"/>
        <v>ALLEmail</v>
      </c>
    </row>
    <row r="220">
      <c r="A220" s="889" t="s">
        <v>698</v>
      </c>
      <c r="B220" s="889" t="s">
        <v>86</v>
      </c>
      <c r="D220" t="str">
        <f t="shared" si="1"/>
        <v>ALLRewards App</v>
      </c>
    </row>
    <row r="221">
      <c r="A221" s="899" t="s">
        <v>698</v>
      </c>
      <c r="B221" s="899" t="s">
        <v>657</v>
      </c>
      <c r="D221" t="str">
        <f t="shared" si="1"/>
        <v>ALLAll Social (FB + Google)</v>
      </c>
    </row>
    <row r="222">
      <c r="A222" s="889" t="s">
        <v>698</v>
      </c>
      <c r="B222" s="897" t="s">
        <v>82</v>
      </c>
      <c r="D222" t="str">
        <f t="shared" si="1"/>
        <v>ALLEmail</v>
      </c>
    </row>
    <row r="223">
      <c r="A223" s="889" t="s">
        <v>698</v>
      </c>
      <c r="B223" s="889" t="s">
        <v>86</v>
      </c>
      <c r="D223" t="str">
        <f t="shared" si="1"/>
        <v>ALLRewards App</v>
      </c>
    </row>
    <row r="224">
      <c r="A224" s="899" t="s">
        <v>698</v>
      </c>
      <c r="B224" s="899" t="s">
        <v>657</v>
      </c>
      <c r="D224" t="str">
        <f t="shared" si="1"/>
        <v>ALLAll Social (FB + Google)</v>
      </c>
    </row>
    <row r="225">
      <c r="A225" s="889" t="s">
        <v>698</v>
      </c>
      <c r="B225" s="897" t="s">
        <v>82</v>
      </c>
      <c r="D225" t="str">
        <f t="shared" si="1"/>
        <v>ALLEmail</v>
      </c>
    </row>
    <row r="226">
      <c r="A226" s="889" t="s">
        <v>698</v>
      </c>
      <c r="B226" s="889" t="s">
        <v>86</v>
      </c>
      <c r="D226" t="str">
        <f t="shared" si="1"/>
        <v>ALLRewards App</v>
      </c>
    </row>
    <row r="227">
      <c r="A227" s="899" t="s">
        <v>698</v>
      </c>
      <c r="B227" s="899" t="s">
        <v>657</v>
      </c>
      <c r="D227" t="str">
        <f t="shared" si="1"/>
        <v>ALLAll Social (FB + Google)</v>
      </c>
    </row>
    <row r="228">
      <c r="A228" s="889" t="s">
        <v>698</v>
      </c>
      <c r="B228" s="897" t="s">
        <v>82</v>
      </c>
      <c r="D228" t="str">
        <f t="shared" si="1"/>
        <v>ALLEmail</v>
      </c>
    </row>
    <row r="229">
      <c r="A229" s="889" t="s">
        <v>698</v>
      </c>
      <c r="B229" s="889" t="s">
        <v>86</v>
      </c>
      <c r="D229" t="str">
        <f t="shared" si="1"/>
        <v>ALLRewards App</v>
      </c>
    </row>
    <row r="230">
      <c r="A230" s="899" t="s">
        <v>698</v>
      </c>
      <c r="B230" s="899" t="s">
        <v>657</v>
      </c>
      <c r="D230" t="str">
        <f t="shared" si="1"/>
        <v>ALLAll Social (FB + Google)</v>
      </c>
    </row>
    <row r="231">
      <c r="A231" s="889" t="s">
        <v>698</v>
      </c>
      <c r="B231" s="897" t="s">
        <v>82</v>
      </c>
      <c r="D231" t="str">
        <f t="shared" si="1"/>
        <v>ALLEmail</v>
      </c>
    </row>
    <row r="232">
      <c r="A232" s="889" t="s">
        <v>698</v>
      </c>
      <c r="B232" s="889" t="s">
        <v>86</v>
      </c>
      <c r="D232" t="str">
        <f t="shared" si="1"/>
        <v>ALLRewards App</v>
      </c>
    </row>
    <row r="233">
      <c r="A233" s="899" t="s">
        <v>698</v>
      </c>
      <c r="B233" s="899" t="s">
        <v>657</v>
      </c>
      <c r="D233" t="str">
        <f t="shared" si="1"/>
        <v>ALLAll Social (FB + Google)</v>
      </c>
    </row>
    <row r="234">
      <c r="A234" s="889" t="s">
        <v>698</v>
      </c>
      <c r="B234" s="897" t="s">
        <v>82</v>
      </c>
      <c r="D234" t="str">
        <f t="shared" si="1"/>
        <v>ALLEmail</v>
      </c>
    </row>
    <row r="235">
      <c r="A235" s="889" t="s">
        <v>698</v>
      </c>
      <c r="B235" s="889" t="s">
        <v>86</v>
      </c>
      <c r="D235" t="str">
        <f t="shared" si="1"/>
        <v>ALLRewards App</v>
      </c>
    </row>
    <row r="236">
      <c r="A236" s="899" t="s">
        <v>698</v>
      </c>
      <c r="B236" s="899" t="s">
        <v>657</v>
      </c>
      <c r="D236" t="str">
        <f t="shared" si="1"/>
        <v>ALLAll Social (FB + Google)</v>
      </c>
    </row>
    <row r="237">
      <c r="A237" s="889" t="s">
        <v>698</v>
      </c>
      <c r="B237" s="897" t="s">
        <v>82</v>
      </c>
      <c r="D237" t="str">
        <f t="shared" si="1"/>
        <v>ALLEmail</v>
      </c>
    </row>
    <row r="238">
      <c r="A238" s="889" t="s">
        <v>698</v>
      </c>
      <c r="B238" s="889" t="s">
        <v>86</v>
      </c>
      <c r="D238" t="str">
        <f t="shared" si="1"/>
        <v>ALLRewards App</v>
      </c>
    </row>
    <row r="239">
      <c r="A239" s="899" t="s">
        <v>698</v>
      </c>
      <c r="B239" s="899" t="s">
        <v>657</v>
      </c>
      <c r="D239" t="str">
        <f t="shared" si="1"/>
        <v>ALLAll Social (FB + Google)</v>
      </c>
    </row>
    <row r="240">
      <c r="A240" s="889" t="s">
        <v>698</v>
      </c>
      <c r="B240" s="897" t="s">
        <v>82</v>
      </c>
      <c r="D240" t="str">
        <f t="shared" si="1"/>
        <v>ALLEmail</v>
      </c>
    </row>
    <row r="241">
      <c r="A241" s="889" t="s">
        <v>698</v>
      </c>
      <c r="B241" s="889" t="s">
        <v>86</v>
      </c>
      <c r="D241" t="str">
        <f t="shared" si="1"/>
        <v>ALLRewards App</v>
      </c>
    </row>
    <row r="242">
      <c r="A242" s="899" t="s">
        <v>698</v>
      </c>
      <c r="B242" s="899" t="s">
        <v>657</v>
      </c>
      <c r="D242" t="str">
        <f t="shared" si="1"/>
        <v>ALLAll Social (FB + Google)</v>
      </c>
    </row>
    <row r="243">
      <c r="A243" s="889" t="s">
        <v>698</v>
      </c>
      <c r="B243" s="897" t="s">
        <v>82</v>
      </c>
      <c r="D243" t="str">
        <f t="shared" si="1"/>
        <v>ALLEmail</v>
      </c>
    </row>
    <row r="244">
      <c r="A244" s="889" t="s">
        <v>698</v>
      </c>
      <c r="B244" s="889" t="s">
        <v>86</v>
      </c>
      <c r="D244" t="str">
        <f t="shared" si="1"/>
        <v>ALLRewards App</v>
      </c>
    </row>
    <row r="245">
      <c r="A245" s="899" t="s">
        <v>698</v>
      </c>
      <c r="B245" s="899" t="s">
        <v>657</v>
      </c>
      <c r="D245" t="str">
        <f t="shared" si="1"/>
        <v>ALLAll Social (FB + Google)</v>
      </c>
    </row>
    <row r="246">
      <c r="A246" s="889" t="s">
        <v>698</v>
      </c>
      <c r="B246" s="897" t="s">
        <v>82</v>
      </c>
      <c r="D246" t="str">
        <f t="shared" si="1"/>
        <v>ALLEmail</v>
      </c>
    </row>
    <row r="247">
      <c r="A247" s="889" t="s">
        <v>698</v>
      </c>
      <c r="B247" s="889" t="s">
        <v>86</v>
      </c>
      <c r="D247" t="str">
        <f t="shared" si="1"/>
        <v>ALLRewards App</v>
      </c>
    </row>
    <row r="248">
      <c r="A248" s="899" t="s">
        <v>698</v>
      </c>
      <c r="B248" s="899" t="s">
        <v>657</v>
      </c>
      <c r="D248" t="str">
        <f t="shared" si="1"/>
        <v>ALLAll Social (FB + Google)</v>
      </c>
    </row>
    <row r="249">
      <c r="A249" s="889" t="s">
        <v>698</v>
      </c>
      <c r="B249" s="897" t="s">
        <v>82</v>
      </c>
      <c r="D249" t="str">
        <f t="shared" si="1"/>
        <v>ALLEmail</v>
      </c>
    </row>
    <row r="250">
      <c r="A250" s="889" t="s">
        <v>698</v>
      </c>
      <c r="B250" s="889" t="s">
        <v>86</v>
      </c>
      <c r="D250" t="str">
        <f t="shared" si="1"/>
        <v>ALLRewards App</v>
      </c>
    </row>
    <row r="251">
      <c r="A251" s="899" t="s">
        <v>698</v>
      </c>
      <c r="B251" s="899" t="s">
        <v>657</v>
      </c>
      <c r="D251" t="str">
        <f t="shared" si="1"/>
        <v>ALLAll Social (FB + Google)</v>
      </c>
    </row>
    <row r="252">
      <c r="A252" s="889" t="s">
        <v>698</v>
      </c>
      <c r="B252" s="897" t="s">
        <v>82</v>
      </c>
      <c r="D252" t="str">
        <f t="shared" si="1"/>
        <v>ALLEmail</v>
      </c>
    </row>
    <row r="253">
      <c r="A253" s="889" t="s">
        <v>698</v>
      </c>
      <c r="B253" s="889" t="s">
        <v>86</v>
      </c>
      <c r="D253" t="str">
        <f t="shared" si="1"/>
        <v>ALLRewards App</v>
      </c>
    </row>
    <row r="254">
      <c r="A254" s="899" t="s">
        <v>698</v>
      </c>
      <c r="B254" s="899" t="s">
        <v>657</v>
      </c>
      <c r="D254" t="str">
        <f t="shared" si="1"/>
        <v>ALLAll Social (FB + Google)</v>
      </c>
    </row>
    <row r="255">
      <c r="A255" s="889" t="s">
        <v>698</v>
      </c>
      <c r="B255" s="897" t="s">
        <v>82</v>
      </c>
      <c r="D255" t="str">
        <f t="shared" si="1"/>
        <v>ALLEmail</v>
      </c>
    </row>
    <row r="256">
      <c r="A256" s="889" t="s">
        <v>698</v>
      </c>
      <c r="B256" s="889" t="s">
        <v>86</v>
      </c>
      <c r="D256" t="str">
        <f t="shared" si="1"/>
        <v>ALLRewards App</v>
      </c>
    </row>
    <row r="257">
      <c r="A257" s="899" t="s">
        <v>698</v>
      </c>
      <c r="B257" s="899" t="s">
        <v>657</v>
      </c>
      <c r="D257" t="str">
        <f t="shared" si="1"/>
        <v>ALLAll Social (FB + Google)</v>
      </c>
    </row>
    <row r="258">
      <c r="A258" s="889" t="s">
        <v>698</v>
      </c>
      <c r="B258" s="897" t="s">
        <v>82</v>
      </c>
      <c r="D258" t="str">
        <f t="shared" si="1"/>
        <v>ALLEmail</v>
      </c>
    </row>
    <row r="259">
      <c r="A259" s="889" t="s">
        <v>698</v>
      </c>
      <c r="B259" s="889" t="s">
        <v>86</v>
      </c>
      <c r="D259" t="str">
        <f t="shared" si="1"/>
        <v>ALLRewards App</v>
      </c>
    </row>
    <row r="260">
      <c r="A260" s="899" t="s">
        <v>698</v>
      </c>
      <c r="B260" s="899" t="s">
        <v>657</v>
      </c>
      <c r="D260" t="str">
        <f t="shared" si="1"/>
        <v>ALLAll Social (FB + Google)</v>
      </c>
    </row>
    <row r="261">
      <c r="A261" s="889" t="s">
        <v>698</v>
      </c>
      <c r="B261" s="897" t="s">
        <v>82</v>
      </c>
      <c r="D261" t="str">
        <f t="shared" si="1"/>
        <v>ALLEmail</v>
      </c>
    </row>
    <row r="262">
      <c r="A262" s="889" t="s">
        <v>698</v>
      </c>
      <c r="B262" s="889" t="s">
        <v>86</v>
      </c>
      <c r="D262" t="str">
        <f t="shared" si="1"/>
        <v>ALLRewards App</v>
      </c>
    </row>
    <row r="263">
      <c r="A263" s="899" t="s">
        <v>698</v>
      </c>
      <c r="B263" s="899" t="s">
        <v>657</v>
      </c>
      <c r="D263" t="str">
        <f t="shared" si="1"/>
        <v>ALLAll Social (FB + Google)</v>
      </c>
    </row>
    <row r="264">
      <c r="A264" s="889" t="s">
        <v>698</v>
      </c>
      <c r="B264" s="897" t="s">
        <v>82</v>
      </c>
      <c r="D264" t="str">
        <f t="shared" si="1"/>
        <v>ALLEmail</v>
      </c>
    </row>
    <row r="265">
      <c r="A265" s="889" t="s">
        <v>698</v>
      </c>
      <c r="B265" s="889" t="s">
        <v>86</v>
      </c>
      <c r="D265" t="str">
        <f t="shared" si="1"/>
        <v>ALLRewards App</v>
      </c>
    </row>
    <row r="266">
      <c r="A266" s="899" t="s">
        <v>698</v>
      </c>
      <c r="B266" s="899" t="s">
        <v>657</v>
      </c>
      <c r="D266" t="str">
        <f t="shared" si="1"/>
        <v>ALLAll Social (FB + Google)</v>
      </c>
    </row>
    <row r="267">
      <c r="A267" s="889" t="s">
        <v>698</v>
      </c>
      <c r="B267" s="897" t="s">
        <v>82</v>
      </c>
      <c r="D267" t="str">
        <f t="shared" si="1"/>
        <v>ALLEmail</v>
      </c>
    </row>
    <row r="268">
      <c r="A268" s="889" t="s">
        <v>698</v>
      </c>
      <c r="B268" s="889" t="s">
        <v>86</v>
      </c>
      <c r="D268" t="str">
        <f t="shared" si="1"/>
        <v>ALLRewards App</v>
      </c>
    </row>
    <row r="269">
      <c r="A269" s="899" t="s">
        <v>698</v>
      </c>
      <c r="B269" s="899" t="s">
        <v>657</v>
      </c>
      <c r="D269" t="str">
        <f t="shared" si="1"/>
        <v>ALLAll Social (FB + Google)</v>
      </c>
    </row>
    <row r="270">
      <c r="A270" s="889" t="s">
        <v>698</v>
      </c>
      <c r="B270" s="897" t="s">
        <v>82</v>
      </c>
      <c r="D270" t="str">
        <f t="shared" si="1"/>
        <v>ALLEmail</v>
      </c>
    </row>
    <row r="271">
      <c r="A271" s="889" t="s">
        <v>698</v>
      </c>
      <c r="B271" s="889" t="s">
        <v>86</v>
      </c>
      <c r="D271" t="str">
        <f t="shared" si="1"/>
        <v>ALLRewards App</v>
      </c>
    </row>
    <row r="272">
      <c r="A272" s="899" t="s">
        <v>698</v>
      </c>
      <c r="B272" s="899" t="s">
        <v>657</v>
      </c>
      <c r="D272" t="str">
        <f t="shared" si="1"/>
        <v>ALLAll Social (FB + Google)</v>
      </c>
    </row>
    <row r="273">
      <c r="A273" s="889" t="s">
        <v>698</v>
      </c>
      <c r="B273" s="897" t="s">
        <v>82</v>
      </c>
      <c r="D273" t="str">
        <f t="shared" si="1"/>
        <v>ALLEmail</v>
      </c>
    </row>
    <row r="274">
      <c r="A274" s="889" t="s">
        <v>698</v>
      </c>
      <c r="B274" s="889" t="s">
        <v>86</v>
      </c>
      <c r="D274" t="str">
        <f t="shared" si="1"/>
        <v>ALLRewards App</v>
      </c>
    </row>
    <row r="275">
      <c r="A275" s="899" t="s">
        <v>698</v>
      </c>
      <c r="B275" s="899" t="s">
        <v>657</v>
      </c>
      <c r="D275" t="str">
        <f t="shared" si="1"/>
        <v>ALLAll Social (FB + Google)</v>
      </c>
    </row>
    <row r="276">
      <c r="A276" s="889" t="s">
        <v>698</v>
      </c>
      <c r="B276" s="897" t="s">
        <v>82</v>
      </c>
      <c r="D276" t="str">
        <f t="shared" si="1"/>
        <v>ALLEmail</v>
      </c>
    </row>
    <row r="277">
      <c r="A277" s="889" t="s">
        <v>698</v>
      </c>
      <c r="B277" s="889" t="s">
        <v>86</v>
      </c>
      <c r="D277" t="str">
        <f t="shared" si="1"/>
        <v>ALLRewards App</v>
      </c>
    </row>
    <row r="278">
      <c r="A278" s="899" t="s">
        <v>698</v>
      </c>
      <c r="B278" s="899" t="s">
        <v>657</v>
      </c>
      <c r="D278" t="str">
        <f t="shared" si="1"/>
        <v>ALLAll Social (FB + Google)</v>
      </c>
    </row>
    <row r="279">
      <c r="A279" s="889" t="s">
        <v>698</v>
      </c>
      <c r="B279" s="897" t="s">
        <v>82</v>
      </c>
      <c r="D279" t="str">
        <f t="shared" si="1"/>
        <v>ALLEmail</v>
      </c>
    </row>
    <row r="280">
      <c r="A280" s="889" t="s">
        <v>698</v>
      </c>
      <c r="B280" s="889" t="s">
        <v>86</v>
      </c>
      <c r="D280" t="str">
        <f t="shared" si="1"/>
        <v>ALLRewards App</v>
      </c>
    </row>
    <row r="281">
      <c r="A281" s="899" t="s">
        <v>698</v>
      </c>
      <c r="B281" s="899" t="s">
        <v>657</v>
      </c>
      <c r="D281" t="str">
        <f t="shared" si="1"/>
        <v>ALLAll Social (FB + Google)</v>
      </c>
    </row>
    <row r="282">
      <c r="A282" s="889" t="s">
        <v>698</v>
      </c>
      <c r="B282" s="897" t="s">
        <v>82</v>
      </c>
      <c r="D282" t="str">
        <f t="shared" si="1"/>
        <v>ALLEmail</v>
      </c>
    </row>
    <row r="283">
      <c r="A283" s="889" t="s">
        <v>698</v>
      </c>
      <c r="B283" s="889" t="s">
        <v>86</v>
      </c>
      <c r="D283" t="str">
        <f t="shared" si="1"/>
        <v>ALLRewards App</v>
      </c>
    </row>
    <row r="284">
      <c r="A284" s="899" t="s">
        <v>698</v>
      </c>
      <c r="B284" s="899" t="s">
        <v>657</v>
      </c>
      <c r="D284" t="str">
        <f t="shared" si="1"/>
        <v>ALLAll Social (FB + Google)</v>
      </c>
    </row>
    <row r="285">
      <c r="A285" s="889" t="s">
        <v>698</v>
      </c>
      <c r="B285" s="897" t="s">
        <v>82</v>
      </c>
      <c r="D285" t="str">
        <f t="shared" si="1"/>
        <v>ALLEmail</v>
      </c>
    </row>
    <row r="286">
      <c r="A286" s="889" t="s">
        <v>698</v>
      </c>
      <c r="B286" s="889" t="s">
        <v>86</v>
      </c>
      <c r="D286" t="str">
        <f t="shared" si="1"/>
        <v>ALLRewards App</v>
      </c>
    </row>
    <row r="287">
      <c r="A287" s="899" t="s">
        <v>698</v>
      </c>
      <c r="B287" s="899" t="s">
        <v>657</v>
      </c>
      <c r="D287" t="str">
        <f t="shared" si="1"/>
        <v>ALLAll Social (FB + Google)</v>
      </c>
    </row>
    <row r="288">
      <c r="A288" s="889" t="s">
        <v>698</v>
      </c>
      <c r="B288" s="897" t="s">
        <v>82</v>
      </c>
      <c r="D288" t="str">
        <f t="shared" si="1"/>
        <v>ALLEmail</v>
      </c>
    </row>
    <row r="289">
      <c r="A289" s="889" t="s">
        <v>698</v>
      </c>
      <c r="B289" s="889" t="s">
        <v>86</v>
      </c>
      <c r="D289" t="str">
        <f t="shared" si="1"/>
        <v>ALLRewards App</v>
      </c>
    </row>
    <row r="290">
      <c r="A290" s="899" t="s">
        <v>698</v>
      </c>
      <c r="B290" s="899" t="s">
        <v>657</v>
      </c>
      <c r="D290" t="str">
        <f t="shared" si="1"/>
        <v>ALLAll Social (FB + Google)</v>
      </c>
    </row>
    <row r="291">
      <c r="A291" s="889"/>
      <c r="B291" s="889"/>
    </row>
  </sheetData>
  <dataValidations>
    <dataValidation type="list" allowBlank="1" showErrorMessage="1" sqref="E30:E80">
      <formula1>meta!$Q$2:$Q$3</formula1>
    </dataValidation>
    <dataValidation type="list" allowBlank="1" showErrorMessage="1" sqref="E3:E29">
      <formula1>meta!$J$2:$J$5</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3"/>
  </cols>
  <sheetData>
    <row r="1">
      <c r="B1" s="907"/>
      <c r="C1" s="907"/>
    </row>
    <row r="2">
      <c r="A2" s="908"/>
      <c r="B2" s="909" t="s">
        <v>716</v>
      </c>
      <c r="C2" s="909" t="s">
        <v>168</v>
      </c>
      <c r="D2" s="909" t="s">
        <v>717</v>
      </c>
      <c r="E2" s="908"/>
      <c r="F2" s="908"/>
      <c r="G2" s="908"/>
      <c r="H2" s="908"/>
      <c r="I2" s="908"/>
      <c r="J2" s="908"/>
      <c r="K2" s="908"/>
      <c r="L2" s="908"/>
      <c r="M2" s="908"/>
      <c r="N2" s="908"/>
      <c r="O2" s="908"/>
      <c r="P2" s="908"/>
      <c r="Q2" s="908"/>
      <c r="R2" s="908"/>
      <c r="S2" s="908"/>
      <c r="T2" s="908"/>
      <c r="U2" s="908"/>
      <c r="V2" s="908"/>
      <c r="W2" s="908"/>
      <c r="X2" s="908"/>
      <c r="Y2" s="908"/>
      <c r="Z2" s="908"/>
    </row>
    <row r="3">
      <c r="B3" s="907"/>
      <c r="C3" s="907"/>
    </row>
    <row r="4">
      <c r="B4" s="910" t="s">
        <v>718</v>
      </c>
      <c r="C4" s="911">
        <v>43312.0</v>
      </c>
      <c r="D4" s="889" t="s">
        <v>719</v>
      </c>
    </row>
    <row r="5">
      <c r="B5" s="910" t="s">
        <v>720</v>
      </c>
      <c r="C5" s="912">
        <v>44225.0</v>
      </c>
      <c r="D5" s="889" t="s">
        <v>721</v>
      </c>
    </row>
    <row r="6">
      <c r="B6" s="910" t="s">
        <v>722</v>
      </c>
      <c r="C6" s="913">
        <v>44236.0</v>
      </c>
      <c r="D6" s="889" t="s">
        <v>723</v>
      </c>
    </row>
    <row r="7">
      <c r="B7" s="910" t="s">
        <v>724</v>
      </c>
      <c r="C7" s="912">
        <v>44305.0</v>
      </c>
      <c r="D7" s="889" t="s">
        <v>725</v>
      </c>
    </row>
    <row r="8">
      <c r="B8" s="910" t="s">
        <v>726</v>
      </c>
      <c r="C8" s="914">
        <v>44323.0</v>
      </c>
      <c r="D8" s="889" t="s">
        <v>727</v>
      </c>
    </row>
    <row r="9">
      <c r="B9" s="910" t="s">
        <v>728</v>
      </c>
      <c r="C9" s="912">
        <v>44404.0</v>
      </c>
      <c r="D9" s="889" t="s">
        <v>729</v>
      </c>
    </row>
    <row r="10">
      <c r="B10" s="907"/>
      <c r="C10" s="907"/>
    </row>
    <row r="11">
      <c r="B11" s="907"/>
      <c r="C11" s="907"/>
    </row>
    <row r="12">
      <c r="B12" s="910" t="s">
        <v>730</v>
      </c>
      <c r="C12" s="912">
        <v>44823.0</v>
      </c>
      <c r="D12" s="889" t="s">
        <v>731</v>
      </c>
    </row>
    <row r="13">
      <c r="B13" s="907"/>
      <c r="C13" s="912">
        <v>44840.0</v>
      </c>
      <c r="D13" s="889" t="s">
        <v>732</v>
      </c>
    </row>
    <row r="14">
      <c r="B14" s="907"/>
      <c r="C14" s="912">
        <v>44861.0</v>
      </c>
      <c r="D14" s="889" t="s">
        <v>733</v>
      </c>
    </row>
    <row r="15">
      <c r="B15" s="910" t="s">
        <v>734</v>
      </c>
      <c r="C15" s="915">
        <v>45251.0</v>
      </c>
      <c r="D15" s="889" t="s">
        <v>735</v>
      </c>
    </row>
    <row r="16">
      <c r="B16" s="907"/>
      <c r="C16" s="907"/>
      <c r="D16" s="889" t="s">
        <v>736</v>
      </c>
    </row>
    <row r="17">
      <c r="B17" s="907"/>
      <c r="C17" s="907"/>
    </row>
    <row r="18">
      <c r="B18" s="907"/>
      <c r="C18" s="907"/>
    </row>
    <row r="19">
      <c r="B19" s="907"/>
      <c r="C19" s="907"/>
    </row>
    <row r="20">
      <c r="B20" s="907"/>
      <c r="C20" s="907"/>
    </row>
    <row r="21">
      <c r="B21" s="907"/>
      <c r="C21" s="907"/>
    </row>
    <row r="22">
      <c r="B22" s="907"/>
      <c r="C22" s="907"/>
    </row>
    <row r="23">
      <c r="B23" s="907"/>
      <c r="C23" s="907"/>
    </row>
    <row r="24">
      <c r="B24" s="907"/>
      <c r="C24" s="907"/>
    </row>
    <row r="25">
      <c r="B25" s="907"/>
      <c r="C25" s="907"/>
    </row>
    <row r="26">
      <c r="B26" s="907"/>
      <c r="C26" s="907"/>
    </row>
    <row r="27">
      <c r="B27" s="907"/>
      <c r="C27" s="907"/>
    </row>
    <row r="28">
      <c r="B28" s="907"/>
      <c r="C28" s="907"/>
    </row>
    <row r="29">
      <c r="B29" s="907"/>
      <c r="C29" s="907"/>
    </row>
    <row r="30">
      <c r="B30" s="907"/>
      <c r="C30" s="907"/>
    </row>
    <row r="31">
      <c r="B31" s="907"/>
      <c r="C31" s="907"/>
    </row>
    <row r="32">
      <c r="B32" s="907"/>
      <c r="C32" s="907"/>
    </row>
    <row r="33">
      <c r="B33" s="907"/>
      <c r="C33" s="907"/>
    </row>
    <row r="34">
      <c r="B34" s="907"/>
      <c r="C34" s="907"/>
    </row>
    <row r="35">
      <c r="B35" s="907"/>
      <c r="C35" s="907"/>
    </row>
    <row r="36">
      <c r="B36" s="907"/>
      <c r="C36" s="907"/>
    </row>
    <row r="37">
      <c r="B37" s="907"/>
      <c r="C37" s="907"/>
    </row>
    <row r="38">
      <c r="B38" s="907"/>
      <c r="C38" s="907"/>
    </row>
    <row r="39">
      <c r="B39" s="907"/>
      <c r="C39" s="907"/>
    </row>
    <row r="40">
      <c r="B40" s="907"/>
      <c r="C40" s="907"/>
    </row>
    <row r="41">
      <c r="B41" s="907"/>
      <c r="C41" s="907"/>
    </row>
    <row r="42">
      <c r="B42" s="907"/>
      <c r="C42" s="907"/>
    </row>
    <row r="43">
      <c r="B43" s="907"/>
      <c r="C43" s="907"/>
    </row>
    <row r="44">
      <c r="B44" s="907"/>
      <c r="C44" s="907"/>
    </row>
    <row r="45">
      <c r="B45" s="907"/>
      <c r="C45" s="907"/>
    </row>
    <row r="46">
      <c r="B46" s="907"/>
      <c r="C46" s="907"/>
    </row>
    <row r="47">
      <c r="B47" s="907"/>
      <c r="C47" s="907"/>
    </row>
    <row r="48">
      <c r="B48" s="907"/>
      <c r="C48" s="907"/>
    </row>
    <row r="49">
      <c r="B49" s="907"/>
      <c r="C49" s="907"/>
    </row>
    <row r="50">
      <c r="B50" s="907"/>
      <c r="C50" s="907"/>
    </row>
    <row r="51">
      <c r="B51" s="907"/>
      <c r="C51" s="907"/>
    </row>
    <row r="52">
      <c r="B52" s="907"/>
      <c r="C52" s="907"/>
    </row>
    <row r="53">
      <c r="B53" s="907"/>
      <c r="C53" s="907"/>
    </row>
    <row r="54">
      <c r="B54" s="907"/>
      <c r="C54" s="907"/>
    </row>
    <row r="55">
      <c r="B55" s="907"/>
      <c r="C55" s="907"/>
    </row>
    <row r="56">
      <c r="B56" s="907"/>
      <c r="C56" s="907"/>
    </row>
    <row r="57">
      <c r="B57" s="907"/>
      <c r="C57" s="907"/>
    </row>
    <row r="58">
      <c r="B58" s="907"/>
      <c r="C58" s="907"/>
    </row>
    <row r="59">
      <c r="B59" s="907"/>
      <c r="C59" s="907"/>
    </row>
    <row r="60">
      <c r="B60" s="907"/>
      <c r="C60" s="907"/>
    </row>
    <row r="61">
      <c r="B61" s="907"/>
      <c r="C61" s="907"/>
    </row>
    <row r="62">
      <c r="B62" s="907"/>
      <c r="C62" s="907"/>
    </row>
    <row r="63">
      <c r="B63" s="907"/>
      <c r="C63" s="907"/>
    </row>
    <row r="64">
      <c r="B64" s="907"/>
      <c r="C64" s="907"/>
    </row>
    <row r="65">
      <c r="B65" s="907"/>
      <c r="C65" s="907"/>
    </row>
    <row r="66">
      <c r="B66" s="907"/>
      <c r="C66" s="907"/>
    </row>
    <row r="67">
      <c r="B67" s="907"/>
      <c r="C67" s="907"/>
    </row>
    <row r="68">
      <c r="B68" s="907"/>
      <c r="C68" s="907"/>
    </row>
    <row r="69">
      <c r="B69" s="907"/>
      <c r="C69" s="907"/>
    </row>
    <row r="70">
      <c r="B70" s="907"/>
      <c r="C70" s="907"/>
    </row>
    <row r="71">
      <c r="B71" s="907"/>
      <c r="C71" s="907"/>
    </row>
    <row r="72">
      <c r="B72" s="907"/>
      <c r="C72" s="907"/>
    </row>
    <row r="73">
      <c r="B73" s="907"/>
      <c r="C73" s="907"/>
    </row>
    <row r="74">
      <c r="B74" s="907"/>
      <c r="C74" s="907"/>
    </row>
    <row r="75">
      <c r="B75" s="907"/>
      <c r="C75" s="907"/>
    </row>
    <row r="76">
      <c r="B76" s="907"/>
      <c r="C76" s="907"/>
    </row>
    <row r="77">
      <c r="B77" s="907"/>
      <c r="C77" s="907"/>
    </row>
    <row r="78">
      <c r="B78" s="907"/>
      <c r="C78" s="907"/>
    </row>
    <row r="79">
      <c r="B79" s="907"/>
      <c r="C79" s="907"/>
    </row>
    <row r="80">
      <c r="B80" s="907"/>
      <c r="C80" s="907"/>
    </row>
    <row r="81">
      <c r="B81" s="907"/>
      <c r="C81" s="907"/>
    </row>
    <row r="82">
      <c r="B82" s="907"/>
      <c r="C82" s="907"/>
    </row>
    <row r="83">
      <c r="B83" s="907"/>
      <c r="C83" s="907"/>
    </row>
    <row r="84">
      <c r="B84" s="907"/>
      <c r="C84" s="907"/>
    </row>
    <row r="85">
      <c r="B85" s="907"/>
      <c r="C85" s="907"/>
    </row>
    <row r="86">
      <c r="B86" s="907"/>
      <c r="C86" s="907"/>
    </row>
    <row r="87">
      <c r="B87" s="907"/>
      <c r="C87" s="907"/>
    </row>
    <row r="88">
      <c r="B88" s="907"/>
      <c r="C88" s="907"/>
    </row>
    <row r="89">
      <c r="B89" s="907"/>
      <c r="C89" s="907"/>
    </row>
    <row r="90">
      <c r="B90" s="907"/>
      <c r="C90" s="907"/>
    </row>
    <row r="91">
      <c r="B91" s="907"/>
      <c r="C91" s="907"/>
    </row>
    <row r="92">
      <c r="B92" s="907"/>
      <c r="C92" s="907"/>
    </row>
    <row r="93">
      <c r="B93" s="907"/>
      <c r="C93" s="907"/>
    </row>
    <row r="94">
      <c r="B94" s="907"/>
      <c r="C94" s="907"/>
    </row>
    <row r="95">
      <c r="B95" s="907"/>
      <c r="C95" s="907"/>
    </row>
    <row r="96">
      <c r="B96" s="907"/>
      <c r="C96" s="907"/>
    </row>
    <row r="97">
      <c r="B97" s="907"/>
      <c r="C97" s="907"/>
    </row>
    <row r="98">
      <c r="B98" s="907"/>
      <c r="C98" s="907"/>
    </row>
    <row r="99">
      <c r="B99" s="907"/>
      <c r="C99" s="907"/>
    </row>
    <row r="100">
      <c r="B100" s="907"/>
      <c r="C100" s="907"/>
    </row>
    <row r="101">
      <c r="B101" s="907"/>
      <c r="C101" s="907"/>
    </row>
    <row r="102">
      <c r="B102" s="907"/>
      <c r="C102" s="907"/>
    </row>
    <row r="103">
      <c r="B103" s="907"/>
      <c r="C103" s="907"/>
    </row>
    <row r="104">
      <c r="B104" s="907"/>
      <c r="C104" s="907"/>
    </row>
    <row r="105">
      <c r="B105" s="907"/>
      <c r="C105" s="907"/>
    </row>
    <row r="106">
      <c r="B106" s="907"/>
      <c r="C106" s="907"/>
    </row>
    <row r="107">
      <c r="B107" s="907"/>
      <c r="C107" s="907"/>
    </row>
    <row r="108">
      <c r="B108" s="907"/>
      <c r="C108" s="907"/>
    </row>
    <row r="109">
      <c r="B109" s="907"/>
      <c r="C109" s="907"/>
    </row>
    <row r="110">
      <c r="B110" s="907"/>
      <c r="C110" s="907"/>
    </row>
    <row r="111">
      <c r="B111" s="907"/>
      <c r="C111" s="907"/>
    </row>
    <row r="112">
      <c r="B112" s="907"/>
      <c r="C112" s="907"/>
    </row>
    <row r="113">
      <c r="B113" s="907"/>
      <c r="C113" s="907"/>
    </row>
    <row r="114">
      <c r="B114" s="907"/>
      <c r="C114" s="907"/>
    </row>
    <row r="115">
      <c r="B115" s="907"/>
      <c r="C115" s="907"/>
    </row>
    <row r="116">
      <c r="B116" s="907"/>
      <c r="C116" s="907"/>
    </row>
    <row r="117">
      <c r="B117" s="907"/>
      <c r="C117" s="907"/>
    </row>
    <row r="118">
      <c r="B118" s="907"/>
      <c r="C118" s="907"/>
    </row>
    <row r="119">
      <c r="B119" s="907"/>
      <c r="C119" s="907"/>
    </row>
    <row r="120">
      <c r="B120" s="907"/>
      <c r="C120" s="907"/>
    </row>
    <row r="121">
      <c r="B121" s="907"/>
      <c r="C121" s="907"/>
    </row>
    <row r="122">
      <c r="B122" s="907"/>
      <c r="C122" s="907"/>
    </row>
    <row r="123">
      <c r="B123" s="907"/>
      <c r="C123" s="907"/>
    </row>
    <row r="124">
      <c r="B124" s="907"/>
      <c r="C124" s="907"/>
    </row>
    <row r="125">
      <c r="B125" s="907"/>
      <c r="C125" s="907"/>
    </row>
    <row r="126">
      <c r="B126" s="907"/>
      <c r="C126" s="907"/>
    </row>
    <row r="127">
      <c r="B127" s="907"/>
      <c r="C127" s="907"/>
    </row>
    <row r="128">
      <c r="B128" s="907"/>
      <c r="C128" s="907"/>
    </row>
    <row r="129">
      <c r="B129" s="907"/>
      <c r="C129" s="907"/>
    </row>
    <row r="130">
      <c r="B130" s="907"/>
      <c r="C130" s="907"/>
    </row>
    <row r="131">
      <c r="B131" s="907"/>
      <c r="C131" s="907"/>
    </row>
    <row r="132">
      <c r="B132" s="907"/>
      <c r="C132" s="907"/>
    </row>
    <row r="133">
      <c r="B133" s="907"/>
      <c r="C133" s="907"/>
    </row>
    <row r="134">
      <c r="B134" s="907"/>
      <c r="C134" s="907"/>
    </row>
    <row r="135">
      <c r="B135" s="907"/>
      <c r="C135" s="907"/>
    </row>
    <row r="136">
      <c r="B136" s="907"/>
      <c r="C136" s="907"/>
    </row>
    <row r="137">
      <c r="B137" s="907"/>
      <c r="C137" s="907"/>
    </row>
    <row r="138">
      <c r="B138" s="907"/>
      <c r="C138" s="907"/>
    </row>
    <row r="139">
      <c r="B139" s="907"/>
      <c r="C139" s="907"/>
    </row>
    <row r="140">
      <c r="B140" s="907"/>
      <c r="C140" s="907"/>
    </row>
    <row r="141">
      <c r="B141" s="907"/>
      <c r="C141" s="907"/>
    </row>
    <row r="142">
      <c r="B142" s="907"/>
      <c r="C142" s="907"/>
    </row>
    <row r="143">
      <c r="B143" s="907"/>
      <c r="C143" s="907"/>
    </row>
    <row r="144">
      <c r="B144" s="907"/>
      <c r="C144" s="907"/>
    </row>
    <row r="145">
      <c r="B145" s="907"/>
      <c r="C145" s="907"/>
    </row>
    <row r="146">
      <c r="B146" s="907"/>
      <c r="C146" s="907"/>
    </row>
    <row r="147">
      <c r="B147" s="907"/>
      <c r="C147" s="907"/>
    </row>
    <row r="148">
      <c r="B148" s="907"/>
      <c r="C148" s="907"/>
    </row>
    <row r="149">
      <c r="B149" s="907"/>
      <c r="C149" s="907"/>
    </row>
    <row r="150">
      <c r="B150" s="907"/>
      <c r="C150" s="907"/>
    </row>
    <row r="151">
      <c r="B151" s="907"/>
      <c r="C151" s="907"/>
    </row>
    <row r="152">
      <c r="B152" s="907"/>
      <c r="C152" s="907"/>
    </row>
    <row r="153">
      <c r="B153" s="907"/>
      <c r="C153" s="907"/>
    </row>
    <row r="154">
      <c r="B154" s="907"/>
      <c r="C154" s="907"/>
    </row>
    <row r="155">
      <c r="B155" s="907"/>
      <c r="C155" s="907"/>
    </row>
    <row r="156">
      <c r="B156" s="907"/>
      <c r="C156" s="907"/>
    </row>
    <row r="157">
      <c r="B157" s="907"/>
      <c r="C157" s="907"/>
    </row>
    <row r="158">
      <c r="B158" s="907"/>
      <c r="C158" s="907"/>
    </row>
    <row r="159">
      <c r="B159" s="907"/>
      <c r="C159" s="907"/>
    </row>
    <row r="160">
      <c r="B160" s="907"/>
      <c r="C160" s="907"/>
    </row>
    <row r="161">
      <c r="B161" s="907"/>
      <c r="C161" s="907"/>
    </row>
    <row r="162">
      <c r="B162" s="907"/>
      <c r="C162" s="907"/>
    </row>
    <row r="163">
      <c r="B163" s="907"/>
      <c r="C163" s="907"/>
    </row>
    <row r="164">
      <c r="B164" s="907"/>
      <c r="C164" s="907"/>
    </row>
    <row r="165">
      <c r="B165" s="907"/>
      <c r="C165" s="907"/>
    </row>
    <row r="166">
      <c r="B166" s="907"/>
      <c r="C166" s="907"/>
    </row>
    <row r="167">
      <c r="B167" s="907"/>
      <c r="C167" s="907"/>
    </row>
    <row r="168">
      <c r="B168" s="907"/>
      <c r="C168" s="907"/>
    </row>
    <row r="169">
      <c r="B169" s="907"/>
      <c r="C169" s="907"/>
    </row>
    <row r="170">
      <c r="B170" s="907"/>
      <c r="C170" s="907"/>
    </row>
    <row r="171">
      <c r="B171" s="907"/>
      <c r="C171" s="907"/>
    </row>
    <row r="172">
      <c r="B172" s="907"/>
      <c r="C172" s="907"/>
    </row>
    <row r="173">
      <c r="B173" s="907"/>
      <c r="C173" s="907"/>
    </row>
    <row r="174">
      <c r="B174" s="907"/>
      <c r="C174" s="907"/>
    </row>
    <row r="175">
      <c r="B175" s="907"/>
      <c r="C175" s="907"/>
    </row>
    <row r="176">
      <c r="B176" s="907"/>
      <c r="C176" s="907"/>
    </row>
    <row r="177">
      <c r="B177" s="907"/>
      <c r="C177" s="907"/>
    </row>
    <row r="178">
      <c r="B178" s="907"/>
      <c r="C178" s="907"/>
    </row>
    <row r="179">
      <c r="B179" s="907"/>
      <c r="C179" s="907"/>
    </row>
    <row r="180">
      <c r="B180" s="907"/>
      <c r="C180" s="907"/>
    </row>
    <row r="181">
      <c r="B181" s="907"/>
      <c r="C181" s="907"/>
    </row>
    <row r="182">
      <c r="B182" s="907"/>
      <c r="C182" s="907"/>
    </row>
    <row r="183">
      <c r="B183" s="907"/>
      <c r="C183" s="907"/>
    </row>
    <row r="184">
      <c r="B184" s="907"/>
      <c r="C184" s="907"/>
    </row>
    <row r="185">
      <c r="B185" s="907"/>
      <c r="C185" s="907"/>
    </row>
    <row r="186">
      <c r="B186" s="907"/>
      <c r="C186" s="907"/>
    </row>
    <row r="187">
      <c r="B187" s="907"/>
      <c r="C187" s="907"/>
    </row>
    <row r="188">
      <c r="B188" s="907"/>
      <c r="C188" s="907"/>
    </row>
    <row r="189">
      <c r="B189" s="907"/>
      <c r="C189" s="907"/>
    </row>
    <row r="190">
      <c r="B190" s="907"/>
      <c r="C190" s="907"/>
    </row>
    <row r="191">
      <c r="B191" s="907"/>
      <c r="C191" s="907"/>
    </row>
    <row r="192">
      <c r="B192" s="907"/>
      <c r="C192" s="907"/>
    </row>
    <row r="193">
      <c r="B193" s="907"/>
      <c r="C193" s="907"/>
    </row>
    <row r="194">
      <c r="B194" s="907"/>
      <c r="C194" s="907"/>
    </row>
    <row r="195">
      <c r="B195" s="907"/>
      <c r="C195" s="907"/>
    </row>
    <row r="196">
      <c r="B196" s="907"/>
      <c r="C196" s="907"/>
    </row>
    <row r="197">
      <c r="B197" s="907"/>
      <c r="C197" s="907"/>
    </row>
    <row r="198">
      <c r="B198" s="907"/>
      <c r="C198" s="907"/>
    </row>
    <row r="199">
      <c r="B199" s="907"/>
      <c r="C199" s="907"/>
    </row>
    <row r="200">
      <c r="B200" s="907"/>
      <c r="C200" s="907"/>
    </row>
    <row r="201">
      <c r="B201" s="907"/>
      <c r="C201" s="907"/>
    </row>
    <row r="202">
      <c r="B202" s="907"/>
      <c r="C202" s="907"/>
    </row>
    <row r="203">
      <c r="B203" s="907"/>
      <c r="C203" s="907"/>
    </row>
    <row r="204">
      <c r="B204" s="907"/>
      <c r="C204" s="907"/>
    </row>
    <row r="205">
      <c r="B205" s="907"/>
      <c r="C205" s="907"/>
    </row>
    <row r="206">
      <c r="B206" s="907"/>
      <c r="C206" s="907"/>
    </row>
    <row r="207">
      <c r="B207" s="907"/>
      <c r="C207" s="907"/>
    </row>
    <row r="208">
      <c r="B208" s="907"/>
      <c r="C208" s="907"/>
    </row>
    <row r="209">
      <c r="B209" s="907"/>
      <c r="C209" s="907"/>
    </row>
    <row r="210">
      <c r="B210" s="907"/>
      <c r="C210" s="907"/>
    </row>
    <row r="211">
      <c r="B211" s="907"/>
      <c r="C211" s="907"/>
    </row>
    <row r="212">
      <c r="B212" s="907"/>
      <c r="C212" s="907"/>
    </row>
    <row r="213">
      <c r="B213" s="907"/>
      <c r="C213" s="907"/>
    </row>
    <row r="214">
      <c r="B214" s="907"/>
      <c r="C214" s="907"/>
    </row>
    <row r="215">
      <c r="B215" s="907"/>
      <c r="C215" s="907"/>
    </row>
    <row r="216">
      <c r="B216" s="907"/>
      <c r="C216" s="907"/>
    </row>
    <row r="217">
      <c r="B217" s="907"/>
      <c r="C217" s="907"/>
    </row>
    <row r="218">
      <c r="B218" s="907"/>
      <c r="C218" s="907"/>
    </row>
    <row r="219">
      <c r="B219" s="907"/>
      <c r="C219" s="907"/>
    </row>
    <row r="220">
      <c r="B220" s="907"/>
      <c r="C220" s="907"/>
    </row>
    <row r="221">
      <c r="B221" s="907"/>
      <c r="C221" s="907"/>
    </row>
    <row r="222">
      <c r="B222" s="907"/>
      <c r="C222" s="907"/>
    </row>
    <row r="223">
      <c r="B223" s="907"/>
      <c r="C223" s="907"/>
    </row>
    <row r="224">
      <c r="B224" s="907"/>
      <c r="C224" s="907"/>
    </row>
    <row r="225">
      <c r="B225" s="907"/>
      <c r="C225" s="907"/>
    </row>
    <row r="226">
      <c r="B226" s="907"/>
      <c r="C226" s="907"/>
    </row>
    <row r="227">
      <c r="B227" s="907"/>
      <c r="C227" s="907"/>
    </row>
    <row r="228">
      <c r="B228" s="907"/>
      <c r="C228" s="907"/>
    </row>
    <row r="229">
      <c r="B229" s="907"/>
      <c r="C229" s="907"/>
    </row>
    <row r="230">
      <c r="B230" s="907"/>
      <c r="C230" s="907"/>
    </row>
    <row r="231">
      <c r="B231" s="907"/>
      <c r="C231" s="907"/>
    </row>
    <row r="232">
      <c r="B232" s="907"/>
      <c r="C232" s="907"/>
    </row>
    <row r="233">
      <c r="B233" s="907"/>
      <c r="C233" s="907"/>
    </row>
    <row r="234">
      <c r="B234" s="907"/>
      <c r="C234" s="907"/>
    </row>
    <row r="235">
      <c r="B235" s="907"/>
      <c r="C235" s="907"/>
    </row>
    <row r="236">
      <c r="B236" s="907"/>
      <c r="C236" s="907"/>
    </row>
    <row r="237">
      <c r="B237" s="907"/>
      <c r="C237" s="907"/>
    </row>
    <row r="238">
      <c r="B238" s="907"/>
      <c r="C238" s="907"/>
    </row>
    <row r="239">
      <c r="B239" s="907"/>
      <c r="C239" s="907"/>
    </row>
    <row r="240">
      <c r="B240" s="907"/>
      <c r="C240" s="907"/>
    </row>
    <row r="241">
      <c r="B241" s="907"/>
      <c r="C241" s="907"/>
    </row>
    <row r="242">
      <c r="B242" s="907"/>
      <c r="C242" s="907"/>
    </row>
    <row r="243">
      <c r="B243" s="907"/>
      <c r="C243" s="907"/>
    </row>
    <row r="244">
      <c r="B244" s="907"/>
      <c r="C244" s="907"/>
    </row>
    <row r="245">
      <c r="B245" s="907"/>
      <c r="C245" s="907"/>
    </row>
    <row r="246">
      <c r="B246" s="907"/>
      <c r="C246" s="907"/>
    </row>
    <row r="247">
      <c r="B247" s="907"/>
      <c r="C247" s="907"/>
    </row>
    <row r="248">
      <c r="B248" s="907"/>
      <c r="C248" s="907"/>
    </row>
    <row r="249">
      <c r="B249" s="907"/>
      <c r="C249" s="907"/>
    </row>
    <row r="250">
      <c r="B250" s="907"/>
      <c r="C250" s="907"/>
    </row>
    <row r="251">
      <c r="B251" s="907"/>
      <c r="C251" s="907"/>
    </row>
    <row r="252">
      <c r="B252" s="907"/>
      <c r="C252" s="907"/>
    </row>
    <row r="253">
      <c r="B253" s="907"/>
      <c r="C253" s="907"/>
    </row>
    <row r="254">
      <c r="B254" s="907"/>
      <c r="C254" s="907"/>
    </row>
    <row r="255">
      <c r="B255" s="907"/>
      <c r="C255" s="907"/>
    </row>
    <row r="256">
      <c r="B256" s="907"/>
      <c r="C256" s="907"/>
    </row>
    <row r="257">
      <c r="B257" s="907"/>
      <c r="C257" s="907"/>
    </row>
    <row r="258">
      <c r="B258" s="907"/>
      <c r="C258" s="907"/>
    </row>
    <row r="259">
      <c r="B259" s="907"/>
      <c r="C259" s="907"/>
    </row>
    <row r="260">
      <c r="B260" s="907"/>
      <c r="C260" s="907"/>
    </row>
    <row r="261">
      <c r="B261" s="907"/>
      <c r="C261" s="907"/>
    </row>
    <row r="262">
      <c r="B262" s="907"/>
      <c r="C262" s="907"/>
    </row>
    <row r="263">
      <c r="B263" s="907"/>
      <c r="C263" s="907"/>
    </row>
    <row r="264">
      <c r="B264" s="907"/>
      <c r="C264" s="907"/>
    </row>
    <row r="265">
      <c r="B265" s="907"/>
      <c r="C265" s="907"/>
    </row>
    <row r="266">
      <c r="B266" s="907"/>
      <c r="C266" s="907"/>
    </row>
    <row r="267">
      <c r="B267" s="907"/>
      <c r="C267" s="907"/>
    </row>
    <row r="268">
      <c r="B268" s="907"/>
      <c r="C268" s="907"/>
    </row>
    <row r="269">
      <c r="B269" s="907"/>
      <c r="C269" s="907"/>
    </row>
    <row r="270">
      <c r="B270" s="907"/>
      <c r="C270" s="907"/>
    </row>
    <row r="271">
      <c r="B271" s="907"/>
      <c r="C271" s="907"/>
    </row>
    <row r="272">
      <c r="B272" s="907"/>
      <c r="C272" s="907"/>
    </row>
    <row r="273">
      <c r="B273" s="907"/>
      <c r="C273" s="907"/>
    </row>
    <row r="274">
      <c r="B274" s="907"/>
      <c r="C274" s="907"/>
    </row>
    <row r="275">
      <c r="B275" s="907"/>
      <c r="C275" s="907"/>
    </row>
    <row r="276">
      <c r="B276" s="907"/>
      <c r="C276" s="907"/>
    </row>
    <row r="277">
      <c r="B277" s="907"/>
      <c r="C277" s="907"/>
    </row>
    <row r="278">
      <c r="B278" s="907"/>
      <c r="C278" s="907"/>
    </row>
    <row r="279">
      <c r="B279" s="907"/>
      <c r="C279" s="907"/>
    </row>
    <row r="280">
      <c r="B280" s="907"/>
      <c r="C280" s="907"/>
    </row>
    <row r="281">
      <c r="B281" s="907"/>
      <c r="C281" s="907"/>
    </row>
    <row r="282">
      <c r="B282" s="907"/>
      <c r="C282" s="907"/>
    </row>
    <row r="283">
      <c r="B283" s="907"/>
      <c r="C283" s="907"/>
    </row>
    <row r="284">
      <c r="B284" s="907"/>
      <c r="C284" s="907"/>
    </row>
    <row r="285">
      <c r="B285" s="907"/>
      <c r="C285" s="907"/>
    </row>
    <row r="286">
      <c r="B286" s="907"/>
      <c r="C286" s="907"/>
    </row>
    <row r="287">
      <c r="B287" s="907"/>
      <c r="C287" s="907"/>
    </row>
    <row r="288">
      <c r="B288" s="907"/>
      <c r="C288" s="907"/>
    </row>
    <row r="289">
      <c r="B289" s="907"/>
      <c r="C289" s="907"/>
    </row>
    <row r="290">
      <c r="B290" s="907"/>
      <c r="C290" s="907"/>
    </row>
    <row r="291">
      <c r="B291" s="907"/>
      <c r="C291" s="907"/>
    </row>
    <row r="292">
      <c r="B292" s="907"/>
      <c r="C292" s="907"/>
    </row>
    <row r="293">
      <c r="B293" s="907"/>
      <c r="C293" s="907"/>
    </row>
    <row r="294">
      <c r="B294" s="907"/>
      <c r="C294" s="907"/>
    </row>
    <row r="295">
      <c r="B295" s="907"/>
      <c r="C295" s="907"/>
    </row>
    <row r="296">
      <c r="B296" s="907"/>
      <c r="C296" s="907"/>
    </row>
    <row r="297">
      <c r="B297" s="907"/>
      <c r="C297" s="907"/>
    </row>
    <row r="298">
      <c r="B298" s="907"/>
      <c r="C298" s="907"/>
    </row>
    <row r="299">
      <c r="B299" s="907"/>
      <c r="C299" s="907"/>
    </row>
    <row r="300">
      <c r="B300" s="907"/>
      <c r="C300" s="907"/>
    </row>
    <row r="301">
      <c r="B301" s="907"/>
      <c r="C301" s="907"/>
    </row>
    <row r="302">
      <c r="B302" s="907"/>
      <c r="C302" s="907"/>
    </row>
    <row r="303">
      <c r="B303" s="907"/>
      <c r="C303" s="907"/>
    </row>
    <row r="304">
      <c r="B304" s="907"/>
      <c r="C304" s="907"/>
    </row>
    <row r="305">
      <c r="B305" s="907"/>
      <c r="C305" s="907"/>
    </row>
    <row r="306">
      <c r="B306" s="907"/>
      <c r="C306" s="907"/>
    </row>
    <row r="307">
      <c r="B307" s="907"/>
      <c r="C307" s="907"/>
    </row>
    <row r="308">
      <c r="B308" s="907"/>
      <c r="C308" s="907"/>
    </row>
    <row r="309">
      <c r="B309" s="907"/>
      <c r="C309" s="907"/>
    </row>
    <row r="310">
      <c r="B310" s="907"/>
      <c r="C310" s="907"/>
    </row>
    <row r="311">
      <c r="B311" s="907"/>
      <c r="C311" s="907"/>
    </row>
    <row r="312">
      <c r="B312" s="907"/>
      <c r="C312" s="907"/>
    </row>
    <row r="313">
      <c r="B313" s="907"/>
      <c r="C313" s="907"/>
    </row>
    <row r="314">
      <c r="B314" s="907"/>
      <c r="C314" s="907"/>
    </row>
    <row r="315">
      <c r="B315" s="907"/>
      <c r="C315" s="907"/>
    </row>
    <row r="316">
      <c r="B316" s="907"/>
      <c r="C316" s="907"/>
    </row>
    <row r="317">
      <c r="B317" s="907"/>
      <c r="C317" s="907"/>
    </row>
    <row r="318">
      <c r="B318" s="907"/>
      <c r="C318" s="907"/>
    </row>
    <row r="319">
      <c r="B319" s="907"/>
      <c r="C319" s="907"/>
    </row>
    <row r="320">
      <c r="B320" s="907"/>
      <c r="C320" s="907"/>
    </row>
    <row r="321">
      <c r="B321" s="907"/>
      <c r="C321" s="907"/>
    </row>
    <row r="322">
      <c r="B322" s="907"/>
      <c r="C322" s="907"/>
    </row>
    <row r="323">
      <c r="B323" s="907"/>
      <c r="C323" s="907"/>
    </row>
    <row r="324">
      <c r="B324" s="907"/>
      <c r="C324" s="907"/>
    </row>
    <row r="325">
      <c r="B325" s="907"/>
      <c r="C325" s="907"/>
    </row>
    <row r="326">
      <c r="B326" s="907"/>
      <c r="C326" s="907"/>
    </row>
    <row r="327">
      <c r="B327" s="907"/>
      <c r="C327" s="907"/>
    </row>
    <row r="328">
      <c r="B328" s="907"/>
      <c r="C328" s="907"/>
    </row>
    <row r="329">
      <c r="B329" s="907"/>
      <c r="C329" s="907"/>
    </row>
    <row r="330">
      <c r="B330" s="907"/>
      <c r="C330" s="907"/>
    </row>
    <row r="331">
      <c r="B331" s="907"/>
      <c r="C331" s="907"/>
    </row>
    <row r="332">
      <c r="B332" s="907"/>
      <c r="C332" s="907"/>
    </row>
    <row r="333">
      <c r="B333" s="907"/>
      <c r="C333" s="907"/>
    </row>
    <row r="334">
      <c r="B334" s="907"/>
      <c r="C334" s="907"/>
    </row>
    <row r="335">
      <c r="B335" s="907"/>
      <c r="C335" s="907"/>
    </row>
    <row r="336">
      <c r="B336" s="907"/>
      <c r="C336" s="907"/>
    </row>
    <row r="337">
      <c r="B337" s="907"/>
      <c r="C337" s="907"/>
    </row>
    <row r="338">
      <c r="B338" s="907"/>
      <c r="C338" s="907"/>
    </row>
    <row r="339">
      <c r="B339" s="907"/>
      <c r="C339" s="907"/>
    </row>
    <row r="340">
      <c r="B340" s="907"/>
      <c r="C340" s="907"/>
    </row>
    <row r="341">
      <c r="B341" s="907"/>
      <c r="C341" s="907"/>
    </row>
    <row r="342">
      <c r="B342" s="907"/>
      <c r="C342" s="907"/>
    </row>
    <row r="343">
      <c r="B343" s="907"/>
      <c r="C343" s="907"/>
    </row>
    <row r="344">
      <c r="B344" s="907"/>
      <c r="C344" s="907"/>
    </row>
    <row r="345">
      <c r="B345" s="907"/>
      <c r="C345" s="907"/>
    </row>
    <row r="346">
      <c r="B346" s="907"/>
      <c r="C346" s="907"/>
    </row>
    <row r="347">
      <c r="B347" s="907"/>
      <c r="C347" s="907"/>
    </row>
    <row r="348">
      <c r="B348" s="907"/>
      <c r="C348" s="907"/>
    </row>
    <row r="349">
      <c r="B349" s="907"/>
      <c r="C349" s="907"/>
    </row>
    <row r="350">
      <c r="B350" s="907"/>
      <c r="C350" s="907"/>
    </row>
    <row r="351">
      <c r="B351" s="907"/>
      <c r="C351" s="907"/>
    </row>
    <row r="352">
      <c r="B352" s="907"/>
      <c r="C352" s="907"/>
    </row>
    <row r="353">
      <c r="B353" s="907"/>
      <c r="C353" s="907"/>
    </row>
    <row r="354">
      <c r="B354" s="907"/>
      <c r="C354" s="907"/>
    </row>
    <row r="355">
      <c r="B355" s="907"/>
      <c r="C355" s="907"/>
    </row>
    <row r="356">
      <c r="B356" s="907"/>
      <c r="C356" s="907"/>
    </row>
    <row r="357">
      <c r="B357" s="907"/>
      <c r="C357" s="907"/>
    </row>
    <row r="358">
      <c r="B358" s="907"/>
      <c r="C358" s="907"/>
    </row>
    <row r="359">
      <c r="B359" s="907"/>
      <c r="C359" s="907"/>
    </row>
    <row r="360">
      <c r="B360" s="907"/>
      <c r="C360" s="907"/>
    </row>
    <row r="361">
      <c r="B361" s="907"/>
      <c r="C361" s="907"/>
    </row>
    <row r="362">
      <c r="B362" s="907"/>
      <c r="C362" s="907"/>
    </row>
    <row r="363">
      <c r="B363" s="907"/>
      <c r="C363" s="907"/>
    </row>
    <row r="364">
      <c r="B364" s="907"/>
      <c r="C364" s="907"/>
    </row>
    <row r="365">
      <c r="B365" s="907"/>
      <c r="C365" s="907"/>
    </row>
    <row r="366">
      <c r="B366" s="907"/>
      <c r="C366" s="907"/>
    </row>
    <row r="367">
      <c r="B367" s="907"/>
      <c r="C367" s="907"/>
    </row>
    <row r="368">
      <c r="B368" s="907"/>
      <c r="C368" s="907"/>
    </row>
    <row r="369">
      <c r="B369" s="907"/>
      <c r="C369" s="907"/>
    </row>
    <row r="370">
      <c r="B370" s="907"/>
      <c r="C370" s="907"/>
    </row>
    <row r="371">
      <c r="B371" s="907"/>
      <c r="C371" s="907"/>
    </row>
    <row r="372">
      <c r="B372" s="907"/>
      <c r="C372" s="907"/>
    </row>
    <row r="373">
      <c r="B373" s="907"/>
      <c r="C373" s="907"/>
    </row>
    <row r="374">
      <c r="B374" s="907"/>
      <c r="C374" s="907"/>
    </row>
    <row r="375">
      <c r="B375" s="907"/>
      <c r="C375" s="907"/>
    </row>
    <row r="376">
      <c r="B376" s="907"/>
      <c r="C376" s="907"/>
    </row>
    <row r="377">
      <c r="B377" s="907"/>
      <c r="C377" s="907"/>
    </row>
    <row r="378">
      <c r="B378" s="907"/>
      <c r="C378" s="907"/>
    </row>
    <row r="379">
      <c r="B379" s="907"/>
      <c r="C379" s="907"/>
    </row>
    <row r="380">
      <c r="B380" s="907"/>
      <c r="C380" s="907"/>
    </row>
    <row r="381">
      <c r="B381" s="907"/>
      <c r="C381" s="907"/>
    </row>
    <row r="382">
      <c r="B382" s="907"/>
      <c r="C382" s="907"/>
    </row>
    <row r="383">
      <c r="B383" s="907"/>
      <c r="C383" s="907"/>
    </row>
    <row r="384">
      <c r="B384" s="907"/>
      <c r="C384" s="907"/>
    </row>
    <row r="385">
      <c r="B385" s="907"/>
      <c r="C385" s="907"/>
    </row>
    <row r="386">
      <c r="B386" s="907"/>
      <c r="C386" s="907"/>
    </row>
    <row r="387">
      <c r="B387" s="907"/>
      <c r="C387" s="907"/>
    </row>
    <row r="388">
      <c r="B388" s="907"/>
      <c r="C388" s="907"/>
    </row>
    <row r="389">
      <c r="B389" s="907"/>
      <c r="C389" s="907"/>
    </row>
    <row r="390">
      <c r="B390" s="907"/>
      <c r="C390" s="907"/>
    </row>
    <row r="391">
      <c r="B391" s="907"/>
      <c r="C391" s="907"/>
    </row>
    <row r="392">
      <c r="B392" s="907"/>
      <c r="C392" s="907"/>
    </row>
    <row r="393">
      <c r="B393" s="907"/>
      <c r="C393" s="907"/>
    </row>
    <row r="394">
      <c r="B394" s="907"/>
      <c r="C394" s="907"/>
    </row>
    <row r="395">
      <c r="B395" s="907"/>
      <c r="C395" s="907"/>
    </row>
    <row r="396">
      <c r="B396" s="907"/>
      <c r="C396" s="907"/>
    </row>
    <row r="397">
      <c r="B397" s="907"/>
      <c r="C397" s="907"/>
    </row>
    <row r="398">
      <c r="B398" s="907"/>
      <c r="C398" s="907"/>
    </row>
    <row r="399">
      <c r="B399" s="907"/>
      <c r="C399" s="907"/>
    </row>
    <row r="400">
      <c r="B400" s="907"/>
      <c r="C400" s="907"/>
    </row>
    <row r="401">
      <c r="B401" s="907"/>
      <c r="C401" s="907"/>
    </row>
    <row r="402">
      <c r="B402" s="907"/>
      <c r="C402" s="907"/>
    </row>
    <row r="403">
      <c r="B403" s="907"/>
      <c r="C403" s="907"/>
    </row>
    <row r="404">
      <c r="B404" s="907"/>
      <c r="C404" s="907"/>
    </row>
    <row r="405">
      <c r="B405" s="907"/>
      <c r="C405" s="907"/>
    </row>
    <row r="406">
      <c r="B406" s="907"/>
      <c r="C406" s="907"/>
    </row>
    <row r="407">
      <c r="B407" s="907"/>
      <c r="C407" s="907"/>
    </row>
    <row r="408">
      <c r="B408" s="907"/>
      <c r="C408" s="907"/>
    </row>
    <row r="409">
      <c r="B409" s="907"/>
      <c r="C409" s="907"/>
    </row>
    <row r="410">
      <c r="B410" s="907"/>
      <c r="C410" s="907"/>
    </row>
    <row r="411">
      <c r="B411" s="907"/>
      <c r="C411" s="907"/>
    </row>
    <row r="412">
      <c r="B412" s="907"/>
      <c r="C412" s="907"/>
    </row>
    <row r="413">
      <c r="B413" s="907"/>
      <c r="C413" s="907"/>
    </row>
    <row r="414">
      <c r="B414" s="907"/>
      <c r="C414" s="907"/>
    </row>
    <row r="415">
      <c r="B415" s="907"/>
      <c r="C415" s="907"/>
    </row>
    <row r="416">
      <c r="B416" s="907"/>
      <c r="C416" s="907"/>
    </row>
    <row r="417">
      <c r="B417" s="907"/>
      <c r="C417" s="907"/>
    </row>
    <row r="418">
      <c r="B418" s="907"/>
      <c r="C418" s="907"/>
    </row>
    <row r="419">
      <c r="B419" s="907"/>
      <c r="C419" s="907"/>
    </row>
    <row r="420">
      <c r="B420" s="907"/>
      <c r="C420" s="907"/>
    </row>
    <row r="421">
      <c r="B421" s="907"/>
      <c r="C421" s="907"/>
    </row>
    <row r="422">
      <c r="B422" s="907"/>
      <c r="C422" s="907"/>
    </row>
    <row r="423">
      <c r="B423" s="907"/>
      <c r="C423" s="907"/>
    </row>
    <row r="424">
      <c r="B424" s="907"/>
      <c r="C424" s="907"/>
    </row>
    <row r="425">
      <c r="B425" s="907"/>
      <c r="C425" s="907"/>
    </row>
    <row r="426">
      <c r="B426" s="907"/>
      <c r="C426" s="907"/>
    </row>
    <row r="427">
      <c r="B427" s="907"/>
      <c r="C427" s="907"/>
    </row>
    <row r="428">
      <c r="B428" s="907"/>
      <c r="C428" s="907"/>
    </row>
    <row r="429">
      <c r="B429" s="907"/>
      <c r="C429" s="907"/>
    </row>
    <row r="430">
      <c r="B430" s="907"/>
      <c r="C430" s="907"/>
    </row>
    <row r="431">
      <c r="B431" s="907"/>
      <c r="C431" s="907"/>
    </row>
    <row r="432">
      <c r="B432" s="907"/>
      <c r="C432" s="907"/>
    </row>
    <row r="433">
      <c r="B433" s="907"/>
      <c r="C433" s="907"/>
    </row>
    <row r="434">
      <c r="B434" s="907"/>
      <c r="C434" s="907"/>
    </row>
    <row r="435">
      <c r="B435" s="907"/>
      <c r="C435" s="907"/>
    </row>
    <row r="436">
      <c r="B436" s="907"/>
      <c r="C436" s="907"/>
    </row>
    <row r="437">
      <c r="B437" s="907"/>
      <c r="C437" s="907"/>
    </row>
    <row r="438">
      <c r="B438" s="907"/>
      <c r="C438" s="907"/>
    </row>
    <row r="439">
      <c r="B439" s="907"/>
      <c r="C439" s="907"/>
    </row>
    <row r="440">
      <c r="B440" s="907"/>
      <c r="C440" s="907"/>
    </row>
    <row r="441">
      <c r="B441" s="907"/>
      <c r="C441" s="907"/>
    </row>
    <row r="442">
      <c r="B442" s="907"/>
      <c r="C442" s="907"/>
    </row>
    <row r="443">
      <c r="B443" s="907"/>
      <c r="C443" s="907"/>
    </row>
    <row r="444">
      <c r="B444" s="907"/>
      <c r="C444" s="907"/>
    </row>
    <row r="445">
      <c r="B445" s="907"/>
      <c r="C445" s="907"/>
    </row>
    <row r="446">
      <c r="B446" s="907"/>
      <c r="C446" s="907"/>
    </row>
    <row r="447">
      <c r="B447" s="907"/>
      <c r="C447" s="907"/>
    </row>
    <row r="448">
      <c r="B448" s="907"/>
      <c r="C448" s="907"/>
    </row>
    <row r="449">
      <c r="B449" s="907"/>
      <c r="C449" s="907"/>
    </row>
    <row r="450">
      <c r="B450" s="907"/>
      <c r="C450" s="907"/>
    </row>
    <row r="451">
      <c r="B451" s="907"/>
      <c r="C451" s="907"/>
    </row>
    <row r="452">
      <c r="B452" s="907"/>
      <c r="C452" s="907"/>
    </row>
    <row r="453">
      <c r="B453" s="907"/>
      <c r="C453" s="907"/>
    </row>
    <row r="454">
      <c r="B454" s="907"/>
      <c r="C454" s="907"/>
    </row>
    <row r="455">
      <c r="B455" s="907"/>
      <c r="C455" s="907"/>
    </row>
    <row r="456">
      <c r="B456" s="907"/>
      <c r="C456" s="907"/>
    </row>
    <row r="457">
      <c r="B457" s="907"/>
      <c r="C457" s="907"/>
    </row>
    <row r="458">
      <c r="B458" s="907"/>
      <c r="C458" s="907"/>
    </row>
    <row r="459">
      <c r="B459" s="907"/>
      <c r="C459" s="907"/>
    </row>
    <row r="460">
      <c r="B460" s="907"/>
      <c r="C460" s="907"/>
    </row>
    <row r="461">
      <c r="B461" s="907"/>
      <c r="C461" s="907"/>
    </row>
    <row r="462">
      <c r="B462" s="907"/>
      <c r="C462" s="907"/>
    </row>
    <row r="463">
      <c r="B463" s="907"/>
      <c r="C463" s="907"/>
    </row>
    <row r="464">
      <c r="B464" s="907"/>
      <c r="C464" s="907"/>
    </row>
    <row r="465">
      <c r="B465" s="907"/>
      <c r="C465" s="907"/>
    </row>
    <row r="466">
      <c r="B466" s="907"/>
      <c r="C466" s="907"/>
    </row>
    <row r="467">
      <c r="B467" s="907"/>
      <c r="C467" s="907"/>
    </row>
    <row r="468">
      <c r="B468" s="907"/>
      <c r="C468" s="907"/>
    </row>
    <row r="469">
      <c r="B469" s="907"/>
      <c r="C469" s="907"/>
    </row>
    <row r="470">
      <c r="B470" s="907"/>
      <c r="C470" s="907"/>
    </row>
    <row r="471">
      <c r="B471" s="907"/>
      <c r="C471" s="907"/>
    </row>
    <row r="472">
      <c r="B472" s="907"/>
      <c r="C472" s="907"/>
    </row>
    <row r="473">
      <c r="B473" s="907"/>
      <c r="C473" s="907"/>
    </row>
    <row r="474">
      <c r="B474" s="907"/>
      <c r="C474" s="907"/>
    </row>
    <row r="475">
      <c r="B475" s="907"/>
      <c r="C475" s="907"/>
    </row>
    <row r="476">
      <c r="B476" s="907"/>
      <c r="C476" s="907"/>
    </row>
    <row r="477">
      <c r="B477" s="907"/>
      <c r="C477" s="907"/>
    </row>
    <row r="478">
      <c r="B478" s="907"/>
      <c r="C478" s="907"/>
    </row>
    <row r="479">
      <c r="B479" s="907"/>
      <c r="C479" s="907"/>
    </row>
    <row r="480">
      <c r="B480" s="907"/>
      <c r="C480" s="907"/>
    </row>
    <row r="481">
      <c r="B481" s="907"/>
      <c r="C481" s="907"/>
    </row>
    <row r="482">
      <c r="B482" s="907"/>
      <c r="C482" s="907"/>
    </row>
    <row r="483">
      <c r="B483" s="907"/>
      <c r="C483" s="907"/>
    </row>
    <row r="484">
      <c r="B484" s="907"/>
      <c r="C484" s="907"/>
    </row>
    <row r="485">
      <c r="B485" s="907"/>
      <c r="C485" s="907"/>
    </row>
    <row r="486">
      <c r="B486" s="907"/>
      <c r="C486" s="907"/>
    </row>
    <row r="487">
      <c r="B487" s="907"/>
      <c r="C487" s="907"/>
    </row>
    <row r="488">
      <c r="B488" s="907"/>
      <c r="C488" s="907"/>
    </row>
    <row r="489">
      <c r="B489" s="907"/>
      <c r="C489" s="907"/>
    </row>
    <row r="490">
      <c r="B490" s="907"/>
      <c r="C490" s="907"/>
    </row>
    <row r="491">
      <c r="B491" s="907"/>
      <c r="C491" s="907"/>
    </row>
    <row r="492">
      <c r="B492" s="907"/>
      <c r="C492" s="907"/>
    </row>
    <row r="493">
      <c r="B493" s="907"/>
      <c r="C493" s="907"/>
    </row>
    <row r="494">
      <c r="B494" s="907"/>
      <c r="C494" s="907"/>
    </row>
    <row r="495">
      <c r="B495" s="907"/>
      <c r="C495" s="907"/>
    </row>
    <row r="496">
      <c r="B496" s="907"/>
      <c r="C496" s="907"/>
    </row>
    <row r="497">
      <c r="B497" s="907"/>
      <c r="C497" s="907"/>
    </row>
    <row r="498">
      <c r="B498" s="907"/>
      <c r="C498" s="907"/>
    </row>
    <row r="499">
      <c r="B499" s="907"/>
      <c r="C499" s="907"/>
    </row>
    <row r="500">
      <c r="B500" s="907"/>
      <c r="C500" s="907"/>
    </row>
    <row r="501">
      <c r="B501" s="907"/>
      <c r="C501" s="907"/>
    </row>
    <row r="502">
      <c r="B502" s="907"/>
      <c r="C502" s="907"/>
    </row>
    <row r="503">
      <c r="B503" s="907"/>
      <c r="C503" s="907"/>
    </row>
    <row r="504">
      <c r="B504" s="907"/>
      <c r="C504" s="907"/>
    </row>
    <row r="505">
      <c r="B505" s="907"/>
      <c r="C505" s="907"/>
    </row>
    <row r="506">
      <c r="B506" s="907"/>
      <c r="C506" s="907"/>
    </row>
    <row r="507">
      <c r="B507" s="907"/>
      <c r="C507" s="907"/>
    </row>
    <row r="508">
      <c r="B508" s="907"/>
      <c r="C508" s="907"/>
    </row>
    <row r="509">
      <c r="B509" s="907"/>
      <c r="C509" s="907"/>
    </row>
    <row r="510">
      <c r="B510" s="907"/>
      <c r="C510" s="907"/>
    </row>
    <row r="511">
      <c r="B511" s="907"/>
      <c r="C511" s="907"/>
    </row>
    <row r="512">
      <c r="B512" s="907"/>
      <c r="C512" s="907"/>
    </row>
    <row r="513">
      <c r="B513" s="907"/>
      <c r="C513" s="907"/>
    </row>
    <row r="514">
      <c r="B514" s="907"/>
      <c r="C514" s="907"/>
    </row>
    <row r="515">
      <c r="B515" s="907"/>
      <c r="C515" s="907"/>
    </row>
    <row r="516">
      <c r="B516" s="907"/>
      <c r="C516" s="907"/>
    </row>
    <row r="517">
      <c r="B517" s="907"/>
      <c r="C517" s="907"/>
    </row>
    <row r="518">
      <c r="B518" s="907"/>
      <c r="C518" s="907"/>
    </row>
    <row r="519">
      <c r="B519" s="907"/>
      <c r="C519" s="907"/>
    </row>
    <row r="520">
      <c r="B520" s="907"/>
      <c r="C520" s="907"/>
    </row>
    <row r="521">
      <c r="B521" s="907"/>
      <c r="C521" s="907"/>
    </row>
    <row r="522">
      <c r="B522" s="907"/>
      <c r="C522" s="907"/>
    </row>
    <row r="523">
      <c r="B523" s="907"/>
      <c r="C523" s="907"/>
    </row>
    <row r="524">
      <c r="B524" s="907"/>
      <c r="C524" s="907"/>
    </row>
    <row r="525">
      <c r="B525" s="907"/>
      <c r="C525" s="907"/>
    </row>
    <row r="526">
      <c r="B526" s="907"/>
      <c r="C526" s="907"/>
    </row>
    <row r="527">
      <c r="B527" s="907"/>
      <c r="C527" s="907"/>
    </row>
    <row r="528">
      <c r="B528" s="907"/>
      <c r="C528" s="907"/>
    </row>
    <row r="529">
      <c r="B529" s="907"/>
      <c r="C529" s="907"/>
    </row>
    <row r="530">
      <c r="B530" s="907"/>
      <c r="C530" s="907"/>
    </row>
    <row r="531">
      <c r="B531" s="907"/>
      <c r="C531" s="907"/>
    </row>
    <row r="532">
      <c r="B532" s="907"/>
      <c r="C532" s="907"/>
    </row>
    <row r="533">
      <c r="B533" s="907"/>
      <c r="C533" s="907"/>
    </row>
    <row r="534">
      <c r="B534" s="907"/>
      <c r="C534" s="907"/>
    </row>
    <row r="535">
      <c r="B535" s="907"/>
      <c r="C535" s="907"/>
    </row>
    <row r="536">
      <c r="B536" s="907"/>
      <c r="C536" s="907"/>
    </row>
    <row r="537">
      <c r="B537" s="907"/>
      <c r="C537" s="907"/>
    </row>
    <row r="538">
      <c r="B538" s="907"/>
      <c r="C538" s="907"/>
    </row>
    <row r="539">
      <c r="B539" s="907"/>
      <c r="C539" s="907"/>
    </row>
    <row r="540">
      <c r="B540" s="907"/>
      <c r="C540" s="907"/>
    </row>
    <row r="541">
      <c r="B541" s="907"/>
      <c r="C541" s="907"/>
    </row>
    <row r="542">
      <c r="B542" s="907"/>
      <c r="C542" s="907"/>
    </row>
    <row r="543">
      <c r="B543" s="907"/>
      <c r="C543" s="907"/>
    </row>
    <row r="544">
      <c r="B544" s="907"/>
      <c r="C544" s="907"/>
    </row>
    <row r="545">
      <c r="B545" s="907"/>
      <c r="C545" s="907"/>
    </row>
    <row r="546">
      <c r="B546" s="907"/>
      <c r="C546" s="907"/>
    </row>
    <row r="547">
      <c r="B547" s="907"/>
      <c r="C547" s="907"/>
    </row>
    <row r="548">
      <c r="B548" s="907"/>
      <c r="C548" s="907"/>
    </row>
    <row r="549">
      <c r="B549" s="907"/>
      <c r="C549" s="907"/>
    </row>
    <row r="550">
      <c r="B550" s="907"/>
      <c r="C550" s="907"/>
    </row>
    <row r="551">
      <c r="B551" s="907"/>
      <c r="C551" s="907"/>
    </row>
    <row r="552">
      <c r="B552" s="907"/>
      <c r="C552" s="907"/>
    </row>
    <row r="553">
      <c r="B553" s="907"/>
      <c r="C553" s="907"/>
    </row>
    <row r="554">
      <c r="B554" s="907"/>
      <c r="C554" s="907"/>
    </row>
    <row r="555">
      <c r="B555" s="907"/>
      <c r="C555" s="907"/>
    </row>
    <row r="556">
      <c r="B556" s="907"/>
      <c r="C556" s="907"/>
    </row>
    <row r="557">
      <c r="B557" s="907"/>
      <c r="C557" s="907"/>
    </row>
    <row r="558">
      <c r="B558" s="907"/>
      <c r="C558" s="907"/>
    </row>
    <row r="559">
      <c r="B559" s="907"/>
      <c r="C559" s="907"/>
    </row>
    <row r="560">
      <c r="B560" s="907"/>
      <c r="C560" s="907"/>
    </row>
    <row r="561">
      <c r="B561" s="907"/>
      <c r="C561" s="907"/>
    </row>
    <row r="562">
      <c r="B562" s="907"/>
      <c r="C562" s="907"/>
    </row>
    <row r="563">
      <c r="B563" s="907"/>
      <c r="C563" s="907"/>
    </row>
    <row r="564">
      <c r="B564" s="907"/>
      <c r="C564" s="907"/>
    </row>
    <row r="565">
      <c r="B565" s="907"/>
      <c r="C565" s="907"/>
    </row>
    <row r="566">
      <c r="B566" s="907"/>
      <c r="C566" s="907"/>
    </row>
    <row r="567">
      <c r="B567" s="907"/>
      <c r="C567" s="907"/>
    </row>
    <row r="568">
      <c r="B568" s="907"/>
      <c r="C568" s="907"/>
    </row>
    <row r="569">
      <c r="B569" s="907"/>
      <c r="C569" s="907"/>
    </row>
    <row r="570">
      <c r="B570" s="907"/>
      <c r="C570" s="907"/>
    </row>
    <row r="571">
      <c r="B571" s="907"/>
      <c r="C571" s="907"/>
    </row>
    <row r="572">
      <c r="B572" s="907"/>
      <c r="C572" s="907"/>
    </row>
    <row r="573">
      <c r="B573" s="907"/>
      <c r="C573" s="907"/>
    </row>
    <row r="574">
      <c r="B574" s="907"/>
      <c r="C574" s="907"/>
    </row>
    <row r="575">
      <c r="B575" s="907"/>
      <c r="C575" s="907"/>
    </row>
    <row r="576">
      <c r="B576" s="907"/>
      <c r="C576" s="907"/>
    </row>
    <row r="577">
      <c r="B577" s="907"/>
      <c r="C577" s="907"/>
    </row>
    <row r="578">
      <c r="B578" s="907"/>
      <c r="C578" s="907"/>
    </row>
    <row r="579">
      <c r="B579" s="907"/>
      <c r="C579" s="907"/>
    </row>
    <row r="580">
      <c r="B580" s="907"/>
      <c r="C580" s="907"/>
    </row>
    <row r="581">
      <c r="B581" s="907"/>
      <c r="C581" s="907"/>
    </row>
    <row r="582">
      <c r="B582" s="907"/>
      <c r="C582" s="907"/>
    </row>
    <row r="583">
      <c r="B583" s="907"/>
      <c r="C583" s="907"/>
    </row>
    <row r="584">
      <c r="B584" s="907"/>
      <c r="C584" s="907"/>
    </row>
    <row r="585">
      <c r="B585" s="907"/>
      <c r="C585" s="907"/>
    </row>
    <row r="586">
      <c r="B586" s="907"/>
      <c r="C586" s="907"/>
    </row>
    <row r="587">
      <c r="B587" s="907"/>
      <c r="C587" s="907"/>
    </row>
    <row r="588">
      <c r="B588" s="907"/>
      <c r="C588" s="907"/>
    </row>
    <row r="589">
      <c r="B589" s="907"/>
      <c r="C589" s="907"/>
    </row>
    <row r="590">
      <c r="B590" s="907"/>
      <c r="C590" s="907"/>
    </row>
    <row r="591">
      <c r="B591" s="907"/>
      <c r="C591" s="907"/>
    </row>
    <row r="592">
      <c r="B592" s="907"/>
      <c r="C592" s="907"/>
    </row>
    <row r="593">
      <c r="B593" s="907"/>
      <c r="C593" s="907"/>
    </row>
    <row r="594">
      <c r="B594" s="907"/>
      <c r="C594" s="907"/>
    </row>
    <row r="595">
      <c r="B595" s="907"/>
      <c r="C595" s="907"/>
    </row>
    <row r="596">
      <c r="B596" s="907"/>
      <c r="C596" s="907"/>
    </row>
    <row r="597">
      <c r="B597" s="907"/>
      <c r="C597" s="907"/>
    </row>
    <row r="598">
      <c r="B598" s="907"/>
      <c r="C598" s="907"/>
    </row>
    <row r="599">
      <c r="B599" s="907"/>
      <c r="C599" s="907"/>
    </row>
    <row r="600">
      <c r="B600" s="907"/>
      <c r="C600" s="907"/>
    </row>
    <row r="601">
      <c r="B601" s="907"/>
      <c r="C601" s="907"/>
    </row>
    <row r="602">
      <c r="B602" s="907"/>
      <c r="C602" s="907"/>
    </row>
    <row r="603">
      <c r="B603" s="907"/>
      <c r="C603" s="907"/>
    </row>
    <row r="604">
      <c r="B604" s="907"/>
      <c r="C604" s="907"/>
    </row>
    <row r="605">
      <c r="B605" s="907"/>
      <c r="C605" s="907"/>
    </row>
    <row r="606">
      <c r="B606" s="907"/>
      <c r="C606" s="907"/>
    </row>
    <row r="607">
      <c r="B607" s="907"/>
      <c r="C607" s="907"/>
    </row>
    <row r="608">
      <c r="B608" s="907"/>
      <c r="C608" s="907"/>
    </row>
    <row r="609">
      <c r="B609" s="907"/>
      <c r="C609" s="907"/>
    </row>
    <row r="610">
      <c r="B610" s="907"/>
      <c r="C610" s="907"/>
    </row>
    <row r="611">
      <c r="B611" s="907"/>
      <c r="C611" s="907"/>
    </row>
    <row r="612">
      <c r="B612" s="907"/>
      <c r="C612" s="907"/>
    </row>
    <row r="613">
      <c r="B613" s="907"/>
      <c r="C613" s="907"/>
    </row>
    <row r="614">
      <c r="B614" s="907"/>
      <c r="C614" s="907"/>
    </row>
    <row r="615">
      <c r="B615" s="907"/>
      <c r="C615" s="907"/>
    </row>
    <row r="616">
      <c r="B616" s="907"/>
      <c r="C616" s="907"/>
    </row>
    <row r="617">
      <c r="B617" s="907"/>
      <c r="C617" s="907"/>
    </row>
    <row r="618">
      <c r="B618" s="907"/>
      <c r="C618" s="907"/>
    </row>
    <row r="619">
      <c r="B619" s="907"/>
      <c r="C619" s="907"/>
    </row>
    <row r="620">
      <c r="B620" s="907"/>
      <c r="C620" s="907"/>
    </row>
    <row r="621">
      <c r="B621" s="907"/>
      <c r="C621" s="907"/>
    </row>
    <row r="622">
      <c r="B622" s="907"/>
      <c r="C622" s="907"/>
    </row>
    <row r="623">
      <c r="B623" s="907"/>
      <c r="C623" s="907"/>
    </row>
    <row r="624">
      <c r="B624" s="907"/>
      <c r="C624" s="907"/>
    </row>
    <row r="625">
      <c r="B625" s="907"/>
      <c r="C625" s="907"/>
    </row>
    <row r="626">
      <c r="B626" s="907"/>
      <c r="C626" s="907"/>
    </row>
    <row r="627">
      <c r="B627" s="907"/>
      <c r="C627" s="907"/>
    </row>
    <row r="628">
      <c r="B628" s="907"/>
      <c r="C628" s="907"/>
    </row>
    <row r="629">
      <c r="B629" s="907"/>
      <c r="C629" s="907"/>
    </row>
    <row r="630">
      <c r="B630" s="907"/>
      <c r="C630" s="907"/>
    </row>
    <row r="631">
      <c r="B631" s="907"/>
      <c r="C631" s="907"/>
    </row>
    <row r="632">
      <c r="B632" s="907"/>
      <c r="C632" s="907"/>
    </row>
    <row r="633">
      <c r="B633" s="907"/>
      <c r="C633" s="907"/>
    </row>
    <row r="634">
      <c r="B634" s="907"/>
      <c r="C634" s="907"/>
    </row>
    <row r="635">
      <c r="B635" s="907"/>
      <c r="C635" s="907"/>
    </row>
    <row r="636">
      <c r="B636" s="907"/>
      <c r="C636" s="907"/>
    </row>
    <row r="637">
      <c r="B637" s="907"/>
      <c r="C637" s="907"/>
    </row>
    <row r="638">
      <c r="B638" s="907"/>
      <c r="C638" s="907"/>
    </row>
    <row r="639">
      <c r="B639" s="907"/>
      <c r="C639" s="907"/>
    </row>
    <row r="640">
      <c r="B640" s="907"/>
      <c r="C640" s="907"/>
    </row>
    <row r="641">
      <c r="B641" s="907"/>
      <c r="C641" s="907"/>
    </row>
    <row r="642">
      <c r="B642" s="907"/>
      <c r="C642" s="907"/>
    </row>
    <row r="643">
      <c r="B643" s="907"/>
      <c r="C643" s="907"/>
    </row>
    <row r="644">
      <c r="B644" s="907"/>
      <c r="C644" s="907"/>
    </row>
    <row r="645">
      <c r="B645" s="907"/>
      <c r="C645" s="907"/>
    </row>
    <row r="646">
      <c r="B646" s="907"/>
      <c r="C646" s="907"/>
    </row>
    <row r="647">
      <c r="B647" s="907"/>
      <c r="C647" s="907"/>
    </row>
    <row r="648">
      <c r="B648" s="907"/>
      <c r="C648" s="907"/>
    </row>
    <row r="649">
      <c r="B649" s="907"/>
      <c r="C649" s="907"/>
    </row>
    <row r="650">
      <c r="B650" s="907"/>
      <c r="C650" s="907"/>
    </row>
    <row r="651">
      <c r="B651" s="907"/>
      <c r="C651" s="907"/>
    </row>
    <row r="652">
      <c r="B652" s="907"/>
      <c r="C652" s="907"/>
    </row>
    <row r="653">
      <c r="B653" s="907"/>
      <c r="C653" s="907"/>
    </row>
    <row r="654">
      <c r="B654" s="907"/>
      <c r="C654" s="907"/>
    </row>
    <row r="655">
      <c r="B655" s="907"/>
      <c r="C655" s="907"/>
    </row>
    <row r="656">
      <c r="B656" s="907"/>
      <c r="C656" s="907"/>
    </row>
    <row r="657">
      <c r="B657" s="907"/>
      <c r="C657" s="907"/>
    </row>
    <row r="658">
      <c r="B658" s="907"/>
      <c r="C658" s="907"/>
    </row>
    <row r="659">
      <c r="B659" s="907"/>
      <c r="C659" s="907"/>
    </row>
    <row r="660">
      <c r="B660" s="907"/>
      <c r="C660" s="907"/>
    </row>
    <row r="661">
      <c r="B661" s="907"/>
      <c r="C661" s="907"/>
    </row>
    <row r="662">
      <c r="B662" s="907"/>
      <c r="C662" s="907"/>
    </row>
    <row r="663">
      <c r="B663" s="907"/>
      <c r="C663" s="907"/>
    </row>
    <row r="664">
      <c r="B664" s="907"/>
      <c r="C664" s="907"/>
    </row>
    <row r="665">
      <c r="B665" s="907"/>
      <c r="C665" s="907"/>
    </row>
    <row r="666">
      <c r="B666" s="907"/>
      <c r="C666" s="907"/>
    </row>
    <row r="667">
      <c r="B667" s="907"/>
      <c r="C667" s="907"/>
    </row>
    <row r="668">
      <c r="B668" s="907"/>
      <c r="C668" s="907"/>
    </row>
    <row r="669">
      <c r="B669" s="907"/>
      <c r="C669" s="907"/>
    </row>
    <row r="670">
      <c r="B670" s="907"/>
      <c r="C670" s="907"/>
    </row>
    <row r="671">
      <c r="B671" s="907"/>
      <c r="C671" s="907"/>
    </row>
    <row r="672">
      <c r="B672" s="907"/>
      <c r="C672" s="907"/>
    </row>
    <row r="673">
      <c r="B673" s="907"/>
      <c r="C673" s="907"/>
    </row>
    <row r="674">
      <c r="B674" s="907"/>
      <c r="C674" s="907"/>
    </row>
    <row r="675">
      <c r="B675" s="907"/>
      <c r="C675" s="907"/>
    </row>
    <row r="676">
      <c r="B676" s="907"/>
      <c r="C676" s="907"/>
    </row>
    <row r="677">
      <c r="B677" s="907"/>
      <c r="C677" s="907"/>
    </row>
    <row r="678">
      <c r="B678" s="907"/>
      <c r="C678" s="907"/>
    </row>
    <row r="679">
      <c r="B679" s="907"/>
      <c r="C679" s="907"/>
    </row>
    <row r="680">
      <c r="B680" s="907"/>
      <c r="C680" s="907"/>
    </row>
    <row r="681">
      <c r="B681" s="907"/>
      <c r="C681" s="907"/>
    </row>
    <row r="682">
      <c r="B682" s="907"/>
      <c r="C682" s="907"/>
    </row>
    <row r="683">
      <c r="B683" s="907"/>
      <c r="C683" s="907"/>
    </row>
    <row r="684">
      <c r="B684" s="907"/>
      <c r="C684" s="907"/>
    </row>
    <row r="685">
      <c r="B685" s="907"/>
      <c r="C685" s="907"/>
    </row>
    <row r="686">
      <c r="B686" s="907"/>
      <c r="C686" s="907"/>
    </row>
    <row r="687">
      <c r="B687" s="907"/>
      <c r="C687" s="907"/>
    </row>
    <row r="688">
      <c r="B688" s="907"/>
      <c r="C688" s="907"/>
    </row>
    <row r="689">
      <c r="B689" s="907"/>
      <c r="C689" s="907"/>
    </row>
    <row r="690">
      <c r="B690" s="907"/>
      <c r="C690" s="907"/>
    </row>
    <row r="691">
      <c r="B691" s="907"/>
      <c r="C691" s="907"/>
    </row>
    <row r="692">
      <c r="B692" s="907"/>
      <c r="C692" s="907"/>
    </row>
    <row r="693">
      <c r="B693" s="907"/>
      <c r="C693" s="907"/>
    </row>
    <row r="694">
      <c r="B694" s="907"/>
      <c r="C694" s="907"/>
    </row>
    <row r="695">
      <c r="B695" s="907"/>
      <c r="C695" s="907"/>
    </row>
    <row r="696">
      <c r="B696" s="907"/>
      <c r="C696" s="907"/>
    </row>
    <row r="697">
      <c r="B697" s="907"/>
      <c r="C697" s="907"/>
    </row>
    <row r="698">
      <c r="B698" s="907"/>
      <c r="C698" s="907"/>
    </row>
    <row r="699">
      <c r="B699" s="907"/>
      <c r="C699" s="907"/>
    </row>
    <row r="700">
      <c r="B700" s="907"/>
      <c r="C700" s="907"/>
    </row>
    <row r="701">
      <c r="B701" s="907"/>
      <c r="C701" s="907"/>
    </row>
    <row r="702">
      <c r="B702" s="907"/>
      <c r="C702" s="907"/>
    </row>
    <row r="703">
      <c r="B703" s="907"/>
      <c r="C703" s="907"/>
    </row>
    <row r="704">
      <c r="B704" s="907"/>
      <c r="C704" s="907"/>
    </row>
    <row r="705">
      <c r="B705" s="907"/>
      <c r="C705" s="907"/>
    </row>
    <row r="706">
      <c r="B706" s="907"/>
      <c r="C706" s="907"/>
    </row>
    <row r="707">
      <c r="B707" s="907"/>
      <c r="C707" s="907"/>
    </row>
    <row r="708">
      <c r="B708" s="907"/>
      <c r="C708" s="907"/>
    </row>
    <row r="709">
      <c r="B709" s="907"/>
      <c r="C709" s="907"/>
    </row>
    <row r="710">
      <c r="B710" s="907"/>
      <c r="C710" s="907"/>
    </row>
    <row r="711">
      <c r="B711" s="907"/>
      <c r="C711" s="907"/>
    </row>
    <row r="712">
      <c r="B712" s="907"/>
      <c r="C712" s="907"/>
    </row>
    <row r="713">
      <c r="B713" s="907"/>
      <c r="C713" s="907"/>
    </row>
    <row r="714">
      <c r="B714" s="907"/>
      <c r="C714" s="907"/>
    </row>
    <row r="715">
      <c r="B715" s="907"/>
      <c r="C715" s="907"/>
    </row>
    <row r="716">
      <c r="B716" s="907"/>
      <c r="C716" s="907"/>
    </row>
    <row r="717">
      <c r="B717" s="907"/>
      <c r="C717" s="907"/>
    </row>
    <row r="718">
      <c r="B718" s="907"/>
      <c r="C718" s="907"/>
    </row>
    <row r="719">
      <c r="B719" s="907"/>
      <c r="C719" s="907"/>
    </row>
    <row r="720">
      <c r="B720" s="907"/>
      <c r="C720" s="907"/>
    </row>
    <row r="721">
      <c r="B721" s="907"/>
      <c r="C721" s="907"/>
    </row>
    <row r="722">
      <c r="B722" s="907"/>
      <c r="C722" s="907"/>
    </row>
    <row r="723">
      <c r="B723" s="907"/>
      <c r="C723" s="907"/>
    </row>
    <row r="724">
      <c r="B724" s="907"/>
      <c r="C724" s="907"/>
    </row>
    <row r="725">
      <c r="B725" s="907"/>
      <c r="C725" s="907"/>
    </row>
    <row r="726">
      <c r="B726" s="907"/>
      <c r="C726" s="907"/>
    </row>
    <row r="727">
      <c r="B727" s="907"/>
      <c r="C727" s="907"/>
    </row>
    <row r="728">
      <c r="B728" s="907"/>
      <c r="C728" s="907"/>
    </row>
    <row r="729">
      <c r="B729" s="907"/>
      <c r="C729" s="907"/>
    </row>
    <row r="730">
      <c r="B730" s="907"/>
      <c r="C730" s="907"/>
    </row>
    <row r="731">
      <c r="B731" s="907"/>
      <c r="C731" s="907"/>
    </row>
    <row r="732">
      <c r="B732" s="907"/>
      <c r="C732" s="907"/>
    </row>
    <row r="733">
      <c r="B733" s="907"/>
      <c r="C733" s="907"/>
    </row>
    <row r="734">
      <c r="B734" s="907"/>
      <c r="C734" s="907"/>
    </row>
    <row r="735">
      <c r="B735" s="907"/>
      <c r="C735" s="907"/>
    </row>
    <row r="736">
      <c r="B736" s="907"/>
      <c r="C736" s="907"/>
    </row>
    <row r="737">
      <c r="B737" s="907"/>
      <c r="C737" s="907"/>
    </row>
    <row r="738">
      <c r="B738" s="907"/>
      <c r="C738" s="907"/>
    </row>
    <row r="739">
      <c r="B739" s="907"/>
      <c r="C739" s="907"/>
    </row>
    <row r="740">
      <c r="B740" s="907"/>
      <c r="C740" s="907"/>
    </row>
    <row r="741">
      <c r="B741" s="907"/>
      <c r="C741" s="907"/>
    </row>
    <row r="742">
      <c r="B742" s="907"/>
      <c r="C742" s="907"/>
    </row>
    <row r="743">
      <c r="B743" s="907"/>
      <c r="C743" s="907"/>
    </row>
    <row r="744">
      <c r="B744" s="907"/>
      <c r="C744" s="907"/>
    </row>
    <row r="745">
      <c r="B745" s="907"/>
      <c r="C745" s="907"/>
    </row>
    <row r="746">
      <c r="B746" s="907"/>
      <c r="C746" s="907"/>
    </row>
    <row r="747">
      <c r="B747" s="907"/>
      <c r="C747" s="907"/>
    </row>
    <row r="748">
      <c r="B748" s="907"/>
      <c r="C748" s="907"/>
    </row>
    <row r="749">
      <c r="B749" s="907"/>
      <c r="C749" s="907"/>
    </row>
    <row r="750">
      <c r="B750" s="907"/>
      <c r="C750" s="907"/>
    </row>
    <row r="751">
      <c r="B751" s="907"/>
      <c r="C751" s="907"/>
    </row>
    <row r="752">
      <c r="B752" s="907"/>
      <c r="C752" s="907"/>
    </row>
    <row r="753">
      <c r="B753" s="907"/>
      <c r="C753" s="907"/>
    </row>
    <row r="754">
      <c r="B754" s="907"/>
      <c r="C754" s="907"/>
    </row>
    <row r="755">
      <c r="B755" s="907"/>
      <c r="C755" s="907"/>
    </row>
    <row r="756">
      <c r="B756" s="907"/>
      <c r="C756" s="907"/>
    </row>
    <row r="757">
      <c r="B757" s="907"/>
      <c r="C757" s="907"/>
    </row>
    <row r="758">
      <c r="B758" s="907"/>
      <c r="C758" s="907"/>
    </row>
    <row r="759">
      <c r="B759" s="907"/>
      <c r="C759" s="907"/>
    </row>
    <row r="760">
      <c r="B760" s="907"/>
      <c r="C760" s="907"/>
    </row>
    <row r="761">
      <c r="B761" s="907"/>
      <c r="C761" s="907"/>
    </row>
    <row r="762">
      <c r="B762" s="907"/>
      <c r="C762" s="907"/>
    </row>
    <row r="763">
      <c r="B763" s="907"/>
      <c r="C763" s="907"/>
    </row>
    <row r="764">
      <c r="B764" s="907"/>
      <c r="C764" s="907"/>
    </row>
    <row r="765">
      <c r="B765" s="907"/>
      <c r="C765" s="907"/>
    </row>
    <row r="766">
      <c r="B766" s="907"/>
      <c r="C766" s="907"/>
    </row>
    <row r="767">
      <c r="B767" s="907"/>
      <c r="C767" s="907"/>
    </row>
    <row r="768">
      <c r="B768" s="907"/>
      <c r="C768" s="907"/>
    </row>
    <row r="769">
      <c r="B769" s="907"/>
      <c r="C769" s="907"/>
    </row>
    <row r="770">
      <c r="B770" s="907"/>
      <c r="C770" s="907"/>
    </row>
    <row r="771">
      <c r="B771" s="907"/>
      <c r="C771" s="907"/>
    </row>
    <row r="772">
      <c r="B772" s="907"/>
      <c r="C772" s="907"/>
    </row>
    <row r="773">
      <c r="B773" s="907"/>
      <c r="C773" s="907"/>
    </row>
    <row r="774">
      <c r="B774" s="907"/>
      <c r="C774" s="907"/>
    </row>
    <row r="775">
      <c r="B775" s="907"/>
      <c r="C775" s="907"/>
    </row>
    <row r="776">
      <c r="B776" s="907"/>
      <c r="C776" s="907"/>
    </row>
    <row r="777">
      <c r="B777" s="907"/>
      <c r="C777" s="907"/>
    </row>
    <row r="778">
      <c r="B778" s="907"/>
      <c r="C778" s="907"/>
    </row>
    <row r="779">
      <c r="B779" s="907"/>
      <c r="C779" s="907"/>
    </row>
    <row r="780">
      <c r="B780" s="907"/>
      <c r="C780" s="907"/>
    </row>
    <row r="781">
      <c r="B781" s="907"/>
      <c r="C781" s="907"/>
    </row>
    <row r="782">
      <c r="B782" s="907"/>
      <c r="C782" s="907"/>
    </row>
    <row r="783">
      <c r="B783" s="907"/>
      <c r="C783" s="907"/>
    </row>
    <row r="784">
      <c r="B784" s="907"/>
      <c r="C784" s="907"/>
    </row>
    <row r="785">
      <c r="B785" s="907"/>
      <c r="C785" s="907"/>
    </row>
    <row r="786">
      <c r="B786" s="907"/>
      <c r="C786" s="907"/>
    </row>
    <row r="787">
      <c r="B787" s="907"/>
      <c r="C787" s="907"/>
    </row>
    <row r="788">
      <c r="B788" s="907"/>
      <c r="C788" s="907"/>
    </row>
    <row r="789">
      <c r="B789" s="907"/>
      <c r="C789" s="907"/>
    </row>
    <row r="790">
      <c r="B790" s="907"/>
      <c r="C790" s="907"/>
    </row>
    <row r="791">
      <c r="B791" s="907"/>
      <c r="C791" s="907"/>
    </row>
    <row r="792">
      <c r="B792" s="907"/>
      <c r="C792" s="907"/>
    </row>
    <row r="793">
      <c r="B793" s="907"/>
      <c r="C793" s="907"/>
    </row>
    <row r="794">
      <c r="B794" s="907"/>
      <c r="C794" s="907"/>
    </row>
    <row r="795">
      <c r="B795" s="907"/>
      <c r="C795" s="907"/>
    </row>
    <row r="796">
      <c r="B796" s="907"/>
      <c r="C796" s="907"/>
    </row>
    <row r="797">
      <c r="B797" s="907"/>
      <c r="C797" s="907"/>
    </row>
    <row r="798">
      <c r="B798" s="907"/>
      <c r="C798" s="907"/>
    </row>
    <row r="799">
      <c r="B799" s="907"/>
      <c r="C799" s="907"/>
    </row>
    <row r="800">
      <c r="B800" s="907"/>
      <c r="C800" s="907"/>
    </row>
    <row r="801">
      <c r="B801" s="907"/>
      <c r="C801" s="907"/>
    </row>
    <row r="802">
      <c r="B802" s="907"/>
      <c r="C802" s="907"/>
    </row>
    <row r="803">
      <c r="B803" s="907"/>
      <c r="C803" s="907"/>
    </row>
    <row r="804">
      <c r="B804" s="907"/>
      <c r="C804" s="907"/>
    </row>
    <row r="805">
      <c r="B805" s="907"/>
      <c r="C805" s="907"/>
    </row>
    <row r="806">
      <c r="B806" s="907"/>
      <c r="C806" s="907"/>
    </row>
    <row r="807">
      <c r="B807" s="907"/>
      <c r="C807" s="907"/>
    </row>
    <row r="808">
      <c r="B808" s="907"/>
      <c r="C808" s="907"/>
    </row>
    <row r="809">
      <c r="B809" s="907"/>
      <c r="C809" s="907"/>
    </row>
    <row r="810">
      <c r="B810" s="907"/>
      <c r="C810" s="907"/>
    </row>
    <row r="811">
      <c r="B811" s="907"/>
      <c r="C811" s="907"/>
    </row>
    <row r="812">
      <c r="B812" s="907"/>
      <c r="C812" s="907"/>
    </row>
    <row r="813">
      <c r="B813" s="907"/>
      <c r="C813" s="907"/>
    </row>
    <row r="814">
      <c r="B814" s="907"/>
      <c r="C814" s="907"/>
    </row>
    <row r="815">
      <c r="B815" s="907"/>
      <c r="C815" s="907"/>
    </row>
    <row r="816">
      <c r="B816" s="907"/>
      <c r="C816" s="907"/>
    </row>
    <row r="817">
      <c r="B817" s="907"/>
      <c r="C817" s="907"/>
    </row>
    <row r="818">
      <c r="B818" s="907"/>
      <c r="C818" s="907"/>
    </row>
    <row r="819">
      <c r="B819" s="907"/>
      <c r="C819" s="907"/>
    </row>
    <row r="820">
      <c r="B820" s="907"/>
      <c r="C820" s="907"/>
    </row>
    <row r="821">
      <c r="B821" s="907"/>
      <c r="C821" s="907"/>
    </row>
    <row r="822">
      <c r="B822" s="907"/>
      <c r="C822" s="907"/>
    </row>
    <row r="823">
      <c r="B823" s="907"/>
      <c r="C823" s="907"/>
    </row>
    <row r="824">
      <c r="B824" s="907"/>
      <c r="C824" s="907"/>
    </row>
    <row r="825">
      <c r="B825" s="907"/>
      <c r="C825" s="907"/>
    </row>
    <row r="826">
      <c r="B826" s="907"/>
      <c r="C826" s="907"/>
    </row>
    <row r="827">
      <c r="B827" s="907"/>
      <c r="C827" s="907"/>
    </row>
    <row r="828">
      <c r="B828" s="907"/>
      <c r="C828" s="907"/>
    </row>
    <row r="829">
      <c r="B829" s="907"/>
      <c r="C829" s="907"/>
    </row>
    <row r="830">
      <c r="B830" s="907"/>
      <c r="C830" s="907"/>
    </row>
    <row r="831">
      <c r="B831" s="907"/>
      <c r="C831" s="907"/>
    </row>
    <row r="832">
      <c r="B832" s="907"/>
      <c r="C832" s="907"/>
    </row>
    <row r="833">
      <c r="B833" s="907"/>
      <c r="C833" s="907"/>
    </row>
    <row r="834">
      <c r="B834" s="907"/>
      <c r="C834" s="907"/>
    </row>
    <row r="835">
      <c r="B835" s="907"/>
      <c r="C835" s="907"/>
    </row>
    <row r="836">
      <c r="B836" s="907"/>
      <c r="C836" s="907"/>
    </row>
    <row r="837">
      <c r="B837" s="907"/>
      <c r="C837" s="907"/>
    </row>
    <row r="838">
      <c r="B838" s="907"/>
      <c r="C838" s="907"/>
    </row>
    <row r="839">
      <c r="B839" s="907"/>
      <c r="C839" s="907"/>
    </row>
    <row r="840">
      <c r="B840" s="907"/>
      <c r="C840" s="907"/>
    </row>
    <row r="841">
      <c r="B841" s="907"/>
      <c r="C841" s="907"/>
    </row>
    <row r="842">
      <c r="B842" s="907"/>
      <c r="C842" s="907"/>
    </row>
    <row r="843">
      <c r="B843" s="907"/>
      <c r="C843" s="907"/>
    </row>
    <row r="844">
      <c r="B844" s="907"/>
      <c r="C844" s="907"/>
    </row>
    <row r="845">
      <c r="B845" s="907"/>
      <c r="C845" s="907"/>
    </row>
    <row r="846">
      <c r="B846" s="907"/>
      <c r="C846" s="907"/>
    </row>
    <row r="847">
      <c r="B847" s="907"/>
      <c r="C847" s="907"/>
    </row>
    <row r="848">
      <c r="B848" s="907"/>
      <c r="C848" s="907"/>
    </row>
    <row r="849">
      <c r="B849" s="907"/>
      <c r="C849" s="907"/>
    </row>
    <row r="850">
      <c r="B850" s="907"/>
      <c r="C850" s="907"/>
    </row>
    <row r="851">
      <c r="B851" s="907"/>
      <c r="C851" s="907"/>
    </row>
    <row r="852">
      <c r="B852" s="907"/>
      <c r="C852" s="907"/>
    </row>
    <row r="853">
      <c r="B853" s="907"/>
      <c r="C853" s="907"/>
    </row>
    <row r="854">
      <c r="B854" s="907"/>
      <c r="C854" s="907"/>
    </row>
    <row r="855">
      <c r="B855" s="907"/>
      <c r="C855" s="907"/>
    </row>
    <row r="856">
      <c r="B856" s="907"/>
      <c r="C856" s="907"/>
    </row>
    <row r="857">
      <c r="B857" s="907"/>
      <c r="C857" s="907"/>
    </row>
    <row r="858">
      <c r="B858" s="907"/>
      <c r="C858" s="907"/>
    </row>
    <row r="859">
      <c r="B859" s="907"/>
      <c r="C859" s="907"/>
    </row>
    <row r="860">
      <c r="B860" s="907"/>
      <c r="C860" s="907"/>
    </row>
    <row r="861">
      <c r="B861" s="907"/>
      <c r="C861" s="907"/>
    </row>
    <row r="862">
      <c r="B862" s="907"/>
      <c r="C862" s="907"/>
    </row>
    <row r="863">
      <c r="B863" s="907"/>
      <c r="C863" s="907"/>
    </row>
    <row r="864">
      <c r="B864" s="907"/>
      <c r="C864" s="907"/>
    </row>
    <row r="865">
      <c r="B865" s="907"/>
      <c r="C865" s="907"/>
    </row>
    <row r="866">
      <c r="B866" s="907"/>
      <c r="C866" s="907"/>
    </row>
    <row r="867">
      <c r="B867" s="907"/>
      <c r="C867" s="907"/>
    </row>
    <row r="868">
      <c r="B868" s="907"/>
      <c r="C868" s="907"/>
    </row>
    <row r="869">
      <c r="B869" s="907"/>
      <c r="C869" s="907"/>
    </row>
    <row r="870">
      <c r="B870" s="907"/>
      <c r="C870" s="907"/>
    </row>
    <row r="871">
      <c r="B871" s="907"/>
      <c r="C871" s="907"/>
    </row>
    <row r="872">
      <c r="B872" s="907"/>
      <c r="C872" s="907"/>
    </row>
    <row r="873">
      <c r="B873" s="907"/>
      <c r="C873" s="907"/>
    </row>
    <row r="874">
      <c r="B874" s="907"/>
      <c r="C874" s="907"/>
    </row>
    <row r="875">
      <c r="B875" s="907"/>
      <c r="C875" s="907"/>
    </row>
    <row r="876">
      <c r="B876" s="907"/>
      <c r="C876" s="907"/>
    </row>
    <row r="877">
      <c r="B877" s="907"/>
      <c r="C877" s="907"/>
    </row>
    <row r="878">
      <c r="B878" s="907"/>
      <c r="C878" s="907"/>
    </row>
    <row r="879">
      <c r="B879" s="907"/>
      <c r="C879" s="907"/>
    </row>
    <row r="880">
      <c r="B880" s="907"/>
      <c r="C880" s="907"/>
    </row>
    <row r="881">
      <c r="B881" s="907"/>
      <c r="C881" s="907"/>
    </row>
    <row r="882">
      <c r="B882" s="907"/>
      <c r="C882" s="907"/>
    </row>
    <row r="883">
      <c r="B883" s="907"/>
      <c r="C883" s="907"/>
    </row>
    <row r="884">
      <c r="B884" s="907"/>
      <c r="C884" s="907"/>
    </row>
    <row r="885">
      <c r="B885" s="907"/>
      <c r="C885" s="907"/>
    </row>
    <row r="886">
      <c r="B886" s="907"/>
      <c r="C886" s="907"/>
    </row>
    <row r="887">
      <c r="B887" s="907"/>
      <c r="C887" s="907"/>
    </row>
    <row r="888">
      <c r="B888" s="907"/>
      <c r="C888" s="907"/>
    </row>
    <row r="889">
      <c r="B889" s="907"/>
      <c r="C889" s="907"/>
    </row>
    <row r="890">
      <c r="B890" s="907"/>
      <c r="C890" s="907"/>
    </row>
    <row r="891">
      <c r="B891" s="907"/>
      <c r="C891" s="907"/>
    </row>
    <row r="892">
      <c r="B892" s="907"/>
      <c r="C892" s="907"/>
    </row>
    <row r="893">
      <c r="B893" s="907"/>
      <c r="C893" s="907"/>
    </row>
    <row r="894">
      <c r="B894" s="907"/>
      <c r="C894" s="907"/>
    </row>
    <row r="895">
      <c r="B895" s="907"/>
      <c r="C895" s="907"/>
    </row>
    <row r="896">
      <c r="B896" s="907"/>
      <c r="C896" s="907"/>
    </row>
    <row r="897">
      <c r="B897" s="907"/>
      <c r="C897" s="907"/>
    </row>
    <row r="898">
      <c r="B898" s="907"/>
      <c r="C898" s="907"/>
    </row>
    <row r="899">
      <c r="B899" s="907"/>
      <c r="C899" s="907"/>
    </row>
    <row r="900">
      <c r="B900" s="907"/>
      <c r="C900" s="907"/>
    </row>
    <row r="901">
      <c r="B901" s="907"/>
      <c r="C901" s="907"/>
    </row>
    <row r="902">
      <c r="B902" s="907"/>
      <c r="C902" s="907"/>
    </row>
    <row r="903">
      <c r="B903" s="907"/>
      <c r="C903" s="907"/>
    </row>
    <row r="904">
      <c r="B904" s="907"/>
      <c r="C904" s="907"/>
    </row>
    <row r="905">
      <c r="B905" s="907"/>
      <c r="C905" s="907"/>
    </row>
    <row r="906">
      <c r="B906" s="907"/>
      <c r="C906" s="907"/>
    </row>
    <row r="907">
      <c r="B907" s="907"/>
      <c r="C907" s="907"/>
    </row>
    <row r="908">
      <c r="B908" s="907"/>
      <c r="C908" s="907"/>
    </row>
    <row r="909">
      <c r="B909" s="907"/>
      <c r="C909" s="907"/>
    </row>
    <row r="910">
      <c r="B910" s="907"/>
      <c r="C910" s="907"/>
    </row>
    <row r="911">
      <c r="B911" s="907"/>
      <c r="C911" s="907"/>
    </row>
    <row r="912">
      <c r="B912" s="907"/>
      <c r="C912" s="907"/>
    </row>
    <row r="913">
      <c r="B913" s="907"/>
      <c r="C913" s="907"/>
    </row>
    <row r="914">
      <c r="B914" s="907"/>
      <c r="C914" s="907"/>
    </row>
    <row r="915">
      <c r="B915" s="907"/>
      <c r="C915" s="907"/>
    </row>
    <row r="916">
      <c r="B916" s="907"/>
      <c r="C916" s="907"/>
    </row>
    <row r="917">
      <c r="B917" s="907"/>
      <c r="C917" s="907"/>
    </row>
    <row r="918">
      <c r="B918" s="907"/>
      <c r="C918" s="907"/>
    </row>
    <row r="919">
      <c r="B919" s="907"/>
      <c r="C919" s="907"/>
    </row>
    <row r="920">
      <c r="B920" s="907"/>
      <c r="C920" s="907"/>
    </row>
    <row r="921">
      <c r="B921" s="907"/>
      <c r="C921" s="907"/>
    </row>
    <row r="922">
      <c r="B922" s="907"/>
      <c r="C922" s="907"/>
    </row>
    <row r="923">
      <c r="B923" s="907"/>
      <c r="C923" s="907"/>
    </row>
    <row r="924">
      <c r="B924" s="907"/>
      <c r="C924" s="907"/>
    </row>
    <row r="925">
      <c r="B925" s="907"/>
      <c r="C925" s="907"/>
    </row>
    <row r="926">
      <c r="B926" s="907"/>
      <c r="C926" s="907"/>
    </row>
    <row r="927">
      <c r="B927" s="907"/>
      <c r="C927" s="907"/>
    </row>
    <row r="928">
      <c r="B928" s="907"/>
      <c r="C928" s="907"/>
    </row>
    <row r="929">
      <c r="B929" s="907"/>
      <c r="C929" s="907"/>
    </row>
    <row r="930">
      <c r="B930" s="907"/>
      <c r="C930" s="907"/>
    </row>
    <row r="931">
      <c r="B931" s="907"/>
      <c r="C931" s="907"/>
    </row>
    <row r="932">
      <c r="B932" s="907"/>
      <c r="C932" s="907"/>
    </row>
    <row r="933">
      <c r="B933" s="907"/>
      <c r="C933" s="907"/>
    </row>
    <row r="934">
      <c r="B934" s="907"/>
      <c r="C934" s="907"/>
    </row>
    <row r="935">
      <c r="B935" s="907"/>
      <c r="C935" s="907"/>
    </row>
    <row r="936">
      <c r="B936" s="907"/>
      <c r="C936" s="907"/>
    </row>
    <row r="937">
      <c r="B937" s="907"/>
      <c r="C937" s="907"/>
    </row>
    <row r="938">
      <c r="B938" s="907"/>
      <c r="C938" s="907"/>
    </row>
    <row r="939">
      <c r="B939" s="907"/>
      <c r="C939" s="907"/>
    </row>
    <row r="940">
      <c r="B940" s="907"/>
      <c r="C940" s="907"/>
    </row>
    <row r="941">
      <c r="B941" s="907"/>
      <c r="C941" s="907"/>
    </row>
    <row r="942">
      <c r="B942" s="907"/>
      <c r="C942" s="907"/>
    </row>
    <row r="943">
      <c r="B943" s="907"/>
      <c r="C943" s="907"/>
    </row>
    <row r="944">
      <c r="B944" s="907"/>
      <c r="C944" s="907"/>
    </row>
    <row r="945">
      <c r="B945" s="907"/>
      <c r="C945" s="907"/>
    </row>
    <row r="946">
      <c r="B946" s="907"/>
      <c r="C946" s="907"/>
    </row>
    <row r="947">
      <c r="B947" s="907"/>
      <c r="C947" s="907"/>
    </row>
    <row r="948">
      <c r="B948" s="907"/>
      <c r="C948" s="907"/>
    </row>
    <row r="949">
      <c r="B949" s="907"/>
      <c r="C949" s="907"/>
    </row>
    <row r="950">
      <c r="B950" s="907"/>
      <c r="C950" s="907"/>
    </row>
    <row r="951">
      <c r="B951" s="907"/>
      <c r="C951" s="907"/>
    </row>
    <row r="952">
      <c r="B952" s="907"/>
      <c r="C952" s="907"/>
    </row>
    <row r="953">
      <c r="B953" s="907"/>
      <c r="C953" s="907"/>
    </row>
    <row r="954">
      <c r="B954" s="907"/>
      <c r="C954" s="907"/>
    </row>
    <row r="955">
      <c r="B955" s="907"/>
      <c r="C955" s="907"/>
    </row>
    <row r="956">
      <c r="B956" s="907"/>
      <c r="C956" s="907"/>
    </row>
    <row r="957">
      <c r="B957" s="907"/>
      <c r="C957" s="907"/>
    </row>
    <row r="958">
      <c r="B958" s="907"/>
      <c r="C958" s="907"/>
    </row>
    <row r="959">
      <c r="B959" s="907"/>
      <c r="C959" s="907"/>
    </row>
    <row r="960">
      <c r="B960" s="907"/>
      <c r="C960" s="907"/>
    </row>
    <row r="961">
      <c r="B961" s="907"/>
      <c r="C961" s="907"/>
    </row>
    <row r="962">
      <c r="B962" s="907"/>
      <c r="C962" s="907"/>
    </row>
    <row r="963">
      <c r="B963" s="907"/>
      <c r="C963" s="907"/>
    </row>
    <row r="964">
      <c r="B964" s="907"/>
      <c r="C964" s="907"/>
    </row>
    <row r="965">
      <c r="B965" s="907"/>
      <c r="C965" s="907"/>
    </row>
    <row r="966">
      <c r="B966" s="907"/>
      <c r="C966" s="907"/>
    </row>
    <row r="967">
      <c r="B967" s="907"/>
      <c r="C967" s="907"/>
    </row>
    <row r="968">
      <c r="B968" s="907"/>
      <c r="C968" s="907"/>
    </row>
    <row r="969">
      <c r="B969" s="907"/>
      <c r="C969" s="907"/>
    </row>
    <row r="970">
      <c r="B970" s="907"/>
      <c r="C970" s="907"/>
    </row>
    <row r="971">
      <c r="B971" s="907"/>
      <c r="C971" s="907"/>
    </row>
    <row r="972">
      <c r="B972" s="907"/>
      <c r="C972" s="907"/>
    </row>
    <row r="973">
      <c r="B973" s="907"/>
      <c r="C973" s="907"/>
    </row>
    <row r="974">
      <c r="B974" s="907"/>
      <c r="C974" s="907"/>
    </row>
    <row r="975">
      <c r="B975" s="907"/>
      <c r="C975" s="907"/>
    </row>
    <row r="976">
      <c r="B976" s="907"/>
      <c r="C976" s="907"/>
    </row>
    <row r="977">
      <c r="B977" s="907"/>
      <c r="C977" s="907"/>
    </row>
    <row r="978">
      <c r="B978" s="907"/>
      <c r="C978" s="907"/>
    </row>
    <row r="979">
      <c r="B979" s="907"/>
      <c r="C979" s="907"/>
    </row>
    <row r="980">
      <c r="B980" s="907"/>
      <c r="C980" s="907"/>
    </row>
    <row r="981">
      <c r="B981" s="907"/>
      <c r="C981" s="907"/>
    </row>
    <row r="982">
      <c r="B982" s="907"/>
      <c r="C982" s="907"/>
    </row>
    <row r="983">
      <c r="B983" s="907"/>
      <c r="C983" s="907"/>
    </row>
    <row r="984">
      <c r="B984" s="907"/>
      <c r="C984" s="907"/>
    </row>
    <row r="985">
      <c r="B985" s="907"/>
      <c r="C985" s="907"/>
    </row>
    <row r="986">
      <c r="B986" s="907"/>
      <c r="C986" s="907"/>
    </row>
    <row r="987">
      <c r="B987" s="907"/>
      <c r="C987" s="907"/>
    </row>
    <row r="988">
      <c r="B988" s="907"/>
      <c r="C988" s="907"/>
    </row>
    <row r="989">
      <c r="B989" s="907"/>
      <c r="C989" s="907"/>
    </row>
    <row r="990">
      <c r="B990" s="907"/>
      <c r="C990" s="907"/>
    </row>
    <row r="991">
      <c r="B991" s="907"/>
      <c r="C991" s="907"/>
    </row>
    <row r="992">
      <c r="B992" s="907"/>
      <c r="C992" s="907"/>
    </row>
    <row r="993">
      <c r="B993" s="907"/>
      <c r="C993" s="907"/>
    </row>
    <row r="994">
      <c r="B994" s="907"/>
      <c r="C994" s="907"/>
    </row>
    <row r="995">
      <c r="B995" s="907"/>
      <c r="C995" s="907"/>
    </row>
    <row r="996">
      <c r="B996" s="907"/>
      <c r="C996" s="907"/>
    </row>
    <row r="997">
      <c r="B997" s="907"/>
      <c r="C997" s="907"/>
    </row>
    <row r="998">
      <c r="B998" s="907"/>
      <c r="C998" s="907"/>
    </row>
    <row r="999">
      <c r="B999" s="907"/>
      <c r="C999" s="907"/>
    </row>
    <row r="1000">
      <c r="B1000" s="907"/>
      <c r="C1000" s="907"/>
    </row>
  </sheetData>
  <conditionalFormatting sqref="A1">
    <cfRule type="notContainsBlanks" dxfId="0" priority="1">
      <formula>LEN(TRIM(A1))&gt;0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
    <col customWidth="1" min="2" max="2" width="40.71"/>
    <col customWidth="1" min="3" max="3" width="4.71"/>
    <col customWidth="1" min="4" max="58" width="12.71"/>
  </cols>
  <sheetData>
    <row r="1" ht="14.25" customHeight="1">
      <c r="A1" s="916"/>
      <c r="B1" s="916"/>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916"/>
      <c r="AQ1" s="916"/>
      <c r="AR1" s="916"/>
      <c r="AS1" s="916"/>
      <c r="AT1" s="916"/>
      <c r="AU1" s="916"/>
      <c r="AV1" s="916"/>
      <c r="AW1" s="916"/>
      <c r="AX1" s="916"/>
      <c r="AY1" s="916"/>
      <c r="AZ1" s="916"/>
      <c r="BA1" s="916"/>
      <c r="BB1" s="916"/>
      <c r="BC1" s="916"/>
      <c r="BD1" s="916"/>
      <c r="BE1" s="916"/>
    </row>
    <row r="2" ht="14.25" customHeight="1">
      <c r="A2" s="916"/>
      <c r="B2" s="917" t="s">
        <v>737</v>
      </c>
      <c r="C2" s="917" t="s">
        <v>738</v>
      </c>
      <c r="D2" s="917"/>
      <c r="E2" s="916"/>
      <c r="F2" s="916"/>
      <c r="G2" s="916"/>
      <c r="H2" s="916"/>
      <c r="I2" s="916"/>
      <c r="J2" s="916"/>
      <c r="K2" s="916"/>
      <c r="L2" s="916"/>
      <c r="M2" s="916"/>
      <c r="N2" s="916"/>
      <c r="O2" s="916"/>
      <c r="P2" s="916"/>
      <c r="Q2" s="916"/>
      <c r="R2" s="916"/>
      <c r="S2" s="916"/>
      <c r="T2" s="916"/>
      <c r="U2" s="916"/>
      <c r="V2" s="916"/>
      <c r="W2" s="916"/>
      <c r="X2" s="916"/>
      <c r="Y2" s="916"/>
      <c r="Z2" s="916"/>
      <c r="AA2" s="916"/>
      <c r="AB2" s="916"/>
      <c r="AC2" s="916"/>
      <c r="AD2" s="916"/>
      <c r="AE2" s="916"/>
      <c r="AF2" s="916"/>
      <c r="AG2" s="916"/>
      <c r="AH2" s="916"/>
      <c r="AI2" s="916"/>
      <c r="AJ2" s="916"/>
      <c r="AK2" s="916"/>
      <c r="AL2" s="916"/>
      <c r="AM2" s="916"/>
      <c r="AN2" s="916"/>
      <c r="AO2" s="916"/>
      <c r="AP2" s="916"/>
      <c r="AQ2" s="916"/>
      <c r="AR2" s="916"/>
      <c r="AS2" s="916"/>
      <c r="AT2" s="916"/>
      <c r="AU2" s="916"/>
      <c r="AV2" s="916"/>
      <c r="AW2" s="916"/>
      <c r="AX2" s="916"/>
      <c r="AY2" s="916"/>
      <c r="AZ2" s="916"/>
      <c r="BA2" s="916"/>
      <c r="BB2" s="916"/>
      <c r="BC2" s="916"/>
      <c r="BD2" s="916"/>
      <c r="BE2" s="916"/>
    </row>
    <row r="3" ht="14.25" customHeight="1">
      <c r="A3" s="916"/>
      <c r="B3" s="917"/>
      <c r="C3" s="917"/>
      <c r="D3" s="917"/>
      <c r="E3" s="916"/>
      <c r="H3" s="916"/>
      <c r="I3" s="916"/>
      <c r="J3" s="916"/>
      <c r="K3" s="916"/>
      <c r="L3" s="916"/>
      <c r="M3" s="916"/>
      <c r="N3" s="916"/>
      <c r="O3" s="916"/>
      <c r="P3" s="916"/>
      <c r="Q3" s="916"/>
      <c r="R3" s="916"/>
      <c r="S3" s="916"/>
      <c r="T3" s="916"/>
      <c r="U3" s="916"/>
      <c r="V3" s="916"/>
      <c r="W3" s="916"/>
      <c r="X3" s="916"/>
      <c r="Y3" s="916"/>
      <c r="Z3" s="916"/>
      <c r="AA3" s="916"/>
      <c r="AB3" s="916"/>
      <c r="AC3" s="916"/>
      <c r="AD3" s="916"/>
      <c r="AE3" s="916"/>
      <c r="AF3" s="916"/>
      <c r="AG3" s="916"/>
      <c r="AH3" s="916"/>
      <c r="AI3" s="916"/>
      <c r="AJ3" s="916"/>
      <c r="AK3" s="916"/>
      <c r="AL3" s="916"/>
      <c r="AM3" s="916"/>
      <c r="AN3" s="916"/>
      <c r="AO3" s="916"/>
      <c r="AP3" s="916"/>
      <c r="AQ3" s="916"/>
      <c r="AR3" s="916"/>
      <c r="AS3" s="916"/>
      <c r="AT3" s="916"/>
      <c r="AU3" s="916"/>
      <c r="AV3" s="916"/>
      <c r="AW3" s="916"/>
      <c r="AX3" s="916"/>
      <c r="AY3" s="916"/>
      <c r="AZ3" s="916"/>
      <c r="BA3" s="916"/>
      <c r="BB3" s="916"/>
      <c r="BC3" s="916"/>
      <c r="BD3" s="916"/>
      <c r="BE3" s="916"/>
    </row>
    <row r="4" ht="14.25" customHeight="1">
      <c r="A4" s="916"/>
      <c r="B4" s="917" t="s">
        <v>739</v>
      </c>
      <c r="C4" s="918" t="s">
        <v>740</v>
      </c>
      <c r="D4" s="917"/>
      <c r="E4" s="916"/>
      <c r="F4" s="916"/>
      <c r="G4" s="916"/>
      <c r="H4" s="916"/>
      <c r="I4" s="916"/>
      <c r="J4" s="916"/>
      <c r="K4" s="916"/>
      <c r="L4" s="916"/>
      <c r="M4" s="916"/>
      <c r="N4" s="916"/>
      <c r="O4" s="916"/>
      <c r="P4" s="916"/>
      <c r="Q4" s="916"/>
      <c r="R4" s="916"/>
      <c r="S4" s="916"/>
      <c r="T4" s="916"/>
      <c r="U4" s="916"/>
      <c r="V4" s="916"/>
      <c r="W4" s="916"/>
      <c r="X4" s="916"/>
      <c r="Y4" s="916"/>
      <c r="Z4" s="916"/>
      <c r="AA4" s="916"/>
      <c r="AB4" s="916"/>
      <c r="AC4" s="916"/>
      <c r="AD4" s="916"/>
      <c r="AE4" s="916"/>
      <c r="AF4" s="916"/>
      <c r="AG4" s="916"/>
      <c r="AH4" s="916"/>
      <c r="AI4" s="916"/>
      <c r="AJ4" s="916"/>
      <c r="AK4" s="916"/>
      <c r="AL4" s="916"/>
      <c r="AM4" s="916"/>
      <c r="AN4" s="916"/>
      <c r="AO4" s="916"/>
      <c r="AP4" s="916"/>
      <c r="AQ4" s="916"/>
      <c r="AR4" s="916"/>
      <c r="AS4" s="916"/>
      <c r="AT4" s="916"/>
      <c r="AU4" s="916"/>
      <c r="AV4" s="916"/>
      <c r="AW4" s="916"/>
      <c r="AX4" s="916"/>
      <c r="AY4" s="916"/>
      <c r="AZ4" s="916"/>
      <c r="BA4" s="916"/>
      <c r="BB4" s="916"/>
      <c r="BC4" s="916"/>
      <c r="BD4" s="916"/>
      <c r="BE4" s="916"/>
    </row>
    <row r="5" ht="14.25" customHeight="1">
      <c r="A5" s="916"/>
      <c r="B5" s="917"/>
      <c r="C5" s="917"/>
      <c r="D5" s="917"/>
      <c r="E5" s="916"/>
      <c r="F5" s="916"/>
      <c r="G5" s="916"/>
      <c r="H5" s="916"/>
      <c r="I5" s="916"/>
      <c r="J5" s="916"/>
      <c r="K5" s="916"/>
      <c r="L5" s="916"/>
      <c r="M5" s="916"/>
      <c r="N5" s="916"/>
      <c r="O5" s="916"/>
      <c r="P5" s="916"/>
      <c r="Q5" s="916"/>
      <c r="R5" s="916"/>
      <c r="S5" s="916"/>
      <c r="T5" s="916"/>
      <c r="U5" s="916"/>
      <c r="V5" s="916"/>
      <c r="W5" s="916"/>
      <c r="X5" s="916"/>
      <c r="Y5" s="916"/>
      <c r="Z5" s="916"/>
      <c r="AA5" s="916"/>
      <c r="AB5" s="916"/>
      <c r="AC5" s="916"/>
      <c r="AD5" s="916"/>
      <c r="AE5" s="916"/>
      <c r="AF5" s="916"/>
      <c r="AG5" s="916"/>
      <c r="AH5" s="916"/>
      <c r="AI5" s="916"/>
      <c r="AJ5" s="916"/>
      <c r="AK5" s="916"/>
      <c r="AL5" s="916"/>
      <c r="AM5" s="916"/>
      <c r="AN5" s="916"/>
      <c r="AO5" s="916"/>
      <c r="AP5" s="916"/>
      <c r="AQ5" s="916"/>
      <c r="AR5" s="916"/>
      <c r="AS5" s="916"/>
      <c r="AT5" s="916"/>
      <c r="AU5" s="916"/>
      <c r="AV5" s="916"/>
      <c r="AW5" s="916"/>
      <c r="AX5" s="916"/>
      <c r="AY5" s="916"/>
      <c r="AZ5" s="916"/>
      <c r="BA5" s="916"/>
      <c r="BB5" s="916"/>
      <c r="BC5" s="916"/>
      <c r="BD5" s="916"/>
      <c r="BE5" s="916"/>
    </row>
    <row r="6" ht="14.25" customHeight="1">
      <c r="A6" s="916"/>
      <c r="B6" s="917" t="s">
        <v>741</v>
      </c>
      <c r="C6" s="917" t="s">
        <v>742</v>
      </c>
      <c r="D6" s="917"/>
      <c r="E6" s="916"/>
      <c r="F6" s="916"/>
      <c r="G6" s="919"/>
      <c r="H6" s="916"/>
      <c r="I6" s="916"/>
      <c r="J6" s="916"/>
      <c r="K6" s="916"/>
      <c r="L6" s="916"/>
      <c r="M6" s="916"/>
      <c r="N6" s="916"/>
      <c r="O6" s="916"/>
      <c r="P6" s="916"/>
      <c r="Q6" s="916"/>
      <c r="R6" s="916"/>
      <c r="S6" s="916"/>
      <c r="T6" s="916"/>
      <c r="U6" s="916"/>
      <c r="V6" s="916"/>
      <c r="W6" s="916"/>
      <c r="X6" s="916"/>
      <c r="Y6" s="916"/>
      <c r="Z6" s="916"/>
      <c r="AA6" s="916"/>
      <c r="AB6" s="916"/>
      <c r="AC6" s="916"/>
      <c r="AD6" s="916"/>
      <c r="AE6" s="916"/>
      <c r="AF6" s="916"/>
      <c r="AG6" s="916"/>
      <c r="AH6" s="916"/>
      <c r="AI6" s="916"/>
      <c r="AJ6" s="916"/>
      <c r="AK6" s="916"/>
      <c r="AL6" s="916"/>
      <c r="AM6" s="916"/>
      <c r="AN6" s="916"/>
      <c r="AO6" s="916"/>
      <c r="AP6" s="916"/>
      <c r="AQ6" s="916"/>
      <c r="AR6" s="916"/>
      <c r="AS6" s="916"/>
      <c r="AT6" s="916"/>
      <c r="AU6" s="916"/>
      <c r="AV6" s="916"/>
      <c r="AW6" s="916"/>
      <c r="AX6" s="916"/>
      <c r="AY6" s="916"/>
      <c r="AZ6" s="916"/>
      <c r="BA6" s="916"/>
      <c r="BB6" s="916"/>
      <c r="BC6" s="916"/>
      <c r="BD6" s="916"/>
      <c r="BE6" s="916"/>
    </row>
    <row r="7" ht="14.25" customHeight="1">
      <c r="A7" s="916"/>
      <c r="B7" s="917"/>
      <c r="C7" s="917"/>
      <c r="D7" s="917"/>
      <c r="E7" s="916"/>
      <c r="F7" s="916"/>
      <c r="G7" s="916"/>
      <c r="H7" s="916"/>
      <c r="I7" s="916"/>
      <c r="J7" s="916"/>
      <c r="K7" s="916"/>
      <c r="L7" s="916"/>
      <c r="M7" s="916"/>
      <c r="N7" s="916"/>
      <c r="O7" s="916"/>
      <c r="P7" s="916"/>
      <c r="Q7" s="916"/>
      <c r="R7" s="916"/>
      <c r="S7" s="916"/>
      <c r="T7" s="916"/>
      <c r="U7" s="916"/>
      <c r="V7" s="916"/>
      <c r="W7" s="916"/>
      <c r="X7" s="916"/>
      <c r="Y7" s="916"/>
      <c r="Z7" s="916"/>
      <c r="AA7" s="916"/>
      <c r="AB7" s="916"/>
      <c r="AC7" s="916"/>
      <c r="AD7" s="916"/>
      <c r="AE7" s="916"/>
      <c r="AF7" s="916"/>
      <c r="AG7" s="916"/>
      <c r="AH7" s="916"/>
      <c r="AI7" s="916"/>
      <c r="AJ7" s="916"/>
      <c r="AK7" s="916"/>
      <c r="AL7" s="916"/>
      <c r="AM7" s="916"/>
      <c r="AN7" s="916"/>
      <c r="AO7" s="916"/>
      <c r="AP7" s="916"/>
      <c r="AQ7" s="916"/>
      <c r="AR7" s="916"/>
      <c r="AS7" s="916"/>
      <c r="AT7" s="916"/>
      <c r="AU7" s="916"/>
      <c r="AV7" s="916"/>
      <c r="AW7" s="916"/>
      <c r="AX7" s="916"/>
      <c r="AY7" s="916"/>
      <c r="AZ7" s="916"/>
      <c r="BA7" s="916"/>
      <c r="BB7" s="916"/>
      <c r="BC7" s="916"/>
      <c r="BD7" s="916"/>
      <c r="BE7" s="916"/>
    </row>
    <row r="8" ht="14.25" customHeight="1">
      <c r="A8" s="916"/>
      <c r="B8" s="917" t="s">
        <v>743</v>
      </c>
      <c r="C8" s="917" t="s">
        <v>744</v>
      </c>
      <c r="D8" s="917"/>
      <c r="E8" s="916"/>
      <c r="F8" s="916"/>
      <c r="G8" s="916"/>
      <c r="H8" s="916"/>
      <c r="I8" s="916"/>
      <c r="J8" s="916"/>
      <c r="K8" s="916"/>
      <c r="L8" s="916"/>
      <c r="M8" s="916"/>
      <c r="N8" s="916"/>
      <c r="O8" s="916"/>
      <c r="P8" s="916"/>
      <c r="Q8" s="916"/>
      <c r="R8" s="916"/>
      <c r="S8" s="916"/>
      <c r="T8" s="916"/>
      <c r="U8" s="916"/>
      <c r="V8" s="916"/>
      <c r="W8" s="916"/>
      <c r="X8" s="916"/>
      <c r="Y8" s="916"/>
      <c r="Z8" s="916"/>
      <c r="AA8" s="916"/>
      <c r="AB8" s="916"/>
      <c r="AC8" s="916"/>
      <c r="AD8" s="916"/>
      <c r="AE8" s="916"/>
      <c r="AF8" s="916"/>
      <c r="AG8" s="916"/>
      <c r="AH8" s="916"/>
      <c r="AI8" s="916"/>
      <c r="AJ8" s="916"/>
      <c r="AK8" s="916"/>
      <c r="AL8" s="916"/>
      <c r="AM8" s="916"/>
      <c r="AN8" s="916"/>
      <c r="AO8" s="916"/>
      <c r="AP8" s="916"/>
      <c r="AQ8" s="916"/>
      <c r="AR8" s="916"/>
      <c r="AS8" s="916"/>
      <c r="AT8" s="916"/>
      <c r="AU8" s="916"/>
      <c r="AV8" s="916"/>
      <c r="AW8" s="916"/>
      <c r="AX8" s="916"/>
      <c r="AY8" s="916"/>
      <c r="AZ8" s="916"/>
      <c r="BA8" s="916"/>
      <c r="BB8" s="916"/>
      <c r="BC8" s="916"/>
      <c r="BD8" s="916"/>
      <c r="BE8" s="916"/>
    </row>
    <row r="9" ht="14.25" customHeight="1">
      <c r="A9" s="916"/>
      <c r="B9" s="920"/>
      <c r="C9" s="920"/>
      <c r="D9" s="920"/>
      <c r="E9" s="920"/>
      <c r="F9" s="920"/>
      <c r="G9" s="920"/>
      <c r="H9" s="920"/>
      <c r="I9" s="920"/>
      <c r="J9" s="920"/>
      <c r="K9" s="920"/>
      <c r="L9" s="920"/>
      <c r="M9" s="920"/>
      <c r="N9" s="920"/>
      <c r="O9" s="920"/>
      <c r="P9" s="916"/>
      <c r="Q9" s="916"/>
      <c r="R9" s="916"/>
      <c r="S9" s="916"/>
      <c r="T9" s="916"/>
      <c r="U9" s="916"/>
      <c r="V9" s="916"/>
      <c r="W9" s="916"/>
      <c r="X9" s="916"/>
      <c r="Y9" s="916"/>
      <c r="Z9" s="916"/>
      <c r="AA9" s="916"/>
      <c r="AB9" s="916"/>
      <c r="AC9" s="916"/>
      <c r="AD9" s="916"/>
      <c r="AE9" s="916"/>
      <c r="AF9" s="916"/>
      <c r="AG9" s="916"/>
      <c r="AH9" s="916"/>
      <c r="AI9" s="916"/>
      <c r="AJ9" s="916"/>
      <c r="AK9" s="916"/>
      <c r="AL9" s="916"/>
      <c r="AM9" s="916"/>
      <c r="AN9" s="916"/>
      <c r="AO9" s="916"/>
      <c r="AP9" s="916"/>
      <c r="AQ9" s="916"/>
      <c r="AR9" s="916"/>
      <c r="AS9" s="916"/>
      <c r="AT9" s="916"/>
      <c r="AU9" s="916"/>
      <c r="AV9" s="916"/>
      <c r="AW9" s="916"/>
      <c r="AX9" s="916"/>
      <c r="AY9" s="916"/>
      <c r="AZ9" s="916"/>
      <c r="BA9" s="916"/>
      <c r="BB9" s="916"/>
      <c r="BC9" s="916"/>
      <c r="BD9" s="916"/>
      <c r="BE9" s="916"/>
    </row>
    <row r="10" ht="14.25" customHeight="1">
      <c r="A10" s="916"/>
      <c r="B10" s="916"/>
      <c r="C10" s="916"/>
      <c r="D10" s="916"/>
      <c r="E10" s="916"/>
      <c r="F10" s="916"/>
      <c r="G10" s="916"/>
      <c r="H10" s="916"/>
      <c r="I10" s="916"/>
      <c r="J10" s="916"/>
      <c r="K10" s="916"/>
      <c r="L10" s="916"/>
      <c r="M10" s="916"/>
      <c r="N10" s="916"/>
      <c r="O10" s="916"/>
      <c r="P10" s="916"/>
      <c r="Q10" s="916"/>
      <c r="R10" s="916"/>
      <c r="S10" s="916"/>
      <c r="T10" s="916"/>
      <c r="U10" s="916"/>
      <c r="V10" s="916"/>
      <c r="W10" s="916"/>
      <c r="X10" s="916"/>
      <c r="Y10" s="916"/>
      <c r="Z10" s="916"/>
      <c r="AA10" s="916"/>
      <c r="AB10" s="916"/>
      <c r="AC10" s="916"/>
      <c r="AD10" s="916"/>
      <c r="AE10" s="916"/>
      <c r="AF10" s="916"/>
      <c r="AG10" s="916"/>
      <c r="AH10" s="916"/>
      <c r="AI10" s="916"/>
      <c r="AJ10" s="916"/>
      <c r="AK10" s="916"/>
      <c r="AL10" s="916"/>
      <c r="AM10" s="916"/>
      <c r="AN10" s="916"/>
      <c r="AO10" s="916"/>
      <c r="AP10" s="916"/>
      <c r="AQ10" s="916"/>
      <c r="AR10" s="916"/>
      <c r="AS10" s="916"/>
      <c r="AT10" s="916"/>
      <c r="AU10" s="916"/>
      <c r="AV10" s="916"/>
      <c r="AW10" s="916"/>
      <c r="AX10" s="916"/>
      <c r="AY10" s="916"/>
      <c r="AZ10" s="916"/>
      <c r="BA10" s="916"/>
      <c r="BB10" s="916"/>
      <c r="BC10" s="916"/>
      <c r="BD10" s="916"/>
      <c r="BE10" s="916"/>
      <c r="BF10" s="916"/>
    </row>
    <row r="11" ht="14.25" customHeight="1">
      <c r="A11" s="916"/>
      <c r="B11" s="917" t="s">
        <v>745</v>
      </c>
      <c r="C11" s="916"/>
      <c r="D11" s="921" t="s">
        <v>10</v>
      </c>
      <c r="E11" s="922"/>
      <c r="F11" s="922"/>
      <c r="G11" s="916"/>
      <c r="H11" s="916"/>
      <c r="I11" s="916"/>
      <c r="J11" s="916"/>
      <c r="K11" s="922"/>
      <c r="L11" s="922"/>
      <c r="M11" s="922"/>
      <c r="N11" s="916"/>
      <c r="O11" s="916"/>
      <c r="P11" s="916"/>
      <c r="Q11" s="916"/>
      <c r="R11" s="916"/>
      <c r="S11" s="916"/>
      <c r="T11" s="916"/>
      <c r="U11" s="916"/>
      <c r="V11" s="916"/>
      <c r="W11" s="916"/>
      <c r="X11" s="916"/>
      <c r="Y11" s="916"/>
      <c r="Z11" s="916"/>
      <c r="AA11" s="916"/>
      <c r="AB11" s="916"/>
      <c r="AC11" s="916"/>
      <c r="AD11" s="916"/>
      <c r="AE11" s="916"/>
      <c r="AF11" s="916"/>
      <c r="AG11" s="916"/>
      <c r="AH11" s="916"/>
      <c r="AI11" s="916"/>
      <c r="AJ11" s="916"/>
      <c r="AK11" s="916"/>
      <c r="AL11" s="916"/>
      <c r="AM11" s="916"/>
      <c r="AN11" s="916"/>
      <c r="AO11" s="916"/>
      <c r="AP11" s="916"/>
      <c r="AQ11" s="916"/>
      <c r="AR11" s="916"/>
      <c r="AS11" s="916"/>
      <c r="AT11" s="916"/>
      <c r="AU11" s="916"/>
      <c r="AV11" s="916"/>
      <c r="AW11" s="916"/>
      <c r="AX11" s="916"/>
      <c r="AY11" s="916"/>
      <c r="AZ11" s="916"/>
      <c r="BA11" s="916"/>
      <c r="BB11" s="916"/>
      <c r="BC11" s="916"/>
      <c r="BD11" s="916"/>
      <c r="BE11" s="916"/>
      <c r="BF11" s="916"/>
    </row>
    <row r="12" ht="14.25" customHeight="1">
      <c r="A12" s="916"/>
      <c r="B12" s="917"/>
      <c r="C12" s="916"/>
      <c r="D12" s="916" t="s">
        <v>61</v>
      </c>
      <c r="E12" s="922"/>
      <c r="F12" s="922"/>
      <c r="G12" s="916"/>
      <c r="H12" s="916"/>
      <c r="I12" s="916"/>
      <c r="J12" s="916"/>
      <c r="K12" s="922"/>
      <c r="L12" s="922"/>
      <c r="M12" s="922"/>
      <c r="N12" s="916"/>
      <c r="O12" s="916"/>
      <c r="P12" s="916"/>
      <c r="Q12" s="916"/>
      <c r="R12" s="916"/>
      <c r="S12" s="916"/>
      <c r="T12" s="916"/>
      <c r="U12" s="916"/>
      <c r="V12" s="916"/>
      <c r="W12" s="916"/>
      <c r="X12" s="916"/>
      <c r="Y12" s="916"/>
      <c r="Z12" s="916"/>
      <c r="AA12" s="916"/>
      <c r="AB12" s="916"/>
      <c r="AC12" s="916"/>
      <c r="AD12" s="916"/>
      <c r="AE12" s="916"/>
      <c r="AF12" s="916"/>
      <c r="AG12" s="916"/>
      <c r="AH12" s="916"/>
      <c r="AI12" s="916"/>
      <c r="AJ12" s="916"/>
      <c r="AK12" s="916"/>
      <c r="AL12" s="916"/>
      <c r="AM12" s="916"/>
      <c r="AN12" s="916"/>
      <c r="AO12" s="916"/>
      <c r="AP12" s="916"/>
      <c r="AQ12" s="916"/>
      <c r="AR12" s="916"/>
      <c r="AS12" s="916"/>
      <c r="AT12" s="916"/>
      <c r="AU12" s="916"/>
      <c r="AV12" s="916"/>
      <c r="AW12" s="916"/>
      <c r="AX12" s="916"/>
      <c r="AY12" s="916"/>
      <c r="AZ12" s="916"/>
      <c r="BA12" s="916"/>
      <c r="BB12" s="916"/>
      <c r="BC12" s="916"/>
      <c r="BD12" s="916"/>
      <c r="BE12" s="916"/>
      <c r="BF12" s="916"/>
    </row>
    <row r="13" ht="14.25" customHeight="1">
      <c r="A13" s="916"/>
      <c r="B13" s="917"/>
      <c r="C13" s="916"/>
      <c r="D13" s="916" t="s">
        <v>12</v>
      </c>
      <c r="E13" s="922"/>
      <c r="F13" s="922"/>
      <c r="G13" s="916"/>
      <c r="H13" s="916"/>
      <c r="I13" s="916"/>
      <c r="J13" s="916"/>
      <c r="K13" s="922"/>
      <c r="L13" s="922"/>
      <c r="M13" s="922"/>
      <c r="N13" s="916"/>
      <c r="O13" s="916"/>
      <c r="P13" s="916"/>
      <c r="Q13" s="916"/>
      <c r="R13" s="916"/>
      <c r="S13" s="916"/>
      <c r="T13" s="916"/>
      <c r="U13" s="916"/>
      <c r="V13" s="916"/>
      <c r="W13" s="916"/>
      <c r="X13" s="916"/>
      <c r="Y13" s="916"/>
      <c r="Z13" s="916"/>
      <c r="AA13" s="916"/>
      <c r="AB13" s="916"/>
      <c r="AC13" s="916"/>
      <c r="AD13" s="916"/>
      <c r="AE13" s="916"/>
      <c r="AF13" s="916"/>
      <c r="AG13" s="916"/>
      <c r="AH13" s="916"/>
      <c r="AI13" s="916"/>
      <c r="AJ13" s="916"/>
      <c r="AK13" s="916"/>
      <c r="AL13" s="916"/>
      <c r="AM13" s="916"/>
      <c r="AN13" s="916"/>
      <c r="AO13" s="916"/>
      <c r="AP13" s="916"/>
      <c r="AQ13" s="916"/>
      <c r="AR13" s="916"/>
      <c r="AS13" s="916"/>
      <c r="AT13" s="916"/>
      <c r="AU13" s="916"/>
      <c r="AV13" s="916"/>
      <c r="AW13" s="916"/>
      <c r="AX13" s="916"/>
      <c r="AY13" s="916"/>
      <c r="AZ13" s="916"/>
      <c r="BA13" s="916"/>
      <c r="BB13" s="916"/>
      <c r="BC13" s="916"/>
      <c r="BD13" s="916"/>
      <c r="BE13" s="916"/>
      <c r="BF13" s="916"/>
    </row>
    <row r="14" ht="14.25" customHeight="1">
      <c r="A14" s="916"/>
      <c r="B14" s="917"/>
      <c r="C14" s="916"/>
      <c r="D14" s="916" t="s">
        <v>746</v>
      </c>
      <c r="E14" s="922"/>
      <c r="F14" s="922"/>
      <c r="G14" s="916"/>
      <c r="H14" s="916"/>
      <c r="I14" s="916"/>
      <c r="J14" s="916"/>
      <c r="K14" s="922"/>
      <c r="L14" s="922"/>
      <c r="M14" s="922"/>
      <c r="N14" s="916"/>
      <c r="O14" s="916"/>
      <c r="P14" s="916"/>
      <c r="Q14" s="916"/>
      <c r="R14" s="916"/>
      <c r="S14" s="916"/>
      <c r="T14" s="916"/>
      <c r="U14" s="916"/>
      <c r="V14" s="916"/>
      <c r="W14" s="916"/>
      <c r="X14" s="916"/>
      <c r="Y14" s="916"/>
      <c r="Z14" s="916"/>
      <c r="AA14" s="916"/>
      <c r="AB14" s="916"/>
      <c r="AC14" s="916"/>
      <c r="AD14" s="916"/>
      <c r="AE14" s="916"/>
      <c r="AF14" s="916"/>
      <c r="AG14" s="916"/>
      <c r="AH14" s="916"/>
      <c r="AI14" s="916"/>
      <c r="AJ14" s="916"/>
      <c r="AK14" s="916"/>
      <c r="AL14" s="916"/>
      <c r="AM14" s="916"/>
      <c r="AN14" s="916"/>
      <c r="AO14" s="916"/>
      <c r="AP14" s="916"/>
      <c r="AQ14" s="916"/>
      <c r="AR14" s="916"/>
      <c r="AS14" s="916"/>
      <c r="AT14" s="916"/>
      <c r="AU14" s="916"/>
      <c r="AV14" s="916"/>
      <c r="AW14" s="916"/>
      <c r="AX14" s="916"/>
      <c r="AY14" s="916"/>
      <c r="AZ14" s="916"/>
      <c r="BA14" s="916"/>
      <c r="BB14" s="916"/>
      <c r="BC14" s="916"/>
      <c r="BD14" s="916"/>
      <c r="BE14" s="916"/>
      <c r="BF14" s="916"/>
    </row>
    <row r="15" ht="14.25" customHeight="1">
      <c r="A15" s="916"/>
      <c r="B15" s="917"/>
      <c r="C15" s="916"/>
      <c r="D15" s="916" t="s">
        <v>13</v>
      </c>
      <c r="E15" s="922"/>
      <c r="F15" s="922"/>
      <c r="G15" s="916"/>
      <c r="H15" s="916"/>
      <c r="I15" s="916"/>
      <c r="J15" s="916"/>
      <c r="K15" s="922"/>
      <c r="L15" s="922"/>
      <c r="M15" s="922"/>
      <c r="N15" s="916"/>
      <c r="O15" s="916"/>
      <c r="P15" s="916"/>
      <c r="Q15" s="916"/>
      <c r="R15" s="916"/>
      <c r="S15" s="916"/>
      <c r="T15" s="916"/>
      <c r="U15" s="916"/>
      <c r="V15" s="916"/>
      <c r="W15" s="916"/>
      <c r="X15" s="916"/>
      <c r="Y15" s="916"/>
      <c r="Z15" s="916"/>
      <c r="AA15" s="916"/>
      <c r="AB15" s="916"/>
      <c r="AC15" s="916"/>
      <c r="AD15" s="916"/>
      <c r="AE15" s="916"/>
      <c r="AF15" s="916"/>
      <c r="AG15" s="916"/>
      <c r="AH15" s="916"/>
      <c r="AI15" s="916"/>
      <c r="AJ15" s="916"/>
      <c r="AK15" s="916"/>
      <c r="AL15" s="916"/>
      <c r="AM15" s="916"/>
      <c r="AN15" s="916"/>
      <c r="AO15" s="916"/>
      <c r="AP15" s="916"/>
      <c r="AQ15" s="916"/>
      <c r="AR15" s="916"/>
      <c r="AS15" s="916"/>
      <c r="AT15" s="916"/>
      <c r="AU15" s="916"/>
      <c r="AV15" s="916"/>
      <c r="AW15" s="916"/>
      <c r="AX15" s="916"/>
      <c r="AY15" s="916"/>
      <c r="AZ15" s="916"/>
      <c r="BA15" s="916"/>
      <c r="BB15" s="916"/>
      <c r="BC15" s="916"/>
      <c r="BD15" s="916"/>
      <c r="BE15" s="916"/>
      <c r="BF15" s="916"/>
    </row>
    <row r="16" ht="14.25" customHeight="1">
      <c r="A16" s="916"/>
      <c r="B16" s="917"/>
      <c r="C16" s="916"/>
      <c r="D16" s="916" t="s">
        <v>14</v>
      </c>
      <c r="E16" s="922"/>
      <c r="F16" s="922"/>
      <c r="G16" s="916"/>
      <c r="H16" s="916"/>
      <c r="I16" s="916"/>
      <c r="J16" s="916"/>
      <c r="K16" s="922"/>
      <c r="L16" s="922"/>
      <c r="M16" s="922"/>
      <c r="N16" s="916"/>
      <c r="O16" s="916"/>
      <c r="P16" s="916"/>
      <c r="Q16" s="916"/>
      <c r="R16" s="916"/>
      <c r="S16" s="916"/>
      <c r="T16" s="916"/>
      <c r="U16" s="916"/>
      <c r="V16" s="916"/>
      <c r="W16" s="916"/>
      <c r="X16" s="916"/>
      <c r="Y16" s="916"/>
      <c r="Z16" s="916"/>
      <c r="AA16" s="916"/>
      <c r="AB16" s="916"/>
      <c r="AC16" s="916"/>
      <c r="AD16" s="916"/>
      <c r="AE16" s="916"/>
      <c r="AF16" s="916"/>
      <c r="AG16" s="916"/>
      <c r="AH16" s="916"/>
      <c r="AI16" s="916"/>
      <c r="AJ16" s="916"/>
      <c r="AK16" s="916"/>
      <c r="AL16" s="916"/>
      <c r="AM16" s="916"/>
      <c r="AN16" s="916"/>
      <c r="AO16" s="916"/>
      <c r="AP16" s="916"/>
      <c r="AQ16" s="916"/>
      <c r="AR16" s="916"/>
      <c r="AS16" s="916"/>
      <c r="AT16" s="916"/>
      <c r="AU16" s="916"/>
      <c r="AV16" s="916"/>
      <c r="AW16" s="916"/>
      <c r="AX16" s="916"/>
      <c r="AY16" s="916"/>
      <c r="AZ16" s="916"/>
      <c r="BA16" s="916"/>
      <c r="BB16" s="916"/>
      <c r="BC16" s="916"/>
      <c r="BD16" s="916"/>
      <c r="BE16" s="916"/>
      <c r="BF16" s="916"/>
    </row>
    <row r="17" ht="14.25" customHeight="1">
      <c r="A17" s="916"/>
      <c r="B17" s="917"/>
      <c r="C17" s="916"/>
      <c r="D17" s="916"/>
      <c r="E17" s="922"/>
      <c r="F17" s="922"/>
      <c r="G17" s="916"/>
      <c r="H17" s="916"/>
      <c r="I17" s="916"/>
      <c r="J17" s="916"/>
      <c r="K17" s="922"/>
      <c r="L17" s="922"/>
      <c r="M17" s="922"/>
      <c r="N17" s="916"/>
      <c r="O17" s="916"/>
      <c r="P17" s="916"/>
      <c r="Q17" s="916"/>
      <c r="R17" s="916"/>
      <c r="S17" s="916"/>
      <c r="T17" s="916"/>
      <c r="U17" s="916"/>
      <c r="V17" s="916"/>
      <c r="W17" s="916"/>
      <c r="X17" s="916"/>
      <c r="Y17" s="916"/>
      <c r="Z17" s="916"/>
      <c r="AA17" s="916"/>
      <c r="AB17" s="916"/>
      <c r="AC17" s="916"/>
      <c r="AD17" s="916"/>
      <c r="AE17" s="916"/>
      <c r="AF17" s="916"/>
      <c r="AG17" s="916"/>
      <c r="AH17" s="916"/>
      <c r="AI17" s="916"/>
      <c r="AJ17" s="916"/>
      <c r="AK17" s="916"/>
      <c r="AL17" s="916"/>
      <c r="AM17" s="916"/>
      <c r="AN17" s="916"/>
      <c r="AO17" s="916"/>
      <c r="AP17" s="916"/>
      <c r="AQ17" s="916"/>
      <c r="AR17" s="916"/>
      <c r="AS17" s="916"/>
      <c r="AT17" s="916"/>
      <c r="AU17" s="916"/>
      <c r="AV17" s="916"/>
      <c r="AW17" s="916"/>
      <c r="AX17" s="916"/>
      <c r="AY17" s="916"/>
      <c r="AZ17" s="916"/>
      <c r="BA17" s="916"/>
      <c r="BB17" s="916"/>
      <c r="BC17" s="916"/>
      <c r="BD17" s="916"/>
      <c r="BE17" s="916"/>
      <c r="BF17" s="916"/>
    </row>
    <row r="18" ht="14.25" customHeight="1">
      <c r="A18" s="916"/>
      <c r="B18" s="923" t="s">
        <v>747</v>
      </c>
      <c r="C18" s="916"/>
      <c r="D18" s="916" t="s">
        <v>748</v>
      </c>
      <c r="E18" s="922"/>
      <c r="F18" s="922"/>
      <c r="G18" s="916"/>
      <c r="H18" s="916"/>
      <c r="I18" s="916"/>
      <c r="J18" s="916"/>
      <c r="K18" s="922"/>
      <c r="L18" s="922"/>
      <c r="M18" s="922"/>
      <c r="N18" s="916"/>
      <c r="O18" s="916"/>
      <c r="P18" s="916"/>
      <c r="Q18" s="916"/>
      <c r="R18" s="916"/>
      <c r="S18" s="916"/>
      <c r="T18" s="916"/>
      <c r="U18" s="916"/>
      <c r="V18" s="916"/>
      <c r="W18" s="916"/>
      <c r="X18" s="916"/>
      <c r="Y18" s="916"/>
      <c r="Z18" s="916"/>
      <c r="AA18" s="916"/>
      <c r="AB18" s="916"/>
      <c r="AC18" s="916"/>
      <c r="AD18" s="916"/>
      <c r="AE18" s="916"/>
      <c r="AF18" s="916"/>
      <c r="AG18" s="916"/>
      <c r="AH18" s="916"/>
      <c r="AI18" s="916"/>
      <c r="AJ18" s="916"/>
      <c r="AK18" s="916"/>
      <c r="AL18" s="916"/>
      <c r="AM18" s="916"/>
      <c r="AN18" s="916"/>
      <c r="AO18" s="916"/>
      <c r="AP18" s="916"/>
      <c r="AQ18" s="916"/>
      <c r="AR18" s="916"/>
      <c r="AS18" s="916"/>
      <c r="AT18" s="916"/>
      <c r="AU18" s="916"/>
      <c r="AV18" s="916"/>
      <c r="AW18" s="916"/>
      <c r="AX18" s="916"/>
      <c r="AY18" s="916"/>
      <c r="AZ18" s="916"/>
      <c r="BA18" s="916"/>
      <c r="BB18" s="916"/>
      <c r="BC18" s="916"/>
      <c r="BD18" s="916"/>
      <c r="BE18" s="916"/>
      <c r="BF18" s="916"/>
    </row>
    <row r="19" ht="14.25" customHeight="1">
      <c r="A19" s="916"/>
      <c r="B19" s="924"/>
      <c r="C19" s="916"/>
      <c r="D19" s="916" t="s">
        <v>749</v>
      </c>
      <c r="E19" s="925"/>
      <c r="F19" s="925"/>
      <c r="G19" s="926"/>
      <c r="H19" s="926"/>
      <c r="I19" s="926"/>
      <c r="J19" s="926"/>
      <c r="K19" s="925"/>
      <c r="L19" s="925"/>
      <c r="M19" s="925"/>
      <c r="N19" s="926"/>
      <c r="O19" s="916"/>
      <c r="P19" s="916"/>
      <c r="Q19" s="916"/>
      <c r="R19" s="916"/>
      <c r="S19" s="916"/>
      <c r="T19" s="916"/>
      <c r="U19" s="916"/>
      <c r="V19" s="916"/>
      <c r="W19" s="916"/>
      <c r="X19" s="916"/>
      <c r="Y19" s="916"/>
      <c r="Z19" s="916"/>
      <c r="AA19" s="916"/>
      <c r="AB19" s="916"/>
      <c r="AC19" s="916"/>
      <c r="AD19" s="916"/>
      <c r="AE19" s="916"/>
      <c r="AF19" s="916"/>
      <c r="AG19" s="916"/>
      <c r="AH19" s="916"/>
      <c r="AI19" s="916"/>
      <c r="AJ19" s="916"/>
      <c r="AK19" s="916"/>
      <c r="AL19" s="916"/>
      <c r="AM19" s="916"/>
      <c r="AN19" s="916"/>
      <c r="AO19" s="916"/>
      <c r="AP19" s="916"/>
      <c r="AQ19" s="916"/>
      <c r="AR19" s="916"/>
      <c r="AS19" s="916"/>
      <c r="AT19" s="916"/>
      <c r="AU19" s="916"/>
      <c r="AV19" s="916"/>
      <c r="AW19" s="916"/>
      <c r="AX19" s="916"/>
      <c r="AY19" s="916"/>
      <c r="AZ19" s="916"/>
      <c r="BA19" s="916"/>
      <c r="BB19" s="916"/>
      <c r="BC19" s="916"/>
      <c r="BD19" s="916"/>
      <c r="BE19" s="916"/>
      <c r="BF19" s="916"/>
    </row>
    <row r="20" ht="14.25" customHeight="1">
      <c r="A20" s="916"/>
      <c r="B20" s="927"/>
      <c r="C20" s="920"/>
      <c r="D20" s="920"/>
      <c r="E20" s="920"/>
      <c r="F20" s="920"/>
      <c r="G20" s="920"/>
      <c r="H20" s="920"/>
      <c r="I20" s="920"/>
      <c r="J20" s="920"/>
      <c r="K20" s="920"/>
      <c r="L20" s="920"/>
      <c r="M20" s="920"/>
      <c r="N20" s="920"/>
      <c r="O20" s="920"/>
      <c r="P20" s="916"/>
      <c r="Q20" s="916"/>
      <c r="R20" s="916"/>
      <c r="S20" s="916"/>
      <c r="T20" s="916"/>
      <c r="U20" s="916"/>
      <c r="V20" s="916"/>
      <c r="W20" s="916"/>
      <c r="X20" s="916"/>
      <c r="Y20" s="916"/>
      <c r="Z20" s="916"/>
      <c r="AA20" s="916"/>
      <c r="AB20" s="916"/>
      <c r="AC20" s="916"/>
      <c r="AD20" s="916"/>
      <c r="AE20" s="916"/>
      <c r="AF20" s="916"/>
      <c r="AG20" s="916"/>
      <c r="AH20" s="916"/>
      <c r="AI20" s="916"/>
      <c r="AJ20" s="916"/>
      <c r="AK20" s="916"/>
      <c r="AL20" s="916"/>
      <c r="AM20" s="916"/>
      <c r="AN20" s="916"/>
      <c r="AO20" s="916"/>
      <c r="AP20" s="916"/>
      <c r="AQ20" s="916"/>
      <c r="AR20" s="916"/>
      <c r="AS20" s="916"/>
      <c r="AT20" s="916"/>
      <c r="AU20" s="916"/>
      <c r="AV20" s="916"/>
      <c r="AW20" s="916"/>
      <c r="AX20" s="916"/>
      <c r="AY20" s="916"/>
      <c r="AZ20" s="916"/>
      <c r="BA20" s="916"/>
      <c r="BB20" s="916"/>
      <c r="BC20" s="916"/>
      <c r="BD20" s="916"/>
      <c r="BE20" s="916"/>
      <c r="BF20" s="916"/>
    </row>
    <row r="21" ht="14.25" customHeight="1">
      <c r="A21" s="916"/>
      <c r="B21" s="917"/>
      <c r="C21" s="916"/>
      <c r="D21" s="916"/>
      <c r="E21" s="916"/>
      <c r="F21" s="916"/>
      <c r="G21" s="916"/>
      <c r="H21" s="928"/>
      <c r="I21" s="922"/>
      <c r="J21" s="922"/>
      <c r="K21" s="922"/>
      <c r="L21" s="922"/>
      <c r="M21" s="922"/>
      <c r="N21" s="922"/>
      <c r="O21" s="922"/>
      <c r="P21" s="916"/>
      <c r="Q21" s="916"/>
      <c r="R21" s="916"/>
      <c r="S21" s="916"/>
      <c r="T21" s="916"/>
      <c r="U21" s="916"/>
      <c r="V21" s="916"/>
      <c r="W21" s="916"/>
      <c r="X21" s="916"/>
      <c r="Y21" s="916"/>
      <c r="Z21" s="916"/>
      <c r="AA21" s="916"/>
      <c r="AB21" s="916"/>
      <c r="AC21" s="916"/>
      <c r="AD21" s="916"/>
      <c r="AE21" s="916"/>
      <c r="AF21" s="916"/>
      <c r="AG21" s="916"/>
      <c r="AH21" s="916"/>
      <c r="AI21" s="916"/>
      <c r="AJ21" s="916"/>
      <c r="AK21" s="916"/>
      <c r="AL21" s="916"/>
      <c r="AM21" s="916"/>
      <c r="AN21" s="916"/>
      <c r="AO21" s="916"/>
      <c r="AP21" s="916"/>
      <c r="AQ21" s="916"/>
      <c r="AR21" s="916"/>
      <c r="AS21" s="916"/>
      <c r="AT21" s="916"/>
      <c r="AU21" s="916"/>
      <c r="AV21" s="916"/>
      <c r="AW21" s="916"/>
      <c r="AX21" s="916"/>
      <c r="AY21" s="916"/>
      <c r="AZ21" s="916"/>
      <c r="BA21" s="916"/>
      <c r="BB21" s="916"/>
      <c r="BC21" s="916"/>
      <c r="BD21" s="916"/>
      <c r="BE21" s="916"/>
      <c r="BF21" s="916"/>
    </row>
    <row r="22" ht="14.25" customHeight="1">
      <c r="A22" s="916"/>
      <c r="B22" s="917"/>
      <c r="C22" s="916"/>
      <c r="D22" s="921" t="s">
        <v>16</v>
      </c>
      <c r="E22" s="916"/>
      <c r="F22" s="916"/>
      <c r="G22" s="916"/>
      <c r="H22" s="928"/>
      <c r="I22" s="922"/>
      <c r="J22" s="922"/>
      <c r="K22" s="916"/>
      <c r="L22" s="916"/>
      <c r="M22" s="916"/>
      <c r="N22" s="916"/>
      <c r="O22" s="916"/>
      <c r="P22" s="916"/>
      <c r="Q22" s="916"/>
      <c r="R22" s="916"/>
      <c r="S22" s="916"/>
      <c r="T22" s="916"/>
      <c r="U22" s="916"/>
      <c r="V22" s="916"/>
      <c r="W22" s="916"/>
      <c r="X22" s="916"/>
      <c r="Y22" s="916"/>
      <c r="Z22" s="916"/>
      <c r="AA22" s="916"/>
      <c r="AB22" s="916"/>
      <c r="AC22" s="916"/>
      <c r="AD22" s="916"/>
      <c r="AE22" s="916"/>
      <c r="AF22" s="916"/>
      <c r="AG22" s="916"/>
      <c r="AH22" s="916"/>
      <c r="AI22" s="916"/>
      <c r="AJ22" s="916"/>
      <c r="AK22" s="916"/>
      <c r="AL22" s="916"/>
      <c r="AM22" s="916"/>
      <c r="AN22" s="916"/>
      <c r="AO22" s="916"/>
      <c r="AP22" s="916"/>
      <c r="AQ22" s="916"/>
      <c r="AR22" s="916"/>
      <c r="AS22" s="916"/>
      <c r="AT22" s="916"/>
      <c r="AU22" s="916"/>
      <c r="AV22" s="916"/>
      <c r="AW22" s="916"/>
      <c r="AX22" s="916"/>
      <c r="AY22" s="916"/>
      <c r="AZ22" s="916"/>
      <c r="BA22" s="916"/>
      <c r="BB22" s="916"/>
      <c r="BC22" s="916"/>
      <c r="BD22" s="916"/>
      <c r="BE22" s="916"/>
      <c r="BF22" s="916"/>
    </row>
    <row r="23" ht="14.25" customHeight="1">
      <c r="A23" s="916"/>
      <c r="B23" s="917" t="s">
        <v>750</v>
      </c>
      <c r="C23" s="916"/>
      <c r="D23" s="929" t="s">
        <v>751</v>
      </c>
      <c r="E23" s="930"/>
      <c r="F23" s="916"/>
      <c r="G23" s="916"/>
      <c r="H23" s="928"/>
      <c r="I23" s="922"/>
      <c r="J23" s="922"/>
      <c r="K23" s="922"/>
      <c r="L23" s="922"/>
      <c r="M23" s="922"/>
      <c r="N23" s="916"/>
      <c r="O23" s="916"/>
      <c r="P23" s="916"/>
      <c r="Q23" s="916"/>
      <c r="R23" s="916"/>
      <c r="S23" s="916"/>
      <c r="T23" s="916"/>
      <c r="U23" s="916"/>
      <c r="V23" s="916"/>
      <c r="W23" s="916"/>
      <c r="X23" s="916"/>
      <c r="Y23" s="916"/>
      <c r="Z23" s="916"/>
      <c r="AA23" s="916"/>
      <c r="AB23" s="916"/>
      <c r="AC23" s="916"/>
      <c r="AD23" s="916"/>
      <c r="AE23" s="916"/>
      <c r="AF23" s="916"/>
      <c r="AG23" s="916"/>
      <c r="AH23" s="916"/>
      <c r="AI23" s="916"/>
      <c r="AJ23" s="916"/>
      <c r="AK23" s="916"/>
      <c r="AL23" s="916"/>
      <c r="AM23" s="916"/>
      <c r="AN23" s="916"/>
      <c r="AO23" s="916"/>
      <c r="AP23" s="916"/>
      <c r="AQ23" s="916"/>
      <c r="AR23" s="916"/>
      <c r="AS23" s="916"/>
      <c r="AT23" s="916"/>
      <c r="AU23" s="916"/>
      <c r="AV23" s="916"/>
      <c r="AW23" s="916"/>
      <c r="AX23" s="916"/>
      <c r="AY23" s="916"/>
      <c r="AZ23" s="916"/>
      <c r="BA23" s="916"/>
      <c r="BB23" s="916"/>
      <c r="BC23" s="916"/>
      <c r="BD23" s="916"/>
      <c r="BE23" s="916"/>
      <c r="BF23" s="916"/>
    </row>
    <row r="24" ht="14.25" customHeight="1">
      <c r="A24" s="916"/>
      <c r="B24" s="917"/>
      <c r="C24" s="916"/>
      <c r="D24" s="916"/>
      <c r="E24" s="916"/>
      <c r="F24" s="916"/>
      <c r="G24" s="916"/>
      <c r="H24" s="928"/>
      <c r="I24" s="922"/>
      <c r="J24" s="922"/>
      <c r="K24" s="922"/>
      <c r="L24" s="922"/>
      <c r="M24" s="922"/>
      <c r="N24" s="916"/>
      <c r="O24" s="916"/>
      <c r="P24" s="916"/>
      <c r="Q24" s="916"/>
      <c r="R24" s="916"/>
      <c r="S24" s="916"/>
      <c r="T24" s="916"/>
      <c r="U24" s="916"/>
      <c r="V24" s="916"/>
      <c r="W24" s="916"/>
      <c r="X24" s="916"/>
      <c r="Y24" s="916"/>
      <c r="Z24" s="916"/>
      <c r="AA24" s="916"/>
      <c r="AB24" s="916"/>
      <c r="AC24" s="916"/>
      <c r="AD24" s="916"/>
      <c r="AE24" s="916"/>
      <c r="AF24" s="916"/>
      <c r="AG24" s="916"/>
      <c r="AH24" s="916"/>
      <c r="AI24" s="916"/>
      <c r="AJ24" s="916"/>
      <c r="AK24" s="916"/>
      <c r="AL24" s="916"/>
      <c r="AM24" s="916"/>
      <c r="AN24" s="916"/>
      <c r="AO24" s="916"/>
      <c r="AP24" s="916"/>
      <c r="AQ24" s="916"/>
      <c r="AR24" s="916"/>
      <c r="AS24" s="916"/>
      <c r="AT24" s="916"/>
      <c r="AU24" s="916"/>
      <c r="AV24" s="916"/>
      <c r="AW24" s="916"/>
      <c r="AX24" s="916"/>
      <c r="AY24" s="916"/>
      <c r="AZ24" s="916"/>
      <c r="BA24" s="916"/>
      <c r="BB24" s="916"/>
      <c r="BC24" s="916"/>
      <c r="BD24" s="916"/>
      <c r="BE24" s="916"/>
      <c r="BF24" s="916"/>
    </row>
    <row r="25" ht="14.25" customHeight="1">
      <c r="A25" s="916"/>
      <c r="B25" s="917" t="s">
        <v>752</v>
      </c>
      <c r="C25" s="931" t="s">
        <v>69</v>
      </c>
      <c r="D25" s="932" t="s">
        <v>70</v>
      </c>
      <c r="E25" s="724"/>
      <c r="F25" s="724"/>
      <c r="G25" s="916"/>
      <c r="H25" s="933"/>
      <c r="I25" s="922"/>
      <c r="J25" s="928"/>
      <c r="K25" s="922"/>
      <c r="L25" s="928"/>
      <c r="M25" s="922"/>
      <c r="N25" s="916"/>
      <c r="O25" s="916"/>
      <c r="P25" s="916"/>
      <c r="Q25" s="916"/>
      <c r="R25" s="916"/>
      <c r="S25" s="916"/>
      <c r="T25" s="916"/>
      <c r="U25" s="916"/>
      <c r="V25" s="916"/>
      <c r="W25" s="916"/>
      <c r="X25" s="916"/>
      <c r="Y25" s="916"/>
      <c r="Z25" s="916"/>
      <c r="AA25" s="916"/>
      <c r="AB25" s="916"/>
      <c r="AC25" s="916"/>
      <c r="AD25" s="916"/>
      <c r="AE25" s="916"/>
      <c r="AF25" s="916"/>
      <c r="AG25" s="916"/>
      <c r="AH25" s="916"/>
      <c r="AI25" s="916"/>
      <c r="AJ25" s="916"/>
      <c r="AK25" s="916"/>
      <c r="AL25" s="916"/>
      <c r="AM25" s="916"/>
      <c r="AN25" s="916"/>
      <c r="AO25" s="916"/>
      <c r="AP25" s="916"/>
      <c r="AQ25" s="916"/>
      <c r="AR25" s="916"/>
      <c r="AS25" s="916"/>
      <c r="AT25" s="916"/>
      <c r="AU25" s="916"/>
      <c r="AV25" s="916"/>
      <c r="AW25" s="916"/>
      <c r="AX25" s="916"/>
      <c r="AY25" s="916"/>
      <c r="AZ25" s="916"/>
      <c r="BA25" s="916"/>
      <c r="BB25" s="916"/>
      <c r="BC25" s="916"/>
      <c r="BD25" s="916"/>
      <c r="BE25" s="916"/>
    </row>
    <row r="26" ht="14.25" customHeight="1">
      <c r="A26" s="916"/>
      <c r="B26" s="934" t="s">
        <v>753</v>
      </c>
      <c r="C26" s="931" t="s">
        <v>71</v>
      </c>
      <c r="D26" s="724" t="s">
        <v>72</v>
      </c>
      <c r="E26" s="724"/>
      <c r="F26" s="724"/>
      <c r="G26" s="916"/>
      <c r="H26" s="928"/>
      <c r="I26" s="922"/>
      <c r="J26" s="928"/>
      <c r="K26" s="922"/>
      <c r="L26" s="928"/>
      <c r="M26" s="922"/>
      <c r="N26" s="916"/>
      <c r="O26" s="916"/>
      <c r="P26" s="916"/>
      <c r="Q26" s="916"/>
      <c r="R26" s="916"/>
      <c r="S26" s="916"/>
      <c r="T26" s="916"/>
      <c r="U26" s="916"/>
      <c r="V26" s="916"/>
      <c r="W26" s="916"/>
      <c r="X26" s="916"/>
      <c r="Y26" s="916"/>
      <c r="Z26" s="916"/>
      <c r="AA26" s="916"/>
      <c r="AB26" s="916"/>
      <c r="AC26" s="916"/>
      <c r="AD26" s="916"/>
      <c r="AE26" s="916"/>
      <c r="AF26" s="916"/>
      <c r="AG26" s="916"/>
      <c r="AH26" s="916"/>
      <c r="AI26" s="916"/>
      <c r="AJ26" s="916"/>
      <c r="AK26" s="916"/>
      <c r="AL26" s="916"/>
      <c r="AM26" s="916"/>
      <c r="AN26" s="916"/>
      <c r="AO26" s="916"/>
      <c r="AP26" s="916"/>
      <c r="AQ26" s="916"/>
      <c r="AR26" s="916"/>
      <c r="AS26" s="916"/>
      <c r="AT26" s="916"/>
      <c r="AU26" s="916"/>
      <c r="AV26" s="916"/>
      <c r="AW26" s="916"/>
      <c r="AX26" s="916"/>
      <c r="AY26" s="916"/>
      <c r="AZ26" s="916"/>
      <c r="BA26" s="916"/>
      <c r="BB26" s="916"/>
      <c r="BC26" s="916"/>
      <c r="BD26" s="916"/>
      <c r="BE26" s="916"/>
    </row>
    <row r="27" ht="14.25" customHeight="1">
      <c r="A27" s="916"/>
      <c r="B27" s="934" t="s">
        <v>753</v>
      </c>
      <c r="C27" s="931" t="s">
        <v>754</v>
      </c>
      <c r="D27" s="724" t="s">
        <v>755</v>
      </c>
      <c r="E27" s="724"/>
      <c r="F27" s="724"/>
      <c r="G27" s="916"/>
      <c r="H27" s="928"/>
      <c r="I27" s="922"/>
      <c r="J27" s="928"/>
      <c r="K27" s="922"/>
      <c r="L27" s="928"/>
      <c r="M27" s="922"/>
      <c r="N27" s="916"/>
      <c r="O27" s="916"/>
      <c r="P27" s="916"/>
      <c r="Q27" s="916"/>
      <c r="R27" s="916"/>
      <c r="S27" s="916"/>
      <c r="T27" s="916"/>
      <c r="U27" s="916"/>
      <c r="V27" s="916"/>
      <c r="W27" s="916"/>
      <c r="X27" s="916"/>
      <c r="Y27" s="916"/>
      <c r="Z27" s="916"/>
      <c r="AA27" s="916"/>
      <c r="AB27" s="916"/>
      <c r="AC27" s="916"/>
      <c r="AD27" s="916"/>
      <c r="AE27" s="916"/>
      <c r="AF27" s="916"/>
      <c r="AG27" s="916"/>
      <c r="AH27" s="916"/>
      <c r="AI27" s="916"/>
      <c r="AJ27" s="916"/>
      <c r="AK27" s="916"/>
      <c r="AL27" s="916"/>
      <c r="AM27" s="916"/>
      <c r="AN27" s="916"/>
      <c r="AO27" s="916"/>
      <c r="AP27" s="916"/>
      <c r="AQ27" s="916"/>
      <c r="AR27" s="916"/>
      <c r="AS27" s="916"/>
      <c r="AT27" s="916"/>
      <c r="AU27" s="916"/>
      <c r="AV27" s="916"/>
      <c r="AW27" s="916"/>
      <c r="AX27" s="916"/>
      <c r="AY27" s="916"/>
      <c r="AZ27" s="916"/>
      <c r="BA27" s="916"/>
      <c r="BB27" s="916"/>
      <c r="BC27" s="916"/>
      <c r="BD27" s="916"/>
      <c r="BE27" s="916"/>
    </row>
    <row r="28" ht="14.25" customHeight="1">
      <c r="A28" s="916"/>
      <c r="B28" s="934" t="s">
        <v>753</v>
      </c>
      <c r="C28" s="931" t="s">
        <v>78</v>
      </c>
      <c r="D28" s="916" t="s">
        <v>79</v>
      </c>
      <c r="E28" s="724"/>
      <c r="F28" s="724"/>
      <c r="G28" s="926"/>
      <c r="H28" s="916"/>
      <c r="I28" s="916"/>
      <c r="J28" s="916"/>
      <c r="K28" s="916"/>
      <c r="L28" s="916"/>
      <c r="M28" s="916"/>
      <c r="N28" s="916"/>
      <c r="O28" s="916"/>
      <c r="P28" s="916"/>
      <c r="Q28" s="916"/>
      <c r="R28" s="916"/>
      <c r="S28" s="916"/>
      <c r="T28" s="916"/>
      <c r="U28" s="916"/>
      <c r="V28" s="916"/>
      <c r="W28" s="916"/>
      <c r="X28" s="916"/>
      <c r="Y28" s="916"/>
      <c r="Z28" s="916"/>
      <c r="AA28" s="916"/>
      <c r="AB28" s="916"/>
      <c r="AC28" s="916"/>
      <c r="AD28" s="916"/>
      <c r="AE28" s="916"/>
      <c r="AF28" s="916"/>
      <c r="AG28" s="916"/>
      <c r="AH28" s="916"/>
      <c r="AI28" s="916"/>
      <c r="AJ28" s="916"/>
      <c r="AK28" s="916"/>
      <c r="AL28" s="916"/>
      <c r="AM28" s="916"/>
      <c r="AN28" s="916"/>
      <c r="AO28" s="916"/>
      <c r="AP28" s="916"/>
      <c r="AQ28" s="916"/>
      <c r="AR28" s="916"/>
      <c r="AS28" s="916"/>
      <c r="AT28" s="916"/>
      <c r="AU28" s="916"/>
      <c r="AV28" s="916"/>
      <c r="AW28" s="916"/>
      <c r="AX28" s="916"/>
      <c r="AY28" s="916"/>
      <c r="AZ28" s="916"/>
      <c r="BA28" s="916"/>
      <c r="BB28" s="916"/>
      <c r="BC28" s="916"/>
      <c r="BD28" s="916"/>
      <c r="BE28" s="916"/>
    </row>
    <row r="29" ht="14.25" customHeight="1">
      <c r="A29" s="916"/>
      <c r="B29" s="934" t="s">
        <v>753</v>
      </c>
      <c r="C29" s="931" t="s">
        <v>97</v>
      </c>
      <c r="D29" s="724" t="s">
        <v>756</v>
      </c>
      <c r="E29" s="724"/>
      <c r="F29" s="724"/>
      <c r="G29" s="92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6"/>
      <c r="AU29" s="916"/>
      <c r="AV29" s="916"/>
      <c r="AW29" s="916"/>
      <c r="AX29" s="916"/>
      <c r="AY29" s="916"/>
      <c r="AZ29" s="916"/>
      <c r="BA29" s="916"/>
      <c r="BB29" s="916"/>
      <c r="BC29" s="916"/>
      <c r="BD29" s="916"/>
      <c r="BE29" s="916"/>
    </row>
    <row r="30" ht="4.5" customHeight="1">
      <c r="A30" s="916"/>
      <c r="B30" s="917"/>
      <c r="C30" s="931"/>
      <c r="D30" s="724"/>
      <c r="E30" s="724"/>
      <c r="F30" s="724"/>
      <c r="G30" s="926"/>
      <c r="H30" s="916"/>
      <c r="I30" s="916"/>
      <c r="J30" s="916"/>
      <c r="K30" s="916"/>
      <c r="L30" s="916"/>
      <c r="M30" s="916"/>
      <c r="N30" s="916"/>
      <c r="O30" s="916"/>
      <c r="P30" s="916"/>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6"/>
      <c r="AU30" s="916"/>
      <c r="AV30" s="916"/>
      <c r="AW30" s="916"/>
      <c r="AX30" s="916"/>
      <c r="AY30" s="916"/>
      <c r="AZ30" s="916"/>
      <c r="BA30" s="916"/>
      <c r="BB30" s="916"/>
      <c r="BC30" s="916"/>
      <c r="BD30" s="916"/>
      <c r="BE30" s="916"/>
    </row>
    <row r="31" ht="14.25" customHeight="1">
      <c r="A31" s="916"/>
      <c r="B31" s="934" t="s">
        <v>753</v>
      </c>
      <c r="C31" s="931" t="s">
        <v>101</v>
      </c>
      <c r="D31" s="724" t="s">
        <v>757</v>
      </c>
      <c r="E31" s="724"/>
      <c r="F31" s="724"/>
      <c r="G31" s="926"/>
      <c r="H31" s="916"/>
      <c r="I31" s="916"/>
      <c r="J31" s="916"/>
      <c r="K31" s="916"/>
      <c r="L31" s="916"/>
      <c r="M31" s="916"/>
      <c r="N31" s="916"/>
      <c r="O31" s="916"/>
      <c r="P31" s="916"/>
      <c r="Q31" s="916"/>
      <c r="R31" s="916"/>
      <c r="S31" s="916"/>
      <c r="T31" s="916"/>
      <c r="U31" s="916"/>
      <c r="V31" s="916"/>
      <c r="W31" s="916"/>
      <c r="X31" s="916"/>
      <c r="Y31" s="916"/>
      <c r="Z31" s="916"/>
      <c r="AA31" s="916"/>
      <c r="AB31" s="916"/>
      <c r="AC31" s="916"/>
      <c r="AD31" s="916"/>
      <c r="AE31" s="916"/>
      <c r="AF31" s="916"/>
      <c r="AG31" s="916"/>
      <c r="AH31" s="916"/>
      <c r="AI31" s="916"/>
      <c r="AJ31" s="916"/>
      <c r="AK31" s="916"/>
      <c r="AL31" s="916"/>
      <c r="AM31" s="916"/>
      <c r="AN31" s="916"/>
      <c r="AO31" s="916"/>
      <c r="AP31" s="916"/>
      <c r="AQ31" s="916"/>
      <c r="AR31" s="916"/>
      <c r="AS31" s="916"/>
      <c r="AT31" s="916"/>
      <c r="AU31" s="916"/>
      <c r="AV31" s="916"/>
      <c r="AW31" s="916"/>
      <c r="AX31" s="916"/>
      <c r="AY31" s="916"/>
      <c r="AZ31" s="916"/>
      <c r="BA31" s="916"/>
      <c r="BB31" s="916"/>
      <c r="BC31" s="916"/>
      <c r="BD31" s="916"/>
      <c r="BE31" s="916"/>
    </row>
    <row r="32" ht="4.5" customHeight="1">
      <c r="A32" s="916"/>
      <c r="B32" s="917"/>
      <c r="C32" s="931"/>
      <c r="D32" s="724"/>
      <c r="E32" s="724"/>
      <c r="F32" s="724"/>
      <c r="G32" s="926"/>
      <c r="H32" s="916"/>
      <c r="I32" s="916"/>
      <c r="J32" s="916"/>
      <c r="K32" s="916"/>
      <c r="L32" s="916"/>
      <c r="M32" s="916"/>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6"/>
      <c r="AU32" s="916"/>
      <c r="AV32" s="916"/>
      <c r="AW32" s="916"/>
      <c r="AX32" s="916"/>
      <c r="AY32" s="916"/>
      <c r="AZ32" s="916"/>
      <c r="BA32" s="916"/>
      <c r="BB32" s="916"/>
      <c r="BC32" s="916"/>
      <c r="BD32" s="916"/>
      <c r="BE32" s="916"/>
    </row>
    <row r="33" ht="14.25" customHeight="1">
      <c r="A33" s="916"/>
      <c r="B33" s="934" t="s">
        <v>753</v>
      </c>
      <c r="C33" s="931" t="s">
        <v>758</v>
      </c>
      <c r="D33" s="724" t="s">
        <v>270</v>
      </c>
      <c r="E33" s="724"/>
      <c r="F33" s="724"/>
      <c r="G33" s="926"/>
      <c r="H33" s="916"/>
      <c r="I33" s="916"/>
      <c r="J33" s="916"/>
      <c r="K33" s="916"/>
      <c r="L33" s="916"/>
      <c r="M33" s="916"/>
      <c r="N33" s="916"/>
      <c r="O33" s="916"/>
      <c r="P33" s="916"/>
      <c r="Q33" s="916"/>
      <c r="R33" s="916"/>
      <c r="S33" s="916"/>
      <c r="T33" s="916"/>
      <c r="U33" s="916"/>
      <c r="V33" s="916"/>
      <c r="W33" s="916"/>
      <c r="X33" s="916"/>
      <c r="Y33" s="916"/>
      <c r="Z33" s="916"/>
      <c r="AA33" s="916"/>
      <c r="AB33" s="916"/>
      <c r="AC33" s="916"/>
      <c r="AD33" s="916"/>
      <c r="AE33" s="916"/>
      <c r="AF33" s="916"/>
      <c r="AG33" s="916"/>
      <c r="AH33" s="916"/>
      <c r="AI33" s="916"/>
      <c r="AJ33" s="916"/>
      <c r="AK33" s="916"/>
      <c r="AL33" s="916"/>
      <c r="AM33" s="916"/>
      <c r="AN33" s="916"/>
      <c r="AO33" s="916"/>
      <c r="AP33" s="916"/>
      <c r="AQ33" s="916"/>
      <c r="AR33" s="916"/>
      <c r="AS33" s="916"/>
      <c r="AT33" s="916"/>
      <c r="AU33" s="916"/>
      <c r="AV33" s="916"/>
      <c r="AW33" s="916"/>
      <c r="AX33" s="916"/>
      <c r="AY33" s="916"/>
      <c r="AZ33" s="916"/>
      <c r="BA33" s="916"/>
      <c r="BB33" s="916"/>
      <c r="BC33" s="916"/>
      <c r="BD33" s="916"/>
      <c r="BE33" s="916"/>
    </row>
    <row r="34" ht="14.25" customHeight="1">
      <c r="A34" s="916"/>
      <c r="B34" s="934" t="s">
        <v>753</v>
      </c>
      <c r="C34" s="931" t="s">
        <v>759</v>
      </c>
      <c r="D34" s="724" t="s">
        <v>274</v>
      </c>
      <c r="E34" s="724"/>
      <c r="F34" s="724"/>
      <c r="G34" s="926"/>
      <c r="H34" s="916"/>
      <c r="I34" s="916"/>
      <c r="J34" s="916"/>
      <c r="K34" s="916"/>
      <c r="L34" s="916"/>
      <c r="M34" s="916"/>
      <c r="N34" s="916"/>
      <c r="O34" s="916"/>
      <c r="P34" s="916"/>
      <c r="Q34" s="916"/>
      <c r="R34" s="916"/>
      <c r="S34" s="916"/>
      <c r="T34" s="916"/>
      <c r="U34" s="916"/>
      <c r="V34" s="916"/>
      <c r="W34" s="916"/>
      <c r="X34" s="916"/>
      <c r="Y34" s="916"/>
      <c r="Z34" s="916"/>
      <c r="AA34" s="916"/>
      <c r="AB34" s="916"/>
      <c r="AC34" s="916"/>
      <c r="AD34" s="916"/>
      <c r="AE34" s="916"/>
      <c r="AF34" s="916"/>
      <c r="AG34" s="916"/>
      <c r="AH34" s="916"/>
      <c r="AI34" s="916"/>
      <c r="AJ34" s="916"/>
      <c r="AK34" s="916"/>
      <c r="AL34" s="916"/>
      <c r="AM34" s="916"/>
      <c r="AN34" s="916"/>
      <c r="AO34" s="916"/>
      <c r="AP34" s="916"/>
      <c r="AQ34" s="916"/>
      <c r="AR34" s="916"/>
      <c r="AS34" s="916"/>
      <c r="AT34" s="916"/>
      <c r="AU34" s="916"/>
      <c r="AV34" s="916"/>
      <c r="AW34" s="916"/>
      <c r="AX34" s="916"/>
      <c r="AY34" s="916"/>
      <c r="AZ34" s="916"/>
      <c r="BA34" s="916"/>
      <c r="BB34" s="916"/>
      <c r="BC34" s="916"/>
      <c r="BD34" s="916"/>
      <c r="BE34" s="916"/>
    </row>
    <row r="35" ht="14.25" customHeight="1">
      <c r="A35" s="916"/>
      <c r="B35" s="934" t="s">
        <v>753</v>
      </c>
      <c r="C35" s="931" t="s">
        <v>760</v>
      </c>
      <c r="D35" s="724" t="s">
        <v>761</v>
      </c>
      <c r="E35" s="724"/>
      <c r="F35" s="724"/>
      <c r="G35" s="926"/>
      <c r="H35" s="916"/>
      <c r="I35" s="916"/>
      <c r="J35" s="916"/>
      <c r="K35" s="916"/>
      <c r="L35" s="916"/>
      <c r="M35" s="916"/>
      <c r="N35" s="916"/>
      <c r="O35" s="916"/>
      <c r="P35" s="916"/>
      <c r="Q35" s="916"/>
      <c r="R35" s="916"/>
      <c r="S35" s="916"/>
      <c r="T35" s="916"/>
      <c r="U35" s="916"/>
      <c r="V35" s="916"/>
      <c r="W35" s="916"/>
      <c r="X35" s="916"/>
      <c r="Y35" s="916"/>
      <c r="Z35" s="916"/>
      <c r="AA35" s="916"/>
      <c r="AB35" s="916"/>
      <c r="AC35" s="916"/>
      <c r="AD35" s="916"/>
      <c r="AE35" s="916"/>
      <c r="AF35" s="916"/>
      <c r="AG35" s="916"/>
      <c r="AH35" s="916"/>
      <c r="AI35" s="916"/>
      <c r="AJ35" s="916"/>
      <c r="AK35" s="916"/>
      <c r="AL35" s="916"/>
      <c r="AM35" s="916"/>
      <c r="AN35" s="916"/>
      <c r="AO35" s="916"/>
      <c r="AP35" s="916"/>
      <c r="AQ35" s="916"/>
      <c r="AR35" s="916"/>
      <c r="AS35" s="916"/>
      <c r="AT35" s="916"/>
      <c r="AU35" s="916"/>
      <c r="AV35" s="916"/>
      <c r="AW35" s="916"/>
      <c r="AX35" s="916"/>
      <c r="AY35" s="916"/>
      <c r="AZ35" s="916"/>
      <c r="BA35" s="916"/>
      <c r="BB35" s="916"/>
      <c r="BC35" s="916"/>
      <c r="BD35" s="916"/>
      <c r="BE35" s="916"/>
    </row>
    <row r="36" ht="4.5" customHeight="1">
      <c r="A36" s="916"/>
      <c r="B36" s="917"/>
      <c r="C36" s="931"/>
      <c r="D36" s="724"/>
      <c r="E36" s="724"/>
      <c r="F36" s="724"/>
      <c r="G36" s="92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row>
    <row r="37" ht="14.25" customHeight="1">
      <c r="A37" s="916"/>
      <c r="B37" s="934" t="s">
        <v>753</v>
      </c>
      <c r="C37" s="931" t="s">
        <v>762</v>
      </c>
      <c r="D37" s="724" t="s">
        <v>763</v>
      </c>
      <c r="E37" s="724"/>
      <c r="F37" s="724"/>
      <c r="G37" s="926"/>
      <c r="H37" s="916"/>
      <c r="I37" s="916"/>
      <c r="J37" s="916"/>
      <c r="K37" s="916"/>
      <c r="L37" s="916"/>
      <c r="M37" s="916"/>
      <c r="N37" s="916"/>
      <c r="O37" s="916"/>
      <c r="P37" s="916"/>
      <c r="Q37" s="916"/>
      <c r="R37" s="916"/>
      <c r="S37" s="916"/>
      <c r="T37" s="916"/>
      <c r="U37" s="916"/>
      <c r="V37" s="916"/>
      <c r="W37" s="916"/>
      <c r="X37" s="916"/>
      <c r="Y37" s="916"/>
      <c r="Z37" s="916"/>
      <c r="AA37" s="916"/>
      <c r="AB37" s="916"/>
      <c r="AC37" s="916"/>
      <c r="AD37" s="916"/>
      <c r="AE37" s="916"/>
      <c r="AF37" s="916"/>
      <c r="AG37" s="916"/>
      <c r="AH37" s="916"/>
      <c r="AI37" s="916"/>
      <c r="AJ37" s="916"/>
      <c r="AK37" s="916"/>
      <c r="AL37" s="916"/>
      <c r="AM37" s="916"/>
      <c r="AN37" s="916"/>
      <c r="AO37" s="916"/>
      <c r="AP37" s="916"/>
      <c r="AQ37" s="916"/>
      <c r="AR37" s="916"/>
      <c r="AS37" s="916"/>
      <c r="AT37" s="916"/>
      <c r="AU37" s="916"/>
      <c r="AV37" s="916"/>
      <c r="AW37" s="916"/>
      <c r="AX37" s="916"/>
      <c r="AY37" s="916"/>
      <c r="AZ37" s="916"/>
      <c r="BA37" s="916"/>
      <c r="BB37" s="916"/>
      <c r="BC37" s="916"/>
      <c r="BD37" s="916"/>
      <c r="BE37" s="916"/>
    </row>
    <row r="38" ht="14.25" customHeight="1">
      <c r="A38" s="916"/>
      <c r="B38" s="917"/>
      <c r="C38" s="916"/>
      <c r="D38" s="916"/>
      <c r="E38" s="916"/>
      <c r="F38" s="916"/>
      <c r="G38" s="916"/>
      <c r="H38" s="916"/>
      <c r="I38" s="916"/>
      <c r="J38" s="916"/>
      <c r="K38" s="916"/>
      <c r="L38" s="916"/>
      <c r="M38" s="916"/>
      <c r="N38" s="916"/>
      <c r="O38" s="916"/>
      <c r="P38" s="916"/>
      <c r="Q38" s="916"/>
      <c r="R38" s="916"/>
      <c r="S38" s="916"/>
      <c r="T38" s="916"/>
      <c r="U38" s="916"/>
      <c r="V38" s="916"/>
      <c r="W38" s="916"/>
      <c r="X38" s="916"/>
      <c r="Y38" s="916"/>
      <c r="Z38" s="916"/>
      <c r="AA38" s="916"/>
      <c r="AB38" s="916"/>
      <c r="AC38" s="916"/>
      <c r="AD38" s="916"/>
      <c r="AE38" s="916"/>
      <c r="AF38" s="916"/>
      <c r="AG38" s="916"/>
      <c r="AH38" s="916"/>
      <c r="AI38" s="916"/>
      <c r="AJ38" s="916"/>
      <c r="AK38" s="916"/>
      <c r="AL38" s="916"/>
      <c r="AM38" s="916"/>
      <c r="AN38" s="916"/>
      <c r="AO38" s="916"/>
      <c r="AP38" s="916"/>
      <c r="AQ38" s="916"/>
      <c r="AR38" s="916"/>
      <c r="AS38" s="916"/>
      <c r="AT38" s="916"/>
      <c r="AU38" s="916"/>
      <c r="AV38" s="916"/>
      <c r="AW38" s="916"/>
      <c r="AX38" s="916"/>
      <c r="AY38" s="916"/>
      <c r="AZ38" s="916"/>
      <c r="BA38" s="916"/>
      <c r="BB38" s="916"/>
      <c r="BC38" s="916"/>
      <c r="BD38" s="916"/>
      <c r="BE38" s="916"/>
    </row>
    <row r="39" ht="14.25" customHeight="1">
      <c r="A39" s="916"/>
      <c r="B39" s="934" t="s">
        <v>753</v>
      </c>
      <c r="C39" s="931" t="s">
        <v>764</v>
      </c>
      <c r="D39" s="932" t="s">
        <v>765</v>
      </c>
      <c r="E39" s="916"/>
      <c r="F39" s="916"/>
      <c r="G39" s="916"/>
      <c r="H39" s="916"/>
      <c r="I39" s="916"/>
      <c r="J39" s="916"/>
      <c r="K39" s="916"/>
      <c r="R39" s="922"/>
      <c r="S39" s="922"/>
      <c r="T39" s="922"/>
      <c r="U39" s="922"/>
      <c r="V39" s="922"/>
      <c r="W39" s="922"/>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6"/>
      <c r="AU39" s="916"/>
      <c r="AV39" s="916"/>
      <c r="AW39" s="916"/>
      <c r="AX39" s="916"/>
      <c r="AY39" s="916"/>
      <c r="AZ39" s="916"/>
      <c r="BA39" s="916"/>
      <c r="BB39" s="916"/>
      <c r="BC39" s="916"/>
      <c r="BD39" s="916"/>
      <c r="BE39" s="916"/>
    </row>
    <row r="40" ht="14.25" customHeight="1">
      <c r="A40" s="916"/>
      <c r="B40" s="934" t="s">
        <v>753</v>
      </c>
      <c r="C40" s="935" t="s">
        <v>766</v>
      </c>
      <c r="D40" s="724" t="s">
        <v>767</v>
      </c>
      <c r="E40" s="916"/>
      <c r="F40" s="916"/>
      <c r="G40" s="916"/>
      <c r="H40" s="916"/>
      <c r="I40" s="916"/>
      <c r="J40" s="916"/>
      <c r="K40" s="916"/>
      <c r="R40" s="922"/>
      <c r="S40" s="922"/>
      <c r="T40" s="922"/>
      <c r="U40" s="922"/>
      <c r="V40" s="922"/>
      <c r="W40" s="922"/>
      <c r="X40" s="916"/>
      <c r="Y40" s="916"/>
      <c r="Z40" s="916"/>
      <c r="AA40" s="916"/>
      <c r="AB40" s="916"/>
      <c r="AC40" s="916"/>
      <c r="AD40" s="916"/>
      <c r="AE40" s="916"/>
      <c r="AF40" s="916"/>
      <c r="AG40" s="916"/>
      <c r="AH40" s="916"/>
      <c r="AI40" s="916"/>
      <c r="AJ40" s="916"/>
      <c r="AK40" s="916"/>
      <c r="AL40" s="916"/>
      <c r="AM40" s="916"/>
      <c r="AN40" s="916"/>
      <c r="AO40" s="916"/>
      <c r="AP40" s="916"/>
      <c r="AQ40" s="916"/>
      <c r="AR40" s="916"/>
      <c r="AS40" s="916"/>
      <c r="AT40" s="916"/>
      <c r="AU40" s="916"/>
      <c r="AV40" s="916"/>
      <c r="AW40" s="916"/>
      <c r="AX40" s="916"/>
      <c r="AY40" s="916"/>
      <c r="AZ40" s="916"/>
      <c r="BA40" s="916"/>
      <c r="BB40" s="916"/>
      <c r="BC40" s="916"/>
      <c r="BD40" s="916"/>
      <c r="BE40" s="916"/>
    </row>
    <row r="41" ht="14.25" customHeight="1">
      <c r="A41" s="916"/>
      <c r="B41" s="934" t="s">
        <v>753</v>
      </c>
      <c r="C41" s="935" t="s">
        <v>145</v>
      </c>
      <c r="D41" s="936" t="s">
        <v>166</v>
      </c>
      <c r="E41" s="916"/>
      <c r="F41" s="916"/>
      <c r="G41" s="916"/>
      <c r="H41" s="916"/>
      <c r="I41" s="916"/>
      <c r="J41" s="916"/>
      <c r="K41" s="916"/>
      <c r="M41" s="916"/>
      <c r="N41" s="916"/>
      <c r="Q41" s="916"/>
      <c r="R41" s="922"/>
      <c r="S41" s="922"/>
      <c r="T41" s="922"/>
      <c r="U41" s="922"/>
      <c r="V41" s="922"/>
      <c r="W41" s="922"/>
      <c r="X41" s="916"/>
      <c r="Y41" s="916"/>
      <c r="Z41" s="916"/>
      <c r="AA41" s="916"/>
      <c r="AB41" s="916"/>
      <c r="AC41" s="916"/>
      <c r="AD41" s="916"/>
      <c r="AE41" s="916"/>
      <c r="AF41" s="916"/>
      <c r="AG41" s="916"/>
      <c r="AH41" s="916"/>
      <c r="AI41" s="916"/>
      <c r="AJ41" s="916"/>
      <c r="AK41" s="916"/>
      <c r="AL41" s="916"/>
      <c r="AM41" s="916"/>
      <c r="AN41" s="916"/>
      <c r="AO41" s="916"/>
      <c r="AP41" s="916"/>
      <c r="AQ41" s="916"/>
      <c r="AR41" s="916"/>
      <c r="AS41" s="916"/>
      <c r="AT41" s="916"/>
      <c r="AU41" s="916"/>
      <c r="AV41" s="916"/>
      <c r="AW41" s="916"/>
      <c r="AX41" s="916"/>
      <c r="AY41" s="916"/>
      <c r="AZ41" s="916"/>
      <c r="BA41" s="916"/>
      <c r="BB41" s="916"/>
      <c r="BC41" s="916"/>
      <c r="BD41" s="916"/>
      <c r="BE41" s="916"/>
    </row>
    <row r="42" ht="14.25" customHeight="1">
      <c r="A42" s="916"/>
      <c r="B42" s="917"/>
      <c r="C42" s="916"/>
      <c r="D42" s="916"/>
      <c r="E42" s="916"/>
      <c r="F42" s="916"/>
      <c r="G42" s="916"/>
      <c r="H42" s="916"/>
      <c r="I42" s="916"/>
      <c r="J42" s="916"/>
      <c r="K42" s="916"/>
      <c r="Q42" s="916"/>
      <c r="R42" s="922"/>
      <c r="S42" s="922"/>
      <c r="T42" s="922"/>
      <c r="U42" s="922"/>
      <c r="V42" s="922"/>
      <c r="W42" s="922"/>
      <c r="X42" s="916"/>
      <c r="Y42" s="916"/>
      <c r="Z42" s="916"/>
      <c r="AA42" s="916"/>
      <c r="AB42" s="916"/>
      <c r="AC42" s="916"/>
      <c r="AD42" s="916"/>
      <c r="AE42" s="916"/>
      <c r="AF42" s="916"/>
      <c r="AG42" s="916"/>
      <c r="AH42" s="916"/>
      <c r="AI42" s="916"/>
      <c r="AJ42" s="916"/>
      <c r="AK42" s="916"/>
      <c r="AL42" s="916"/>
      <c r="AM42" s="916"/>
      <c r="AN42" s="916"/>
      <c r="AO42" s="916"/>
      <c r="AP42" s="916"/>
      <c r="AQ42" s="916"/>
      <c r="AR42" s="916"/>
      <c r="AS42" s="916"/>
      <c r="AT42" s="916"/>
      <c r="AU42" s="916"/>
      <c r="AV42" s="916"/>
      <c r="AW42" s="916"/>
      <c r="AX42" s="916"/>
      <c r="AY42" s="916"/>
      <c r="AZ42" s="916"/>
      <c r="BA42" s="916"/>
      <c r="BB42" s="916"/>
      <c r="BC42" s="916"/>
      <c r="BD42" s="916"/>
      <c r="BE42" s="916"/>
    </row>
    <row r="43" ht="14.25" customHeight="1">
      <c r="A43" s="916"/>
      <c r="B43" s="934" t="s">
        <v>753</v>
      </c>
      <c r="C43" s="935" t="s">
        <v>191</v>
      </c>
      <c r="D43" s="937" t="s">
        <v>192</v>
      </c>
      <c r="E43" s="916"/>
      <c r="F43" s="916"/>
      <c r="G43" s="916"/>
      <c r="H43" s="916"/>
      <c r="I43" s="916"/>
      <c r="J43" s="916"/>
      <c r="K43" s="916"/>
      <c r="R43" s="922"/>
      <c r="S43" s="922"/>
      <c r="T43" s="922"/>
      <c r="U43" s="922"/>
      <c r="V43" s="922"/>
      <c r="W43" s="922"/>
      <c r="X43" s="916"/>
      <c r="Y43" s="916"/>
      <c r="Z43" s="916"/>
      <c r="AA43" s="916"/>
      <c r="AB43" s="916"/>
      <c r="AC43" s="916"/>
      <c r="AD43" s="916"/>
      <c r="AE43" s="916"/>
      <c r="AF43" s="916"/>
      <c r="AG43" s="916"/>
      <c r="AH43" s="916"/>
      <c r="AI43" s="916"/>
      <c r="AJ43" s="916"/>
      <c r="AK43" s="916"/>
      <c r="AL43" s="916"/>
      <c r="AM43" s="916"/>
      <c r="AN43" s="916"/>
      <c r="AO43" s="916"/>
      <c r="AP43" s="916"/>
      <c r="AQ43" s="916"/>
      <c r="AR43" s="916"/>
      <c r="AS43" s="916"/>
      <c r="AT43" s="916"/>
      <c r="AU43" s="916"/>
      <c r="AV43" s="916"/>
      <c r="AW43" s="916"/>
      <c r="AX43" s="916"/>
      <c r="AY43" s="916"/>
      <c r="AZ43" s="916"/>
      <c r="BA43" s="916"/>
      <c r="BB43" s="916"/>
      <c r="BC43" s="916"/>
      <c r="BD43" s="916"/>
      <c r="BE43" s="916"/>
    </row>
    <row r="44" ht="14.25" customHeight="1">
      <c r="A44" s="916"/>
      <c r="B44" s="917"/>
      <c r="C44" s="916"/>
      <c r="D44" s="916"/>
      <c r="E44" s="916"/>
      <c r="F44" s="916"/>
      <c r="G44" s="916"/>
      <c r="H44" s="916"/>
      <c r="I44" s="916"/>
      <c r="J44" s="916"/>
      <c r="R44" s="922"/>
      <c r="S44" s="922"/>
      <c r="T44" s="922"/>
      <c r="U44" s="922"/>
      <c r="V44" s="922"/>
      <c r="W44" s="922"/>
      <c r="X44" s="916"/>
      <c r="Y44" s="916"/>
      <c r="Z44" s="916"/>
      <c r="AA44" s="916"/>
      <c r="AB44" s="916"/>
      <c r="AC44" s="916"/>
      <c r="AD44" s="916"/>
      <c r="AE44" s="916"/>
      <c r="AF44" s="916"/>
      <c r="AG44" s="916"/>
      <c r="AH44" s="916"/>
      <c r="AI44" s="916"/>
      <c r="AJ44" s="916"/>
      <c r="AK44" s="916"/>
      <c r="AL44" s="916"/>
      <c r="AM44" s="916"/>
      <c r="AN44" s="916"/>
      <c r="AO44" s="916"/>
      <c r="AP44" s="916"/>
      <c r="AQ44" s="916"/>
      <c r="AR44" s="916"/>
      <c r="AS44" s="916"/>
      <c r="AT44" s="916"/>
      <c r="AU44" s="916"/>
      <c r="AV44" s="916"/>
      <c r="AW44" s="916"/>
      <c r="AX44" s="916"/>
      <c r="AY44" s="916"/>
      <c r="AZ44" s="916"/>
      <c r="BA44" s="916"/>
      <c r="BB44" s="916"/>
      <c r="BC44" s="916"/>
      <c r="BD44" s="916"/>
      <c r="BE44" s="916"/>
    </row>
    <row r="45" ht="14.25" customHeight="1">
      <c r="A45" s="916"/>
      <c r="B45" s="934" t="s">
        <v>753</v>
      </c>
      <c r="C45" s="935" t="s">
        <v>230</v>
      </c>
      <c r="D45" s="921" t="s">
        <v>231</v>
      </c>
      <c r="E45" s="916"/>
      <c r="F45" s="916"/>
      <c r="G45" s="916"/>
      <c r="H45" s="916"/>
      <c r="I45" s="916"/>
      <c r="J45" s="916"/>
      <c r="R45" s="928"/>
      <c r="S45" s="922"/>
      <c r="T45" s="922"/>
      <c r="U45" s="922"/>
      <c r="V45" s="922"/>
      <c r="W45" s="922"/>
      <c r="X45" s="916"/>
      <c r="Y45" s="916"/>
      <c r="Z45" s="916"/>
      <c r="AA45" s="916"/>
      <c r="AB45" s="916"/>
      <c r="AC45" s="916"/>
      <c r="AD45" s="916"/>
      <c r="AE45" s="916"/>
      <c r="AF45" s="916"/>
      <c r="AG45" s="916"/>
      <c r="AH45" s="916"/>
      <c r="AI45" s="916"/>
      <c r="AJ45" s="916"/>
      <c r="AK45" s="916"/>
      <c r="AL45" s="916"/>
      <c r="AM45" s="916"/>
      <c r="AN45" s="916"/>
      <c r="AO45" s="916"/>
      <c r="AP45" s="916"/>
      <c r="AQ45" s="916"/>
      <c r="AR45" s="916"/>
      <c r="AS45" s="916"/>
      <c r="AT45" s="916"/>
      <c r="AU45" s="916"/>
      <c r="AV45" s="916"/>
      <c r="AW45" s="916"/>
      <c r="AX45" s="916"/>
      <c r="AY45" s="916"/>
      <c r="AZ45" s="916"/>
      <c r="BA45" s="916"/>
      <c r="BB45" s="916"/>
      <c r="BC45" s="916"/>
      <c r="BD45" s="916"/>
      <c r="BE45" s="916"/>
    </row>
    <row r="46" ht="14.25" customHeight="1">
      <c r="A46" s="920"/>
      <c r="B46" s="938"/>
      <c r="C46" s="920"/>
      <c r="D46" s="920"/>
      <c r="E46" s="920"/>
      <c r="F46" s="920"/>
      <c r="G46" s="920"/>
      <c r="H46" s="920"/>
      <c r="I46" s="920"/>
      <c r="J46" s="920"/>
      <c r="K46" s="920"/>
      <c r="L46" s="920"/>
      <c r="M46" s="920"/>
      <c r="N46" s="920"/>
      <c r="O46" s="920"/>
      <c r="R46" s="916"/>
      <c r="S46" s="916"/>
      <c r="T46" s="916"/>
      <c r="U46" s="916"/>
      <c r="V46" s="916"/>
      <c r="W46" s="916"/>
      <c r="X46" s="916"/>
      <c r="Y46" s="916"/>
      <c r="Z46" s="916"/>
      <c r="AA46" s="916"/>
      <c r="AB46" s="916"/>
      <c r="AC46" s="916"/>
      <c r="AD46" s="916"/>
      <c r="AE46" s="916"/>
      <c r="AF46" s="916"/>
      <c r="AG46" s="916"/>
      <c r="AH46" s="916"/>
      <c r="AI46" s="916"/>
      <c r="AJ46" s="916"/>
      <c r="AK46" s="916"/>
      <c r="AL46" s="916"/>
      <c r="AM46" s="916"/>
      <c r="AN46" s="916"/>
      <c r="AO46" s="916"/>
      <c r="AP46" s="916"/>
      <c r="AQ46" s="916"/>
      <c r="AR46" s="916"/>
      <c r="AS46" s="916"/>
      <c r="AT46" s="916"/>
      <c r="AU46" s="916"/>
      <c r="AV46" s="916"/>
      <c r="AW46" s="916"/>
      <c r="AX46" s="916"/>
      <c r="AY46" s="916"/>
      <c r="AZ46" s="916"/>
      <c r="BA46" s="916"/>
      <c r="BB46" s="916"/>
      <c r="BC46" s="916"/>
      <c r="BD46" s="916"/>
      <c r="BE46" s="916"/>
    </row>
    <row r="47" ht="14.25" customHeight="1">
      <c r="A47" s="916"/>
      <c r="B47" s="917"/>
      <c r="C47" s="916"/>
      <c r="D47" s="916"/>
      <c r="E47" s="916"/>
      <c r="F47" s="916"/>
      <c r="G47" s="916"/>
      <c r="H47" s="916"/>
      <c r="I47" s="916"/>
      <c r="J47" s="916"/>
      <c r="K47" s="916"/>
      <c r="L47" s="916"/>
      <c r="M47" s="916"/>
      <c r="N47" s="916"/>
      <c r="O47" s="916"/>
      <c r="R47" s="916"/>
      <c r="S47" s="916"/>
      <c r="T47" s="916"/>
      <c r="U47" s="916"/>
      <c r="V47" s="916"/>
      <c r="W47" s="916"/>
      <c r="X47" s="916"/>
      <c r="Y47" s="916"/>
      <c r="Z47" s="916"/>
      <c r="AA47" s="916"/>
      <c r="AB47" s="916"/>
      <c r="AC47" s="916"/>
      <c r="AD47" s="916"/>
      <c r="AE47" s="916"/>
      <c r="AF47" s="916"/>
      <c r="AG47" s="916"/>
      <c r="AH47" s="916"/>
      <c r="AI47" s="916"/>
      <c r="AJ47" s="916"/>
      <c r="AK47" s="916"/>
      <c r="AL47" s="916"/>
      <c r="AM47" s="916"/>
      <c r="AN47" s="916"/>
      <c r="AO47" s="916"/>
      <c r="AP47" s="916"/>
      <c r="AQ47" s="916"/>
      <c r="AR47" s="916"/>
      <c r="AS47" s="916"/>
      <c r="AT47" s="916"/>
      <c r="AU47" s="916"/>
      <c r="AV47" s="916"/>
      <c r="AW47" s="916"/>
      <c r="AX47" s="916"/>
      <c r="AY47" s="916"/>
      <c r="AZ47" s="916"/>
      <c r="BA47" s="916"/>
      <c r="BB47" s="916"/>
      <c r="BC47" s="916"/>
      <c r="BD47" s="916"/>
      <c r="BE47" s="916"/>
    </row>
    <row r="48" ht="14.25" customHeight="1">
      <c r="A48" s="916"/>
      <c r="B48" s="917"/>
      <c r="C48" s="935" t="s">
        <v>69</v>
      </c>
      <c r="D48" s="932" t="s">
        <v>70</v>
      </c>
      <c r="E48" s="916"/>
      <c r="F48" s="916"/>
      <c r="G48" s="916"/>
      <c r="H48" s="916"/>
      <c r="I48" s="916"/>
      <c r="J48" s="916"/>
      <c r="O48" s="916"/>
      <c r="P48" s="916"/>
      <c r="Q48" s="935"/>
      <c r="R48" s="916"/>
      <c r="S48" s="916"/>
      <c r="T48" s="916"/>
      <c r="U48" s="916"/>
      <c r="V48" s="916"/>
      <c r="W48" s="916"/>
      <c r="X48" s="916"/>
      <c r="Y48" s="916"/>
      <c r="Z48" s="916"/>
      <c r="AA48" s="916"/>
      <c r="AB48" s="916"/>
      <c r="AC48" s="916"/>
      <c r="AD48" s="916"/>
      <c r="AE48" s="916"/>
      <c r="AF48" s="916"/>
      <c r="AG48" s="916"/>
      <c r="AH48" s="916"/>
      <c r="AI48" s="916"/>
      <c r="AJ48" s="916"/>
      <c r="AK48" s="916"/>
      <c r="AL48" s="916"/>
      <c r="AM48" s="916"/>
      <c r="AN48" s="916"/>
      <c r="AO48" s="916"/>
      <c r="AP48" s="916"/>
      <c r="AQ48" s="916"/>
      <c r="AR48" s="916"/>
      <c r="AS48" s="916"/>
      <c r="AT48" s="916"/>
    </row>
    <row r="49" ht="14.25" customHeight="1">
      <c r="A49" s="916"/>
      <c r="B49" s="917"/>
      <c r="C49" s="916"/>
      <c r="D49" s="916"/>
      <c r="E49" s="916"/>
      <c r="F49" s="916"/>
      <c r="G49" s="916"/>
      <c r="H49" s="916"/>
      <c r="I49" s="916"/>
      <c r="J49" s="916"/>
      <c r="O49" s="916"/>
      <c r="P49" s="916"/>
      <c r="Q49" s="916"/>
      <c r="R49" s="916"/>
      <c r="S49" s="916"/>
      <c r="T49" s="916"/>
      <c r="U49" s="916"/>
      <c r="V49" s="916"/>
      <c r="W49" s="916"/>
      <c r="X49" s="916"/>
      <c r="Y49" s="916"/>
      <c r="Z49" s="916"/>
      <c r="AA49" s="916"/>
      <c r="AB49" s="916"/>
      <c r="AC49" s="916"/>
      <c r="AD49" s="916"/>
      <c r="AE49" s="916"/>
      <c r="AF49" s="916"/>
      <c r="AG49" s="916"/>
      <c r="AH49" s="916"/>
      <c r="AI49" s="916"/>
      <c r="AJ49" s="916"/>
      <c r="AK49" s="916"/>
      <c r="AL49" s="916"/>
      <c r="AM49" s="916"/>
      <c r="AN49" s="916"/>
      <c r="AO49" s="916"/>
      <c r="AP49" s="916"/>
      <c r="AQ49" s="916"/>
      <c r="AR49" s="916"/>
      <c r="AS49" s="916"/>
      <c r="AT49" s="916"/>
    </row>
    <row r="50" ht="14.25" customHeight="1">
      <c r="A50" s="916"/>
      <c r="B50" s="917"/>
      <c r="C50" s="935" t="s">
        <v>71</v>
      </c>
      <c r="D50" s="939" t="s">
        <v>72</v>
      </c>
      <c r="E50" s="916"/>
      <c r="F50" s="916"/>
      <c r="G50" s="916"/>
      <c r="H50" s="916"/>
      <c r="I50" s="916"/>
      <c r="J50" s="916"/>
      <c r="K50" s="916"/>
      <c r="L50" s="916"/>
      <c r="M50" s="916"/>
      <c r="N50" s="916"/>
      <c r="O50" s="916"/>
      <c r="P50" s="916"/>
      <c r="Q50" s="916"/>
      <c r="R50" s="916"/>
      <c r="S50" s="916"/>
      <c r="T50" s="916"/>
      <c r="U50" s="916"/>
      <c r="V50" s="916"/>
      <c r="W50" s="916"/>
      <c r="X50" s="916"/>
      <c r="Y50" s="916"/>
      <c r="Z50" s="916"/>
      <c r="AA50" s="916"/>
      <c r="AB50" s="916"/>
      <c r="AC50" s="916"/>
      <c r="AD50" s="916"/>
      <c r="AE50" s="916"/>
      <c r="AF50" s="916"/>
      <c r="AG50" s="916"/>
      <c r="AH50" s="916"/>
      <c r="AI50" s="916"/>
      <c r="AJ50" s="916"/>
      <c r="AK50" s="916"/>
      <c r="AL50" s="916"/>
      <c r="AM50" s="916"/>
      <c r="AN50" s="916"/>
      <c r="AO50" s="916"/>
      <c r="AP50" s="916"/>
      <c r="AQ50" s="916"/>
      <c r="AR50" s="916"/>
      <c r="AS50" s="916"/>
      <c r="AT50" s="916"/>
      <c r="AU50" s="916"/>
      <c r="AV50" s="916"/>
    </row>
    <row r="51" ht="14.25" customHeight="1">
      <c r="A51" s="916"/>
      <c r="B51" s="917" t="s">
        <v>745</v>
      </c>
      <c r="C51" s="916"/>
      <c r="D51" s="940" t="s">
        <v>73</v>
      </c>
      <c r="F51" s="916"/>
      <c r="G51" s="916"/>
      <c r="Q51" s="916"/>
      <c r="R51" s="916"/>
      <c r="S51" s="916"/>
      <c r="T51" s="916"/>
      <c r="U51" s="916"/>
      <c r="V51" s="916"/>
      <c r="W51" s="916"/>
      <c r="X51" s="916"/>
      <c r="Y51" s="916"/>
      <c r="Z51" s="916"/>
      <c r="AA51" s="916"/>
      <c r="AB51" s="916"/>
      <c r="AC51" s="916"/>
      <c r="AD51" s="916"/>
      <c r="AE51" s="916"/>
      <c r="AF51" s="916"/>
      <c r="AG51" s="916"/>
      <c r="AH51" s="916"/>
      <c r="AI51" s="916"/>
      <c r="AJ51" s="916"/>
      <c r="AK51" s="916"/>
      <c r="AL51" s="916"/>
      <c r="AM51" s="916"/>
      <c r="AN51" s="916"/>
      <c r="AO51" s="916"/>
      <c r="AP51" s="916"/>
      <c r="AQ51" s="916"/>
      <c r="AR51" s="916"/>
      <c r="AS51" s="916"/>
      <c r="AT51" s="916"/>
      <c r="AU51" s="916"/>
      <c r="AV51" s="916"/>
    </row>
    <row r="52" ht="14.25" customHeight="1">
      <c r="A52" s="916"/>
      <c r="B52" s="917" t="s">
        <v>768</v>
      </c>
      <c r="C52" s="941" t="s">
        <v>769</v>
      </c>
      <c r="D52" s="916" t="s">
        <v>75</v>
      </c>
      <c r="F52" s="916"/>
      <c r="G52" s="916"/>
      <c r="Q52" s="916"/>
      <c r="R52" s="916"/>
      <c r="S52" s="916"/>
      <c r="T52" s="916"/>
      <c r="U52" s="916"/>
      <c r="V52" s="916"/>
      <c r="W52" s="916"/>
      <c r="X52" s="916"/>
      <c r="Y52" s="916"/>
      <c r="Z52" s="916"/>
      <c r="AA52" s="916"/>
      <c r="AB52" s="916"/>
      <c r="AC52" s="916"/>
      <c r="AD52" s="916"/>
      <c r="AE52" s="916"/>
      <c r="AF52" s="916"/>
      <c r="AG52" s="916"/>
      <c r="AH52" s="916"/>
      <c r="AI52" s="916"/>
      <c r="AJ52" s="916"/>
      <c r="AK52" s="916"/>
      <c r="AL52" s="916"/>
      <c r="AM52" s="916"/>
      <c r="AN52" s="916"/>
      <c r="AO52" s="916"/>
      <c r="AP52" s="916"/>
      <c r="AQ52" s="916"/>
      <c r="AR52" s="916"/>
      <c r="AS52" s="916"/>
      <c r="AT52" s="916"/>
      <c r="AU52" s="916"/>
      <c r="AV52" s="916"/>
    </row>
    <row r="53" ht="14.25" customHeight="1">
      <c r="A53" s="916"/>
      <c r="B53" s="917"/>
      <c r="C53" s="941" t="s">
        <v>769</v>
      </c>
      <c r="D53" s="916" t="s">
        <v>770</v>
      </c>
      <c r="G53" s="916"/>
      <c r="Q53" s="916"/>
      <c r="R53" s="916"/>
      <c r="S53" s="916"/>
      <c r="T53" s="916"/>
      <c r="U53" s="916"/>
      <c r="V53" s="916"/>
      <c r="W53" s="916"/>
      <c r="X53" s="916"/>
      <c r="Y53" s="916"/>
      <c r="Z53" s="916"/>
      <c r="AA53" s="916"/>
      <c r="AB53" s="916"/>
      <c r="AC53" s="916"/>
      <c r="AD53" s="916"/>
      <c r="AE53" s="916"/>
      <c r="AF53" s="916"/>
      <c r="AG53" s="916"/>
      <c r="AH53" s="916"/>
      <c r="AI53" s="916"/>
      <c r="AJ53" s="916"/>
      <c r="AK53" s="916"/>
      <c r="AL53" s="916"/>
      <c r="AM53" s="916"/>
      <c r="AN53" s="916"/>
      <c r="AO53" s="916"/>
      <c r="AP53" s="916"/>
      <c r="AQ53" s="916"/>
      <c r="AR53" s="916"/>
      <c r="AS53" s="916"/>
      <c r="AT53" s="916"/>
      <c r="AU53" s="916"/>
      <c r="AV53" s="916"/>
    </row>
    <row r="54" ht="14.25" customHeight="1">
      <c r="A54" s="916"/>
      <c r="B54" s="917"/>
      <c r="C54" s="941" t="s">
        <v>769</v>
      </c>
      <c r="D54" s="916" t="s">
        <v>77</v>
      </c>
      <c r="G54" s="916"/>
      <c r="Q54" s="916"/>
      <c r="R54" s="916"/>
      <c r="S54" s="916"/>
      <c r="T54" s="916"/>
      <c r="U54" s="916"/>
      <c r="V54" s="916"/>
      <c r="W54" s="916"/>
      <c r="X54" s="916"/>
      <c r="Y54" s="916"/>
      <c r="Z54" s="916"/>
      <c r="AA54" s="916"/>
      <c r="AB54" s="916"/>
      <c r="AC54" s="916"/>
      <c r="AD54" s="916"/>
      <c r="AE54" s="916"/>
      <c r="AF54" s="916"/>
      <c r="AG54" s="916"/>
      <c r="AH54" s="916"/>
      <c r="AI54" s="916"/>
      <c r="AJ54" s="916"/>
      <c r="AK54" s="916"/>
      <c r="AL54" s="916"/>
      <c r="AM54" s="916"/>
      <c r="AN54" s="916"/>
      <c r="AO54" s="916"/>
      <c r="AP54" s="916"/>
      <c r="AQ54" s="916"/>
      <c r="AR54" s="916"/>
      <c r="AS54" s="916"/>
      <c r="AT54" s="916"/>
      <c r="AU54" s="916"/>
      <c r="AV54" s="916"/>
    </row>
    <row r="55" ht="14.25" customHeight="1">
      <c r="A55" s="916"/>
      <c r="B55" s="917"/>
      <c r="C55" s="941" t="s">
        <v>769</v>
      </c>
      <c r="D55" s="916" t="s">
        <v>771</v>
      </c>
      <c r="G55" s="916"/>
      <c r="Q55" s="916"/>
      <c r="R55" s="916"/>
      <c r="S55" s="916"/>
      <c r="T55" s="916"/>
      <c r="U55" s="916"/>
      <c r="V55" s="916"/>
      <c r="W55" s="916"/>
      <c r="X55" s="916"/>
      <c r="Y55" s="916"/>
      <c r="Z55" s="916"/>
      <c r="AA55" s="916"/>
      <c r="AB55" s="916"/>
      <c r="AC55" s="916"/>
      <c r="AD55" s="916"/>
      <c r="AE55" s="916"/>
      <c r="AF55" s="916"/>
      <c r="AG55" s="916"/>
      <c r="AH55" s="916"/>
      <c r="AI55" s="916"/>
      <c r="AJ55" s="916"/>
      <c r="AK55" s="916"/>
      <c r="AL55" s="916"/>
      <c r="AM55" s="916"/>
      <c r="AN55" s="916"/>
      <c r="AO55" s="916"/>
      <c r="AP55" s="916"/>
      <c r="AQ55" s="916"/>
      <c r="AR55" s="916"/>
      <c r="AS55" s="916"/>
      <c r="AT55" s="916"/>
      <c r="AU55" s="916"/>
      <c r="AV55" s="916"/>
    </row>
    <row r="56" ht="14.25" customHeight="1">
      <c r="A56" s="916"/>
      <c r="B56" s="917"/>
      <c r="C56" s="941" t="s">
        <v>769</v>
      </c>
      <c r="D56" s="916" t="s">
        <v>772</v>
      </c>
      <c r="F56" s="916"/>
      <c r="G56" s="916"/>
      <c r="Q56" s="916"/>
      <c r="R56" s="916"/>
      <c r="S56" s="916"/>
      <c r="T56" s="916"/>
      <c r="U56" s="916"/>
      <c r="V56" s="916"/>
      <c r="W56" s="916"/>
      <c r="X56" s="916"/>
      <c r="Y56" s="916"/>
      <c r="Z56" s="916"/>
      <c r="AA56" s="916"/>
      <c r="AB56" s="916"/>
      <c r="AC56" s="916"/>
      <c r="AD56" s="916"/>
      <c r="AE56" s="916"/>
      <c r="AF56" s="916"/>
      <c r="AG56" s="916"/>
      <c r="AH56" s="916"/>
      <c r="AI56" s="916"/>
      <c r="AJ56" s="916"/>
      <c r="AK56" s="916"/>
      <c r="AL56" s="916"/>
      <c r="AM56" s="916"/>
      <c r="AN56" s="916"/>
      <c r="AO56" s="916"/>
      <c r="AP56" s="916"/>
      <c r="AQ56" s="916"/>
      <c r="AR56" s="916"/>
      <c r="AS56" s="916"/>
      <c r="AT56" s="916"/>
      <c r="AU56" s="916"/>
      <c r="AV56" s="916"/>
    </row>
    <row r="57" ht="14.25" customHeight="1">
      <c r="A57" s="916"/>
      <c r="B57" s="917"/>
      <c r="C57" s="941" t="s">
        <v>769</v>
      </c>
      <c r="D57" s="916" t="s">
        <v>773</v>
      </c>
      <c r="F57" s="916"/>
      <c r="G57" s="916"/>
      <c r="Q57" s="916"/>
      <c r="R57" s="916"/>
      <c r="S57" s="916"/>
      <c r="T57" s="916"/>
      <c r="U57" s="916"/>
      <c r="V57" s="916"/>
      <c r="W57" s="916"/>
      <c r="X57" s="916"/>
      <c r="Y57" s="916"/>
      <c r="Z57" s="916"/>
      <c r="AA57" s="916"/>
      <c r="AB57" s="916"/>
      <c r="AC57" s="916"/>
      <c r="AD57" s="916"/>
      <c r="AE57" s="916"/>
      <c r="AF57" s="916"/>
      <c r="AG57" s="916"/>
      <c r="AH57" s="916"/>
      <c r="AI57" s="916"/>
      <c r="AJ57" s="916"/>
      <c r="AK57" s="916"/>
      <c r="AL57" s="916"/>
      <c r="AM57" s="916"/>
      <c r="AN57" s="916"/>
      <c r="AO57" s="916"/>
      <c r="AP57" s="916"/>
      <c r="AQ57" s="916"/>
      <c r="AR57" s="916"/>
      <c r="AS57" s="916"/>
      <c r="AT57" s="916"/>
      <c r="AU57" s="916"/>
      <c r="AV57" s="916"/>
    </row>
    <row r="58" ht="14.25" customHeight="1">
      <c r="A58" s="916"/>
      <c r="B58" s="917"/>
      <c r="C58" s="941" t="s">
        <v>769</v>
      </c>
      <c r="D58" s="916" t="s">
        <v>774</v>
      </c>
      <c r="F58" s="916"/>
      <c r="G58" s="916"/>
      <c r="Q58" s="916"/>
      <c r="R58" s="916"/>
      <c r="S58" s="916"/>
      <c r="T58" s="916"/>
      <c r="U58" s="916"/>
      <c r="V58" s="916"/>
      <c r="W58" s="916"/>
      <c r="X58" s="916"/>
      <c r="Y58" s="916"/>
      <c r="Z58" s="916"/>
      <c r="AA58" s="916"/>
      <c r="AB58" s="916"/>
      <c r="AC58" s="916"/>
      <c r="AD58" s="916"/>
      <c r="AE58" s="916"/>
      <c r="AF58" s="916"/>
      <c r="AG58" s="916"/>
      <c r="AH58" s="916"/>
      <c r="AI58" s="916"/>
      <c r="AJ58" s="916"/>
      <c r="AK58" s="916"/>
      <c r="AL58" s="916"/>
      <c r="AM58" s="916"/>
      <c r="AN58" s="916"/>
      <c r="AO58" s="916"/>
      <c r="AP58" s="916"/>
      <c r="AQ58" s="916"/>
      <c r="AR58" s="916"/>
      <c r="AS58" s="916"/>
      <c r="AT58" s="916"/>
      <c r="AU58" s="916"/>
      <c r="AV58" s="916"/>
    </row>
    <row r="59" ht="14.25" customHeight="1">
      <c r="A59" s="916"/>
      <c r="B59" s="942"/>
      <c r="C59" s="943"/>
      <c r="D59" s="944"/>
      <c r="E59" s="945"/>
      <c r="F59" s="945"/>
      <c r="G59" s="945"/>
      <c r="H59" s="945"/>
      <c r="I59" s="945"/>
      <c r="J59" s="945"/>
      <c r="K59" s="945"/>
      <c r="L59" s="945"/>
      <c r="M59" s="945"/>
      <c r="N59" s="945"/>
      <c r="O59" s="945"/>
      <c r="P59" s="916"/>
      <c r="Q59" s="916"/>
      <c r="R59" s="916"/>
      <c r="S59" s="916"/>
      <c r="T59" s="916"/>
      <c r="U59" s="916"/>
      <c r="V59" s="916"/>
      <c r="W59" s="916"/>
      <c r="X59" s="916"/>
      <c r="Y59" s="916"/>
      <c r="Z59" s="916"/>
      <c r="AA59" s="916"/>
      <c r="AB59" s="916"/>
      <c r="AC59" s="916"/>
      <c r="AD59" s="916"/>
      <c r="AE59" s="916"/>
      <c r="AF59" s="916"/>
      <c r="AG59" s="916"/>
      <c r="AH59" s="916"/>
      <c r="AI59" s="916"/>
      <c r="AJ59" s="916"/>
      <c r="AK59" s="916"/>
      <c r="AL59" s="916"/>
      <c r="AM59" s="916"/>
      <c r="AN59" s="916"/>
      <c r="AO59" s="916"/>
      <c r="AP59" s="916"/>
      <c r="AQ59" s="916"/>
      <c r="AR59" s="916"/>
      <c r="AS59" s="916"/>
      <c r="AT59" s="916"/>
      <c r="AU59" s="916"/>
      <c r="AV59" s="916"/>
    </row>
    <row r="60" ht="14.25" customHeight="1">
      <c r="A60" s="916"/>
      <c r="B60" s="946"/>
      <c r="C60" s="941"/>
      <c r="D60" s="947"/>
      <c r="E60" s="916"/>
      <c r="F60" s="916"/>
      <c r="G60" s="916"/>
      <c r="H60" s="916"/>
      <c r="I60" s="916"/>
      <c r="J60" s="916"/>
      <c r="K60" s="916"/>
      <c r="L60" s="916"/>
      <c r="M60" s="916"/>
      <c r="N60" s="916"/>
      <c r="O60" s="916"/>
      <c r="P60" s="916"/>
      <c r="Q60" s="916"/>
      <c r="R60" s="916"/>
      <c r="S60" s="916"/>
      <c r="T60" s="916"/>
      <c r="U60" s="916"/>
      <c r="V60" s="916"/>
      <c r="W60" s="916"/>
      <c r="X60" s="916"/>
      <c r="Y60" s="916"/>
      <c r="Z60" s="916"/>
      <c r="AA60" s="916"/>
      <c r="AB60" s="916"/>
      <c r="AC60" s="916"/>
      <c r="AD60" s="916"/>
      <c r="AE60" s="916"/>
      <c r="AF60" s="916"/>
      <c r="AG60" s="916"/>
      <c r="AH60" s="916"/>
      <c r="AI60" s="916"/>
      <c r="AJ60" s="916"/>
      <c r="AK60" s="916"/>
      <c r="AL60" s="916"/>
      <c r="AM60" s="916"/>
      <c r="AN60" s="916"/>
      <c r="AO60" s="916"/>
      <c r="AP60" s="916"/>
      <c r="AQ60" s="916"/>
      <c r="AR60" s="916"/>
      <c r="AS60" s="916"/>
      <c r="AT60" s="916"/>
      <c r="AU60" s="916"/>
      <c r="AV60" s="916"/>
    </row>
    <row r="61" ht="14.25" customHeight="1">
      <c r="A61" s="916"/>
      <c r="B61" s="917"/>
      <c r="C61" s="935" t="s">
        <v>754</v>
      </c>
      <c r="D61" s="939" t="s">
        <v>755</v>
      </c>
      <c r="F61" s="916"/>
      <c r="G61" s="916"/>
      <c r="Q61" s="916"/>
      <c r="R61" s="916"/>
      <c r="S61" s="916"/>
      <c r="T61" s="916"/>
      <c r="U61" s="916"/>
      <c r="V61" s="916"/>
      <c r="W61" s="916"/>
      <c r="X61" s="916"/>
      <c r="Y61" s="916"/>
      <c r="Z61" s="916"/>
      <c r="AA61" s="916"/>
      <c r="AB61" s="916"/>
      <c r="AC61" s="916"/>
      <c r="AD61" s="916"/>
      <c r="AE61" s="916"/>
      <c r="AF61" s="916"/>
      <c r="AG61" s="916"/>
      <c r="AH61" s="916"/>
      <c r="AI61" s="916"/>
      <c r="AJ61" s="916"/>
      <c r="AK61" s="916"/>
      <c r="AL61" s="916"/>
      <c r="AM61" s="916"/>
      <c r="AN61" s="916"/>
      <c r="AO61" s="916"/>
      <c r="AP61" s="916"/>
      <c r="AQ61" s="916"/>
      <c r="AR61" s="916"/>
      <c r="AS61" s="916"/>
      <c r="AT61" s="916"/>
      <c r="AU61" s="916"/>
      <c r="AV61" s="916"/>
    </row>
    <row r="62" ht="14.25" customHeight="1">
      <c r="A62" s="916"/>
      <c r="B62" s="917" t="s">
        <v>768</v>
      </c>
      <c r="C62" s="948" t="s">
        <v>769</v>
      </c>
      <c r="D62" t="s">
        <v>47</v>
      </c>
      <c r="F62" s="916"/>
      <c r="G62" s="916"/>
      <c r="Q62" s="916" t="s">
        <v>775</v>
      </c>
      <c r="R62" s="916"/>
      <c r="S62" s="916"/>
      <c r="T62" s="916"/>
      <c r="U62" s="916"/>
      <c r="V62" s="916"/>
      <c r="W62" s="916"/>
      <c r="X62" s="916"/>
      <c r="Y62" s="916"/>
      <c r="Z62" s="916"/>
      <c r="AA62" s="916"/>
      <c r="AB62" s="916"/>
      <c r="AC62" s="916"/>
      <c r="AD62" s="916"/>
      <c r="AE62" s="916"/>
      <c r="AF62" s="916"/>
      <c r="AG62" s="916"/>
      <c r="AH62" s="916"/>
      <c r="AI62" s="916"/>
      <c r="AJ62" s="916"/>
      <c r="AK62" s="916"/>
      <c r="AL62" s="916"/>
      <c r="AM62" s="916"/>
      <c r="AN62" s="916"/>
      <c r="AO62" s="916"/>
      <c r="AP62" s="916"/>
      <c r="AQ62" s="916"/>
      <c r="AR62" s="916"/>
      <c r="AS62" s="916"/>
      <c r="AT62" s="916"/>
      <c r="AU62" s="916"/>
      <c r="AV62" s="916"/>
    </row>
    <row r="63" ht="14.25" customHeight="1">
      <c r="A63" s="916"/>
      <c r="B63" s="917"/>
      <c r="C63" s="948" t="s">
        <v>769</v>
      </c>
      <c r="D63" t="s">
        <v>776</v>
      </c>
      <c r="E63" s="916"/>
      <c r="F63" s="916"/>
      <c r="G63" s="916"/>
      <c r="Q63" s="916"/>
      <c r="R63" s="916"/>
      <c r="S63" s="916"/>
      <c r="T63" s="916"/>
      <c r="U63" s="916"/>
      <c r="V63" s="916"/>
      <c r="W63" s="916"/>
      <c r="X63" s="916"/>
      <c r="Y63" s="916"/>
      <c r="Z63" s="916"/>
      <c r="AA63" s="916"/>
      <c r="AB63" s="916"/>
      <c r="AC63" s="916"/>
      <c r="AD63" s="916"/>
      <c r="AE63" s="916"/>
      <c r="AF63" s="916"/>
      <c r="AG63" s="916"/>
      <c r="AH63" s="916"/>
      <c r="AI63" s="916"/>
      <c r="AJ63" s="916"/>
      <c r="AK63" s="916"/>
      <c r="AL63" s="916"/>
      <c r="AM63" s="916"/>
      <c r="AN63" s="916"/>
      <c r="AO63" s="916"/>
      <c r="AP63" s="916"/>
      <c r="AQ63" s="916"/>
      <c r="AR63" s="916"/>
      <c r="AS63" s="916"/>
      <c r="AT63" s="916"/>
      <c r="AU63" s="916"/>
      <c r="AV63" s="916"/>
    </row>
    <row r="64" ht="14.25" customHeight="1">
      <c r="A64" s="916"/>
      <c r="B64" s="942"/>
      <c r="C64" s="943"/>
      <c r="D64" s="944"/>
      <c r="E64" s="945"/>
      <c r="F64" s="945"/>
      <c r="G64" s="945"/>
      <c r="H64" s="945"/>
      <c r="I64" s="945"/>
      <c r="J64" s="945"/>
      <c r="K64" s="945"/>
      <c r="L64" s="945"/>
      <c r="M64" s="945"/>
      <c r="N64" s="945"/>
      <c r="O64" s="945"/>
      <c r="P64" s="916"/>
      <c r="Q64" s="916"/>
      <c r="R64" s="916"/>
      <c r="S64" s="916"/>
      <c r="T64" s="916"/>
      <c r="U64" s="916"/>
      <c r="V64" s="916"/>
      <c r="W64" s="916"/>
      <c r="X64" s="916"/>
      <c r="Y64" s="916"/>
      <c r="Z64" s="916"/>
      <c r="AA64" s="916"/>
      <c r="AB64" s="916"/>
      <c r="AC64" s="916"/>
      <c r="AD64" s="916"/>
      <c r="AE64" s="916"/>
      <c r="AF64" s="916"/>
      <c r="AG64" s="916"/>
      <c r="AH64" s="916"/>
      <c r="AI64" s="916"/>
      <c r="AJ64" s="916"/>
      <c r="AK64" s="916"/>
      <c r="AL64" s="916"/>
      <c r="AM64" s="916"/>
      <c r="AN64" s="916"/>
      <c r="AO64" s="916"/>
      <c r="AP64" s="916"/>
      <c r="AQ64" s="916"/>
      <c r="AR64" s="916"/>
      <c r="AS64" s="916"/>
      <c r="AT64" s="916"/>
      <c r="AU64" s="916"/>
      <c r="AV64" s="916"/>
    </row>
    <row r="65" ht="14.25" customHeight="1">
      <c r="A65" s="916"/>
      <c r="B65" s="946"/>
      <c r="C65" s="941"/>
      <c r="D65" s="947"/>
      <c r="E65" s="916"/>
      <c r="F65" s="916"/>
      <c r="G65" s="916"/>
      <c r="H65" s="916"/>
      <c r="I65" s="916"/>
      <c r="J65" s="916"/>
      <c r="K65" s="916"/>
      <c r="L65" s="916"/>
      <c r="M65" s="916"/>
      <c r="N65" s="916"/>
      <c r="O65" s="916"/>
      <c r="P65" s="916"/>
      <c r="Q65" s="916"/>
      <c r="R65" s="916"/>
      <c r="S65" s="916"/>
      <c r="T65" s="916"/>
      <c r="U65" s="916"/>
      <c r="V65" s="916"/>
      <c r="W65" s="916"/>
      <c r="X65" s="916"/>
      <c r="Y65" s="916"/>
      <c r="Z65" s="916"/>
      <c r="AA65" s="916"/>
      <c r="AB65" s="916"/>
      <c r="AC65" s="916"/>
      <c r="AD65" s="916"/>
      <c r="AE65" s="916"/>
      <c r="AF65" s="916"/>
      <c r="AG65" s="916"/>
      <c r="AH65" s="916"/>
      <c r="AI65" s="916"/>
      <c r="AJ65" s="916"/>
      <c r="AK65" s="916"/>
      <c r="AL65" s="916"/>
      <c r="AM65" s="916"/>
      <c r="AN65" s="916"/>
      <c r="AO65" s="916"/>
      <c r="AP65" s="916"/>
      <c r="AQ65" s="916"/>
      <c r="AR65" s="916"/>
      <c r="AS65" s="916"/>
      <c r="AT65" s="916"/>
      <c r="AU65" s="916"/>
      <c r="AV65" s="916"/>
    </row>
    <row r="66" ht="14.25" customHeight="1">
      <c r="A66" s="916"/>
      <c r="B66" s="917"/>
      <c r="C66" s="935" t="s">
        <v>78</v>
      </c>
      <c r="D66" s="921" t="s">
        <v>79</v>
      </c>
      <c r="E66" s="916"/>
      <c r="F66" s="916"/>
      <c r="G66" s="916"/>
      <c r="H66" s="916"/>
      <c r="I66" s="935" t="s">
        <v>80</v>
      </c>
      <c r="P66" s="916"/>
      <c r="Q66" s="916"/>
      <c r="R66" s="916"/>
      <c r="S66" s="916"/>
      <c r="T66" s="916"/>
      <c r="U66" s="916"/>
      <c r="V66" s="916"/>
      <c r="W66" s="916"/>
      <c r="X66" s="916"/>
      <c r="Y66" s="916"/>
      <c r="Z66" s="916"/>
      <c r="AA66" s="916"/>
      <c r="AB66" s="916"/>
      <c r="AC66" s="916"/>
      <c r="AD66" s="916"/>
      <c r="AE66" s="916"/>
      <c r="AF66" s="916"/>
      <c r="AG66" s="916"/>
      <c r="AH66" s="916"/>
      <c r="AI66" s="916"/>
      <c r="AJ66" s="916"/>
      <c r="AK66" s="916"/>
      <c r="AL66" s="916"/>
      <c r="AM66" s="916"/>
      <c r="AN66" s="916"/>
      <c r="AO66" s="916"/>
      <c r="AP66" s="916"/>
      <c r="AQ66" s="916"/>
      <c r="AR66" s="916"/>
      <c r="AS66" s="916"/>
      <c r="AT66" s="916"/>
      <c r="AU66" s="916"/>
      <c r="AV66" s="916"/>
    </row>
    <row r="67" ht="14.25" customHeight="1">
      <c r="A67" s="916"/>
      <c r="B67" s="917"/>
      <c r="C67" s="916"/>
      <c r="E67" s="916"/>
      <c r="F67" s="916"/>
      <c r="G67" s="916"/>
      <c r="H67" s="916"/>
      <c r="I67" s="949" t="s">
        <v>82</v>
      </c>
      <c r="J67" s="935" t="s">
        <v>90</v>
      </c>
      <c r="K67" s="949" t="s">
        <v>89</v>
      </c>
      <c r="L67" s="935" t="s">
        <v>91</v>
      </c>
      <c r="M67" s="935" t="s">
        <v>777</v>
      </c>
      <c r="N67" s="935" t="s">
        <v>84</v>
      </c>
      <c r="O67" s="935" t="s">
        <v>778</v>
      </c>
      <c r="P67" s="916"/>
      <c r="Q67" s="916"/>
      <c r="R67" s="916"/>
      <c r="S67" s="916"/>
      <c r="T67" s="916"/>
      <c r="U67" s="916"/>
      <c r="V67" s="916"/>
      <c r="W67" s="916"/>
      <c r="X67" s="916"/>
      <c r="Y67" s="916"/>
      <c r="Z67" s="916"/>
      <c r="AA67" s="916"/>
      <c r="AB67" s="916"/>
      <c r="AC67" s="916"/>
      <c r="AD67" s="916"/>
      <c r="AE67" s="916"/>
      <c r="AF67" s="916"/>
      <c r="AG67" s="916"/>
      <c r="AH67" s="916"/>
      <c r="AI67" s="916"/>
      <c r="AJ67" s="916"/>
      <c r="AK67" s="916"/>
      <c r="AL67" s="916"/>
      <c r="AM67" s="916"/>
      <c r="AN67" s="916"/>
      <c r="AO67" s="916"/>
      <c r="AP67" s="916"/>
      <c r="AQ67" s="916"/>
      <c r="AR67" s="916"/>
      <c r="AS67" s="916"/>
      <c r="AT67" s="916"/>
      <c r="AU67" s="916"/>
      <c r="AV67" s="916"/>
    </row>
    <row r="68" ht="14.25" customHeight="1">
      <c r="A68" s="916"/>
      <c r="B68" s="917" t="s">
        <v>779</v>
      </c>
      <c r="C68" s="916"/>
      <c r="D68" s="916" t="s">
        <v>92</v>
      </c>
      <c r="E68" s="916"/>
      <c r="F68" s="916"/>
      <c r="G68" s="916"/>
      <c r="H68" s="916"/>
      <c r="I68" s="950" t="s">
        <v>780</v>
      </c>
      <c r="J68" s="950" t="s">
        <v>780</v>
      </c>
      <c r="K68" s="950" t="s">
        <v>780</v>
      </c>
      <c r="L68" s="950" t="s">
        <v>780</v>
      </c>
      <c r="M68" s="950" t="s">
        <v>780</v>
      </c>
      <c r="N68" s="950" t="s">
        <v>780</v>
      </c>
      <c r="O68" s="950" t="s">
        <v>780</v>
      </c>
      <c r="P68" s="916"/>
      <c r="Q68" s="916"/>
      <c r="R68" s="916"/>
      <c r="S68" s="916"/>
      <c r="T68" s="916"/>
      <c r="U68" s="916"/>
      <c r="V68" s="916"/>
      <c r="W68" s="916"/>
      <c r="X68" s="916"/>
      <c r="Y68" s="916"/>
      <c r="Z68" s="916"/>
      <c r="AA68" s="916"/>
      <c r="AB68" s="916"/>
      <c r="AC68" s="916"/>
      <c r="AD68" s="916"/>
      <c r="AE68" s="916"/>
      <c r="AF68" s="916"/>
      <c r="AG68" s="916"/>
      <c r="AH68" s="916"/>
      <c r="AI68" s="916"/>
      <c r="AJ68" s="916"/>
      <c r="AK68" s="916"/>
      <c r="AL68" s="916"/>
      <c r="AM68" s="916"/>
      <c r="AN68" s="916"/>
      <c r="AO68" s="916"/>
      <c r="AP68" s="916"/>
      <c r="AQ68" s="916"/>
      <c r="AR68" s="916"/>
      <c r="AS68" s="916"/>
      <c r="AT68" s="916"/>
      <c r="AU68" s="916"/>
      <c r="AV68" s="916"/>
      <c r="AW68" s="916"/>
      <c r="AX68" s="916"/>
      <c r="AY68" s="916"/>
      <c r="AZ68" s="916"/>
      <c r="BA68" s="916"/>
      <c r="BB68" s="916"/>
      <c r="BC68" s="916"/>
      <c r="BD68" s="916"/>
      <c r="BE68" s="916"/>
      <c r="BF68" s="916"/>
    </row>
    <row r="69" ht="14.25" customHeight="1">
      <c r="A69" s="916"/>
      <c r="B69" s="917"/>
      <c r="C69" s="916"/>
      <c r="D69" s="951"/>
      <c r="E69" s="916"/>
      <c r="F69" s="916"/>
      <c r="G69" s="916"/>
      <c r="H69" s="916"/>
      <c r="I69" s="916"/>
      <c r="J69" s="916"/>
      <c r="K69" s="916"/>
      <c r="L69" s="916"/>
      <c r="M69" s="916"/>
      <c r="N69" s="916"/>
      <c r="O69" s="916"/>
      <c r="P69" s="916"/>
      <c r="Q69" s="916"/>
      <c r="R69" s="916"/>
      <c r="S69" s="916"/>
      <c r="T69" s="916"/>
      <c r="U69" s="916"/>
      <c r="V69" s="916"/>
      <c r="W69" s="916"/>
      <c r="X69" s="916"/>
      <c r="Y69" s="916"/>
      <c r="Z69" s="916"/>
      <c r="AA69" s="916"/>
      <c r="AB69" s="916"/>
      <c r="AC69" s="916"/>
      <c r="AD69" s="916"/>
      <c r="AE69" s="916"/>
      <c r="AF69" s="916"/>
      <c r="AG69" s="916"/>
      <c r="AH69" s="916"/>
      <c r="AI69" s="916"/>
      <c r="AJ69" s="916"/>
      <c r="AK69" s="916"/>
      <c r="AL69" s="916"/>
      <c r="AM69" s="916"/>
      <c r="AN69" s="916"/>
      <c r="AO69" s="916"/>
      <c r="AP69" s="916"/>
      <c r="AQ69" s="916"/>
      <c r="AR69" s="916"/>
      <c r="AS69" s="916"/>
      <c r="AT69" s="916"/>
      <c r="AU69" s="916"/>
      <c r="AV69" s="916"/>
      <c r="AW69" s="916"/>
      <c r="AX69" s="916"/>
      <c r="AY69" s="916"/>
      <c r="AZ69" s="916"/>
      <c r="BA69" s="916"/>
      <c r="BB69" s="916"/>
      <c r="BC69" s="916"/>
      <c r="BD69" s="916"/>
      <c r="BE69" s="916"/>
      <c r="BF69" s="916"/>
    </row>
    <row r="70" ht="14.25" customHeight="1">
      <c r="A70" s="916"/>
      <c r="B70" s="952" t="s">
        <v>781</v>
      </c>
      <c r="C70" s="935"/>
      <c r="D70" s="921" t="s">
        <v>782</v>
      </c>
      <c r="E70" s="916"/>
      <c r="F70" s="916"/>
      <c r="G70" s="916"/>
      <c r="I70" s="934" t="s">
        <v>783</v>
      </c>
      <c r="P70" s="916"/>
      <c r="Q70" s="916"/>
      <c r="R70" s="916"/>
      <c r="S70" s="916"/>
      <c r="T70" s="916"/>
      <c r="U70" s="916"/>
      <c r="V70" s="916"/>
      <c r="W70" s="916"/>
      <c r="X70" s="916"/>
      <c r="Y70" s="916"/>
      <c r="Z70" s="916"/>
      <c r="AA70" s="916"/>
      <c r="AB70" s="916"/>
      <c r="AC70" s="916"/>
      <c r="AD70" s="916"/>
      <c r="AE70" s="916"/>
      <c r="AF70" s="916"/>
      <c r="AG70" s="916"/>
      <c r="AH70" s="916"/>
      <c r="AI70" s="916"/>
      <c r="AJ70" s="916"/>
      <c r="AK70" s="916"/>
      <c r="AL70" s="916"/>
      <c r="AM70" s="916"/>
      <c r="AN70" s="916"/>
      <c r="AO70" s="916"/>
      <c r="AP70" s="916"/>
      <c r="AQ70" s="916"/>
      <c r="AR70" s="916"/>
      <c r="AS70" s="916"/>
      <c r="AT70" s="916"/>
      <c r="AU70" s="916"/>
      <c r="AV70" s="916"/>
    </row>
    <row r="71" ht="14.25" customHeight="1">
      <c r="A71" s="916"/>
      <c r="C71" s="935"/>
      <c r="D71" t="s">
        <v>784</v>
      </c>
      <c r="E71" s="916"/>
      <c r="F71" s="916"/>
      <c r="G71" s="916"/>
      <c r="I71" s="950" t="s">
        <v>785</v>
      </c>
      <c r="J71" s="950" t="s">
        <v>785</v>
      </c>
      <c r="K71" s="950" t="s">
        <v>785</v>
      </c>
      <c r="L71" s="950" t="s">
        <v>785</v>
      </c>
      <c r="M71" s="950" t="s">
        <v>785</v>
      </c>
      <c r="N71" s="950" t="s">
        <v>785</v>
      </c>
      <c r="O71" s="950" t="s">
        <v>785</v>
      </c>
      <c r="P71" s="916"/>
      <c r="Q71" s="916"/>
      <c r="R71" s="916"/>
      <c r="S71" s="916"/>
      <c r="T71" s="916"/>
      <c r="U71" s="916"/>
      <c r="V71" s="916"/>
      <c r="W71" s="916"/>
      <c r="X71" s="916"/>
      <c r="Y71" s="916"/>
      <c r="Z71" s="916"/>
      <c r="AA71" s="916"/>
      <c r="AB71" s="916"/>
      <c r="AC71" s="916"/>
      <c r="AD71" s="916"/>
      <c r="AE71" s="916"/>
      <c r="AF71" s="916"/>
      <c r="AG71" s="916"/>
      <c r="AH71" s="916"/>
      <c r="AI71" s="916"/>
      <c r="AJ71" s="916"/>
      <c r="AK71" s="916"/>
      <c r="AL71" s="916"/>
      <c r="AM71" s="916"/>
      <c r="AN71" s="916"/>
      <c r="AO71" s="916"/>
      <c r="AP71" s="916"/>
      <c r="AQ71" s="916"/>
      <c r="AR71" s="916"/>
      <c r="AS71" s="916"/>
      <c r="AT71" s="916"/>
      <c r="AU71" s="916"/>
      <c r="AV71" s="916"/>
    </row>
    <row r="72" ht="14.25" customHeight="1">
      <c r="A72" s="916"/>
      <c r="B72" s="917" t="s">
        <v>786</v>
      </c>
      <c r="C72" s="935"/>
      <c r="D72" s="921"/>
      <c r="E72" s="916"/>
      <c r="F72" s="916"/>
      <c r="G72" s="916"/>
      <c r="I72" s="916"/>
      <c r="J72" s="916"/>
      <c r="K72" s="916"/>
      <c r="L72" s="916"/>
      <c r="M72" s="916"/>
      <c r="N72" s="916"/>
      <c r="O72" s="916"/>
      <c r="P72" s="916"/>
      <c r="Q72" s="916"/>
      <c r="R72" s="916"/>
      <c r="S72" s="916"/>
      <c r="T72" s="916"/>
      <c r="U72" s="916"/>
      <c r="V72" s="916"/>
      <c r="W72" s="916"/>
      <c r="X72" s="916"/>
      <c r="Y72" s="916"/>
      <c r="Z72" s="916"/>
      <c r="AA72" s="916"/>
      <c r="AB72" s="916"/>
      <c r="AC72" s="916"/>
      <c r="AD72" s="916"/>
      <c r="AE72" s="916"/>
      <c r="AF72" s="916"/>
      <c r="AG72" s="916"/>
      <c r="AH72" s="916"/>
      <c r="AI72" s="916"/>
      <c r="AJ72" s="916"/>
      <c r="AK72" s="916"/>
      <c r="AL72" s="916"/>
      <c r="AM72" s="916"/>
      <c r="AN72" s="916"/>
      <c r="AO72" s="916"/>
      <c r="AP72" s="916"/>
      <c r="AQ72" s="916"/>
      <c r="AR72" s="916"/>
      <c r="AS72" s="916"/>
      <c r="AT72" s="916"/>
      <c r="AU72" s="916"/>
      <c r="AV72" s="916"/>
    </row>
    <row r="73" ht="14.25" customHeight="1">
      <c r="A73" s="916"/>
      <c r="B73" s="917"/>
      <c r="C73" s="935"/>
      <c r="D73" s="936" t="s">
        <v>787</v>
      </c>
      <c r="E73" s="916"/>
      <c r="F73" s="916"/>
      <c r="G73" s="916"/>
      <c r="I73" s="950" t="s">
        <v>785</v>
      </c>
      <c r="J73" s="950" t="s">
        <v>788</v>
      </c>
      <c r="K73" s="953"/>
      <c r="L73" s="953"/>
      <c r="M73" s="953"/>
      <c r="N73" s="953"/>
      <c r="O73" s="953"/>
      <c r="P73" s="916"/>
      <c r="Q73" s="916"/>
      <c r="R73" s="916"/>
      <c r="S73" s="916"/>
      <c r="T73" s="916"/>
      <c r="U73" s="916"/>
      <c r="V73" s="916"/>
      <c r="W73" s="916"/>
      <c r="X73" s="916"/>
      <c r="Y73" s="916"/>
      <c r="Z73" s="916"/>
      <c r="AA73" s="916"/>
      <c r="AB73" s="916"/>
      <c r="AC73" s="916"/>
      <c r="AD73" s="916"/>
      <c r="AE73" s="916"/>
      <c r="AF73" s="916"/>
      <c r="AG73" s="916"/>
      <c r="AH73" s="916"/>
      <c r="AI73" s="916"/>
      <c r="AJ73" s="916"/>
      <c r="AK73" s="916"/>
      <c r="AL73" s="916"/>
      <c r="AM73" s="916"/>
      <c r="AN73" s="916"/>
      <c r="AO73" s="916"/>
      <c r="AP73" s="916"/>
      <c r="AQ73" s="916"/>
      <c r="AR73" s="916"/>
      <c r="AS73" s="916"/>
      <c r="AT73" s="916"/>
      <c r="AU73" s="916"/>
      <c r="AV73" s="916"/>
    </row>
    <row r="74" ht="14.25" customHeight="1">
      <c r="A74" s="916"/>
      <c r="B74" s="917"/>
      <c r="C74" s="935"/>
      <c r="D74" s="936" t="s">
        <v>789</v>
      </c>
      <c r="E74" s="916"/>
      <c r="F74" s="916"/>
      <c r="G74" s="916"/>
      <c r="I74" s="950" t="s">
        <v>785</v>
      </c>
      <c r="J74" s="953"/>
      <c r="K74" s="953"/>
      <c r="L74" s="953"/>
      <c r="M74" s="953"/>
      <c r="N74" s="953"/>
      <c r="O74" s="953"/>
      <c r="P74" s="916"/>
      <c r="Q74" s="916"/>
      <c r="R74" s="916"/>
      <c r="S74" s="916"/>
      <c r="T74" s="916"/>
      <c r="U74" s="916"/>
      <c r="V74" s="916"/>
      <c r="W74" s="916"/>
      <c r="X74" s="916"/>
      <c r="Y74" s="916"/>
      <c r="Z74" s="916"/>
      <c r="AA74" s="916"/>
      <c r="AB74" s="916"/>
      <c r="AC74" s="916"/>
      <c r="AD74" s="916"/>
      <c r="AE74" s="916"/>
      <c r="AF74" s="916"/>
      <c r="AG74" s="916"/>
      <c r="AH74" s="916"/>
      <c r="AI74" s="916"/>
      <c r="AJ74" s="916"/>
      <c r="AK74" s="916"/>
      <c r="AL74" s="916"/>
      <c r="AM74" s="916"/>
      <c r="AN74" s="916"/>
      <c r="AO74" s="916"/>
      <c r="AP74" s="916"/>
      <c r="AQ74" s="916"/>
      <c r="AR74" s="916"/>
      <c r="AS74" s="916"/>
      <c r="AT74" s="916"/>
      <c r="AU74" s="916"/>
      <c r="AV74" s="916"/>
    </row>
    <row r="75" ht="14.25" customHeight="1">
      <c r="A75" s="916"/>
      <c r="B75" s="917"/>
      <c r="C75" s="935"/>
      <c r="D75" s="936"/>
      <c r="E75" s="916"/>
      <c r="F75" s="916"/>
      <c r="G75" s="916"/>
      <c r="I75" s="916"/>
      <c r="J75" s="916"/>
      <c r="K75" s="916"/>
      <c r="L75" s="916"/>
      <c r="M75" s="916"/>
      <c r="N75" s="916"/>
      <c r="O75" s="916"/>
      <c r="P75" s="916"/>
      <c r="Q75" s="916"/>
      <c r="R75" s="916"/>
      <c r="S75" s="916"/>
      <c r="T75" s="916"/>
      <c r="U75" s="916"/>
      <c r="V75" s="916"/>
      <c r="W75" s="916"/>
      <c r="X75" s="916"/>
      <c r="Y75" s="916"/>
      <c r="Z75" s="916"/>
      <c r="AA75" s="916"/>
      <c r="AB75" s="916"/>
      <c r="AC75" s="916"/>
      <c r="AD75" s="916"/>
      <c r="AE75" s="916"/>
      <c r="AF75" s="916"/>
      <c r="AG75" s="916"/>
      <c r="AH75" s="916"/>
      <c r="AI75" s="916"/>
      <c r="AJ75" s="916"/>
      <c r="AK75" s="916"/>
      <c r="AL75" s="916"/>
      <c r="AM75" s="916"/>
      <c r="AN75" s="916"/>
      <c r="AO75" s="916"/>
      <c r="AP75" s="916"/>
      <c r="AQ75" s="916"/>
      <c r="AR75" s="916"/>
      <c r="AS75" s="916"/>
      <c r="AT75" s="916"/>
      <c r="AU75" s="916"/>
      <c r="AV75" s="916"/>
    </row>
    <row r="76" ht="14.25" customHeight="1">
      <c r="A76" s="916"/>
      <c r="B76" s="917"/>
      <c r="C76" s="935"/>
      <c r="D76" s="936" t="s">
        <v>790</v>
      </c>
      <c r="E76" s="916"/>
      <c r="F76" s="916"/>
      <c r="G76" s="916"/>
      <c r="I76" s="950" t="s">
        <v>785</v>
      </c>
      <c r="J76" s="950" t="s">
        <v>788</v>
      </c>
      <c r="K76" s="953"/>
      <c r="L76" s="953"/>
      <c r="M76" s="953"/>
      <c r="N76" s="953"/>
      <c r="O76" s="953"/>
      <c r="P76" s="916"/>
      <c r="Q76" s="916"/>
      <c r="R76" s="916"/>
      <c r="S76" s="916"/>
      <c r="T76" s="916"/>
      <c r="U76" s="916"/>
      <c r="V76" s="916"/>
      <c r="W76" s="916"/>
      <c r="X76" s="916"/>
      <c r="Y76" s="916"/>
      <c r="Z76" s="916"/>
      <c r="AA76" s="916"/>
      <c r="AB76" s="916"/>
      <c r="AC76" s="916"/>
      <c r="AD76" s="916"/>
      <c r="AE76" s="916"/>
      <c r="AF76" s="916"/>
      <c r="AG76" s="916"/>
      <c r="AH76" s="916"/>
      <c r="AI76" s="916"/>
      <c r="AJ76" s="916"/>
      <c r="AK76" s="916"/>
      <c r="AL76" s="916"/>
      <c r="AM76" s="916"/>
      <c r="AN76" s="916"/>
      <c r="AO76" s="916"/>
      <c r="AP76" s="916"/>
      <c r="AQ76" s="916"/>
      <c r="AR76" s="916"/>
      <c r="AS76" s="916"/>
      <c r="AT76" s="916"/>
      <c r="AU76" s="916"/>
      <c r="AV76" s="916"/>
    </row>
    <row r="77" ht="14.25" customHeight="1">
      <c r="A77" s="916"/>
      <c r="B77" s="917"/>
      <c r="C77" s="935"/>
      <c r="D77" s="936" t="s">
        <v>791</v>
      </c>
      <c r="E77" s="916"/>
      <c r="F77" s="916"/>
      <c r="G77" s="916"/>
      <c r="I77" s="950" t="s">
        <v>785</v>
      </c>
      <c r="J77" s="950" t="s">
        <v>788</v>
      </c>
      <c r="K77" s="953"/>
      <c r="L77" s="953"/>
      <c r="M77" s="953"/>
      <c r="N77" s="953"/>
      <c r="O77" s="953"/>
      <c r="P77" s="916"/>
      <c r="Q77" s="916"/>
      <c r="R77" s="916"/>
      <c r="S77" s="916"/>
      <c r="T77" s="916"/>
      <c r="U77" s="916"/>
      <c r="V77" s="916"/>
      <c r="W77" s="916"/>
      <c r="X77" s="916"/>
      <c r="Y77" s="916"/>
      <c r="Z77" s="916"/>
      <c r="AA77" s="916"/>
      <c r="AB77" s="916"/>
      <c r="AC77" s="916"/>
      <c r="AD77" s="916"/>
      <c r="AE77" s="916"/>
      <c r="AF77" s="916"/>
      <c r="AG77" s="916"/>
      <c r="AH77" s="916"/>
      <c r="AI77" s="916"/>
      <c r="AJ77" s="916"/>
      <c r="AK77" s="916"/>
      <c r="AL77" s="916"/>
      <c r="AM77" s="916"/>
      <c r="AN77" s="916"/>
      <c r="AO77" s="916"/>
      <c r="AP77" s="916"/>
      <c r="AQ77" s="916"/>
      <c r="AR77" s="916"/>
      <c r="AS77" s="916"/>
      <c r="AT77" s="916"/>
      <c r="AU77" s="916"/>
      <c r="AV77" s="916"/>
    </row>
    <row r="78" ht="14.25" customHeight="1">
      <c r="A78" s="916"/>
      <c r="B78" s="946"/>
      <c r="C78" s="935"/>
      <c r="D78" s="936"/>
      <c r="E78" s="916"/>
      <c r="F78" s="916"/>
      <c r="G78" s="916"/>
      <c r="I78" s="916"/>
      <c r="J78" s="916"/>
      <c r="K78" s="916"/>
      <c r="L78" s="916"/>
      <c r="M78" s="916"/>
      <c r="N78" s="916"/>
      <c r="O78" s="916"/>
      <c r="P78" s="916"/>
      <c r="Q78" s="916"/>
      <c r="R78" s="916"/>
      <c r="S78" s="916"/>
      <c r="T78" s="916"/>
      <c r="U78" s="916"/>
      <c r="V78" s="916"/>
      <c r="W78" s="916"/>
      <c r="X78" s="916"/>
      <c r="Y78" s="916"/>
      <c r="Z78" s="916"/>
      <c r="AA78" s="916"/>
      <c r="AB78" s="916"/>
      <c r="AC78" s="916"/>
      <c r="AD78" s="916"/>
      <c r="AE78" s="916"/>
      <c r="AF78" s="916"/>
      <c r="AG78" s="916"/>
      <c r="AH78" s="916"/>
      <c r="AI78" s="916"/>
      <c r="AJ78" s="916"/>
      <c r="AK78" s="916"/>
      <c r="AL78" s="916"/>
      <c r="AM78" s="916"/>
      <c r="AN78" s="916"/>
      <c r="AO78" s="916"/>
      <c r="AP78" s="916"/>
      <c r="AQ78" s="916"/>
      <c r="AR78" s="916"/>
      <c r="AS78" s="916"/>
      <c r="AT78" s="916"/>
      <c r="AU78" s="916"/>
      <c r="AV78" s="916"/>
    </row>
    <row r="79" ht="14.25" customHeight="1">
      <c r="A79" s="916"/>
      <c r="B79" s="946"/>
      <c r="C79" s="935"/>
      <c r="D79" s="916" t="s">
        <v>792</v>
      </c>
      <c r="E79" s="916"/>
      <c r="F79" s="916"/>
      <c r="G79" s="916"/>
      <c r="I79" s="950" t="s">
        <v>785</v>
      </c>
      <c r="J79" s="950" t="s">
        <v>788</v>
      </c>
      <c r="K79" s="953"/>
      <c r="L79" s="953"/>
      <c r="M79" s="953"/>
      <c r="N79" s="953"/>
      <c r="O79" s="953"/>
      <c r="P79" s="916"/>
      <c r="Q79" s="916"/>
      <c r="R79" s="916"/>
      <c r="S79" s="916"/>
      <c r="T79" s="916"/>
      <c r="U79" s="916"/>
      <c r="V79" s="916"/>
      <c r="W79" s="916"/>
      <c r="X79" s="916"/>
      <c r="Y79" s="916"/>
      <c r="Z79" s="916"/>
      <c r="AA79" s="916"/>
      <c r="AB79" s="916"/>
      <c r="AC79" s="916"/>
      <c r="AD79" s="916"/>
      <c r="AE79" s="916"/>
      <c r="AF79" s="916"/>
      <c r="AG79" s="916"/>
      <c r="AH79" s="916"/>
      <c r="AI79" s="916"/>
      <c r="AJ79" s="916"/>
      <c r="AK79" s="916"/>
      <c r="AL79" s="916"/>
      <c r="AM79" s="916"/>
      <c r="AN79" s="916"/>
      <c r="AO79" s="916"/>
      <c r="AP79" s="916"/>
      <c r="AQ79" s="916"/>
      <c r="AR79" s="916"/>
      <c r="AS79" s="916"/>
      <c r="AT79" s="916"/>
      <c r="AU79" s="916"/>
      <c r="AV79" s="916"/>
    </row>
    <row r="80" ht="14.25" customHeight="1">
      <c r="A80" s="916"/>
      <c r="B80" s="952"/>
      <c r="C80" s="935"/>
      <c r="D80" s="916" t="s">
        <v>793</v>
      </c>
      <c r="E80" s="916"/>
      <c r="F80" s="916"/>
      <c r="G80" s="916"/>
      <c r="I80" s="950" t="s">
        <v>785</v>
      </c>
      <c r="J80" s="950" t="s">
        <v>788</v>
      </c>
      <c r="K80" s="953"/>
      <c r="L80" s="953"/>
      <c r="M80" s="953"/>
      <c r="N80" s="953"/>
      <c r="O80" s="953"/>
      <c r="P80" s="916"/>
      <c r="Q80" s="916"/>
      <c r="R80" s="916"/>
      <c r="S80" s="916"/>
      <c r="T80" s="916"/>
      <c r="U80" s="916"/>
      <c r="V80" s="916"/>
      <c r="W80" s="916"/>
      <c r="X80" s="916"/>
      <c r="Y80" s="916"/>
      <c r="Z80" s="916"/>
      <c r="AA80" s="916"/>
      <c r="AB80" s="916"/>
      <c r="AC80" s="916"/>
      <c r="AD80" s="916"/>
      <c r="AE80" s="916"/>
      <c r="AF80" s="916"/>
      <c r="AG80" s="916"/>
      <c r="AH80" s="916"/>
      <c r="AI80" s="916"/>
      <c r="AJ80" s="916"/>
      <c r="AK80" s="916"/>
      <c r="AL80" s="916"/>
      <c r="AM80" s="916"/>
      <c r="AN80" s="916"/>
      <c r="AO80" s="916"/>
      <c r="AP80" s="916"/>
      <c r="AQ80" s="916"/>
      <c r="AR80" s="916"/>
      <c r="AS80" s="916"/>
      <c r="AT80" s="916"/>
      <c r="AU80" s="916"/>
      <c r="AV80" s="916"/>
    </row>
    <row r="81" ht="14.25" customHeight="1">
      <c r="A81" s="916"/>
      <c r="B81" s="952"/>
      <c r="C81" s="935"/>
      <c r="D81" s="916"/>
      <c r="E81" s="916"/>
      <c r="F81" s="916"/>
      <c r="G81" s="916"/>
      <c r="I81" s="916"/>
      <c r="J81" s="916"/>
      <c r="K81" s="916"/>
      <c r="L81" s="916"/>
      <c r="M81" s="916"/>
      <c r="N81" s="916"/>
      <c r="O81" s="916"/>
      <c r="P81" s="916"/>
      <c r="Q81" s="916"/>
      <c r="R81" s="916"/>
      <c r="S81" s="916"/>
      <c r="T81" s="916"/>
      <c r="U81" s="916"/>
      <c r="V81" s="916"/>
      <c r="W81" s="916"/>
      <c r="X81" s="916"/>
      <c r="Y81" s="916"/>
      <c r="Z81" s="916"/>
      <c r="AA81" s="916"/>
      <c r="AB81" s="916"/>
      <c r="AC81" s="916"/>
      <c r="AD81" s="916"/>
      <c r="AE81" s="916"/>
      <c r="AF81" s="916"/>
      <c r="AG81" s="916"/>
      <c r="AH81" s="916"/>
      <c r="AI81" s="916"/>
      <c r="AJ81" s="916"/>
      <c r="AK81" s="916"/>
      <c r="AL81" s="916"/>
      <c r="AM81" s="916"/>
      <c r="AN81" s="916"/>
      <c r="AO81" s="916"/>
      <c r="AP81" s="916"/>
      <c r="AQ81" s="916"/>
      <c r="AR81" s="916"/>
      <c r="AS81" s="916"/>
      <c r="AT81" s="916"/>
      <c r="AU81" s="916"/>
      <c r="AV81" s="916"/>
    </row>
    <row r="82" ht="14.25" customHeight="1">
      <c r="A82" s="916"/>
      <c r="B82" s="946"/>
      <c r="C82" s="935"/>
      <c r="D82" s="916" t="s">
        <v>794</v>
      </c>
      <c r="E82" s="916"/>
      <c r="F82" s="916"/>
      <c r="G82" s="916"/>
      <c r="I82" s="950" t="s">
        <v>785</v>
      </c>
      <c r="J82" s="950" t="s">
        <v>788</v>
      </c>
      <c r="K82" s="953"/>
      <c r="L82" s="953"/>
      <c r="M82" s="953"/>
      <c r="N82" s="953"/>
      <c r="O82" s="953"/>
      <c r="P82" s="916"/>
      <c r="Q82" s="916"/>
      <c r="R82" s="916"/>
      <c r="S82" s="916"/>
      <c r="T82" s="916"/>
      <c r="U82" s="916"/>
      <c r="V82" s="916"/>
      <c r="W82" s="916"/>
      <c r="X82" s="916"/>
      <c r="Y82" s="916"/>
      <c r="Z82" s="916"/>
      <c r="AA82" s="916"/>
      <c r="AB82" s="916"/>
      <c r="AC82" s="916"/>
      <c r="AD82" s="916"/>
      <c r="AE82" s="916"/>
      <c r="AF82" s="916"/>
      <c r="AG82" s="916"/>
      <c r="AH82" s="916"/>
      <c r="AI82" s="916"/>
      <c r="AJ82" s="916"/>
      <c r="AK82" s="916"/>
      <c r="AL82" s="916"/>
      <c r="AM82" s="916"/>
      <c r="AN82" s="916"/>
      <c r="AO82" s="916"/>
      <c r="AP82" s="916"/>
      <c r="AQ82" s="916"/>
      <c r="AR82" s="916"/>
      <c r="AS82" s="916"/>
      <c r="AT82" s="916"/>
      <c r="AU82" s="916"/>
      <c r="AV82" s="916"/>
    </row>
    <row r="83" ht="14.25" customHeight="1">
      <c r="A83" s="916"/>
      <c r="B83" s="946"/>
      <c r="C83" s="935"/>
      <c r="D83" s="916" t="s">
        <v>795</v>
      </c>
      <c r="E83" s="916"/>
      <c r="F83" s="916"/>
      <c r="G83" s="916"/>
      <c r="I83" s="950" t="s">
        <v>785</v>
      </c>
      <c r="J83" s="950" t="s">
        <v>788</v>
      </c>
      <c r="K83" s="953"/>
      <c r="L83" s="953"/>
      <c r="M83" s="953"/>
      <c r="N83" s="953"/>
      <c r="O83" s="953"/>
      <c r="P83" s="916"/>
      <c r="Q83" s="916"/>
      <c r="R83" s="916"/>
      <c r="S83" s="916"/>
      <c r="T83" s="916"/>
      <c r="U83" s="916"/>
      <c r="V83" s="916"/>
      <c r="W83" s="916"/>
      <c r="X83" s="916"/>
      <c r="Y83" s="916"/>
      <c r="Z83" s="916"/>
      <c r="AA83" s="916"/>
      <c r="AB83" s="916"/>
      <c r="AC83" s="916"/>
      <c r="AD83" s="916"/>
      <c r="AE83" s="916"/>
      <c r="AF83" s="916"/>
      <c r="AG83" s="916"/>
      <c r="AH83" s="916"/>
      <c r="AI83" s="916"/>
      <c r="AJ83" s="916"/>
      <c r="AK83" s="916"/>
      <c r="AL83" s="916"/>
      <c r="AM83" s="916"/>
      <c r="AN83" s="916"/>
      <c r="AO83" s="916"/>
      <c r="AP83" s="916"/>
      <c r="AQ83" s="916"/>
      <c r="AR83" s="916"/>
      <c r="AS83" s="916"/>
      <c r="AT83" s="916"/>
      <c r="AU83" s="916"/>
      <c r="AV83" s="916"/>
    </row>
    <row r="84" ht="14.25" customHeight="1">
      <c r="A84" s="916"/>
      <c r="B84" s="946"/>
      <c r="C84" s="935"/>
      <c r="D84" s="916"/>
      <c r="E84" s="916"/>
      <c r="F84" s="916"/>
      <c r="G84" s="916"/>
      <c r="I84" s="916"/>
      <c r="J84" s="916"/>
      <c r="K84" s="916"/>
      <c r="L84" s="916"/>
      <c r="M84" s="916"/>
      <c r="N84" s="916"/>
      <c r="O84" s="916"/>
      <c r="P84" s="916"/>
      <c r="Q84" s="916"/>
      <c r="R84" s="916"/>
      <c r="S84" s="916"/>
      <c r="T84" s="916"/>
      <c r="U84" s="916"/>
      <c r="V84" s="916"/>
      <c r="W84" s="916"/>
      <c r="X84" s="916"/>
      <c r="Y84" s="916"/>
      <c r="Z84" s="916"/>
      <c r="AA84" s="916"/>
      <c r="AB84" s="916"/>
      <c r="AC84" s="916"/>
      <c r="AD84" s="916"/>
      <c r="AE84" s="916"/>
      <c r="AF84" s="916"/>
      <c r="AG84" s="916"/>
      <c r="AH84" s="916"/>
      <c r="AI84" s="916"/>
      <c r="AJ84" s="916"/>
      <c r="AK84" s="916"/>
      <c r="AL84" s="916"/>
      <c r="AM84" s="916"/>
      <c r="AN84" s="916"/>
      <c r="AO84" s="916"/>
      <c r="AP84" s="916"/>
      <c r="AQ84" s="916"/>
      <c r="AR84" s="916"/>
      <c r="AS84" s="916"/>
      <c r="AT84" s="916"/>
      <c r="AU84" s="916"/>
      <c r="AV84" s="916"/>
    </row>
    <row r="85" ht="14.25" customHeight="1">
      <c r="A85" s="916"/>
      <c r="B85" s="946"/>
      <c r="C85" s="935"/>
      <c r="D85" s="916" t="s">
        <v>796</v>
      </c>
      <c r="E85" s="916"/>
      <c r="F85" s="916"/>
      <c r="G85" s="916"/>
      <c r="I85" s="950" t="s">
        <v>785</v>
      </c>
      <c r="J85" s="950" t="s">
        <v>788</v>
      </c>
      <c r="K85" s="953"/>
      <c r="L85" s="953"/>
      <c r="M85" s="953"/>
      <c r="N85" s="953"/>
      <c r="O85" s="953"/>
      <c r="P85" s="916"/>
      <c r="Q85" s="916"/>
      <c r="R85" s="916"/>
      <c r="S85" s="916"/>
      <c r="T85" s="916"/>
      <c r="U85" s="916"/>
      <c r="V85" s="916"/>
      <c r="W85" s="916"/>
      <c r="X85" s="916"/>
      <c r="Y85" s="916"/>
      <c r="Z85" s="916"/>
      <c r="AA85" s="916"/>
      <c r="AB85" s="916"/>
      <c r="AC85" s="916"/>
      <c r="AD85" s="916"/>
      <c r="AE85" s="916"/>
      <c r="AF85" s="916"/>
      <c r="AG85" s="916"/>
      <c r="AH85" s="916"/>
      <c r="AI85" s="916"/>
      <c r="AJ85" s="916"/>
      <c r="AK85" s="916"/>
      <c r="AL85" s="916"/>
      <c r="AM85" s="916"/>
      <c r="AN85" s="916"/>
      <c r="AO85" s="916"/>
      <c r="AP85" s="916"/>
      <c r="AQ85" s="916"/>
      <c r="AR85" s="916"/>
      <c r="AS85" s="916"/>
      <c r="AT85" s="916"/>
      <c r="AU85" s="916"/>
      <c r="AV85" s="916"/>
    </row>
    <row r="86" ht="14.25" customHeight="1">
      <c r="A86" s="916"/>
      <c r="B86" s="946"/>
      <c r="C86" s="935"/>
      <c r="D86" s="916" t="s">
        <v>797</v>
      </c>
      <c r="E86" s="916"/>
      <c r="F86" s="916"/>
      <c r="G86" s="916"/>
      <c r="I86" s="950" t="s">
        <v>785</v>
      </c>
      <c r="J86" s="950" t="s">
        <v>788</v>
      </c>
      <c r="K86" s="953"/>
      <c r="L86" s="953"/>
      <c r="M86" s="953"/>
      <c r="N86" s="953"/>
      <c r="O86" s="953"/>
      <c r="P86" s="916"/>
      <c r="Q86" s="916"/>
      <c r="R86" s="916"/>
      <c r="S86" s="916"/>
      <c r="T86" s="916"/>
      <c r="U86" s="916"/>
      <c r="V86" s="916"/>
      <c r="W86" s="916"/>
      <c r="X86" s="916"/>
      <c r="Y86" s="916"/>
      <c r="Z86" s="916"/>
      <c r="AA86" s="916"/>
      <c r="AB86" s="916"/>
      <c r="AC86" s="916"/>
      <c r="AD86" s="916"/>
      <c r="AE86" s="916"/>
      <c r="AF86" s="916"/>
      <c r="AG86" s="916"/>
      <c r="AH86" s="916"/>
      <c r="AI86" s="916"/>
      <c r="AJ86" s="916"/>
      <c r="AK86" s="916"/>
      <c r="AL86" s="916"/>
      <c r="AM86" s="916"/>
      <c r="AN86" s="916"/>
      <c r="AO86" s="916"/>
      <c r="AP86" s="916"/>
      <c r="AQ86" s="916"/>
      <c r="AR86" s="916"/>
      <c r="AS86" s="916"/>
      <c r="AT86" s="916"/>
      <c r="AU86" s="916"/>
      <c r="AV86" s="916"/>
    </row>
    <row r="87" ht="14.25" customHeight="1">
      <c r="A87" s="916"/>
      <c r="B87" s="946"/>
      <c r="C87" s="935"/>
      <c r="D87" s="916"/>
      <c r="E87" s="916"/>
      <c r="F87" s="916"/>
      <c r="G87" s="916"/>
      <c r="I87" s="916"/>
      <c r="J87" s="916"/>
      <c r="K87" s="916"/>
      <c r="L87" s="916"/>
      <c r="M87" s="916"/>
      <c r="N87" s="916"/>
      <c r="O87" s="916"/>
      <c r="P87" s="916"/>
      <c r="Q87" s="916"/>
      <c r="R87" s="916"/>
      <c r="S87" s="916"/>
      <c r="T87" s="916"/>
      <c r="U87" s="916"/>
      <c r="V87" s="916"/>
      <c r="W87" s="916"/>
      <c r="X87" s="916"/>
      <c r="Y87" s="916"/>
      <c r="Z87" s="916"/>
      <c r="AA87" s="916"/>
      <c r="AB87" s="916"/>
      <c r="AC87" s="916"/>
      <c r="AD87" s="916"/>
      <c r="AE87" s="916"/>
      <c r="AF87" s="916"/>
      <c r="AG87" s="916"/>
      <c r="AH87" s="916"/>
      <c r="AI87" s="916"/>
      <c r="AJ87" s="916"/>
      <c r="AK87" s="916"/>
      <c r="AL87" s="916"/>
      <c r="AM87" s="916"/>
      <c r="AN87" s="916"/>
      <c r="AO87" s="916"/>
      <c r="AP87" s="916"/>
      <c r="AQ87" s="916"/>
      <c r="AR87" s="916"/>
      <c r="AS87" s="916"/>
      <c r="AT87" s="916"/>
      <c r="AU87" s="916"/>
      <c r="AV87" s="916"/>
    </row>
    <row r="88" ht="14.25" customHeight="1">
      <c r="A88" s="916"/>
      <c r="B88" s="946"/>
      <c r="C88" s="935"/>
      <c r="D88" t="s">
        <v>798</v>
      </c>
      <c r="E88" s="916"/>
      <c r="F88" s="916"/>
      <c r="G88" s="916"/>
      <c r="I88" s="950" t="s">
        <v>785</v>
      </c>
      <c r="J88" s="950" t="s">
        <v>788</v>
      </c>
      <c r="K88" s="953"/>
      <c r="L88" s="953"/>
      <c r="M88" s="953"/>
      <c r="N88" s="953"/>
      <c r="O88" s="953"/>
      <c r="P88" s="916"/>
      <c r="Q88" s="916"/>
      <c r="R88" s="916"/>
      <c r="S88" s="916"/>
      <c r="T88" s="916"/>
      <c r="U88" s="916"/>
      <c r="V88" s="916"/>
      <c r="W88" s="916"/>
      <c r="X88" s="916"/>
      <c r="Y88" s="916"/>
      <c r="Z88" s="916"/>
      <c r="AA88" s="916"/>
      <c r="AB88" s="916"/>
      <c r="AC88" s="916"/>
      <c r="AD88" s="916"/>
      <c r="AE88" s="916"/>
      <c r="AF88" s="916"/>
      <c r="AG88" s="916"/>
      <c r="AH88" s="916"/>
      <c r="AI88" s="916"/>
      <c r="AJ88" s="916"/>
      <c r="AK88" s="916"/>
      <c r="AL88" s="916"/>
      <c r="AM88" s="916"/>
      <c r="AN88" s="916"/>
      <c r="AO88" s="916"/>
      <c r="AP88" s="916"/>
      <c r="AQ88" s="916"/>
      <c r="AR88" s="916"/>
      <c r="AS88" s="916"/>
      <c r="AT88" s="916"/>
      <c r="AU88" s="916"/>
      <c r="AV88" s="916"/>
    </row>
    <row r="89" ht="14.25" customHeight="1">
      <c r="A89" s="916"/>
      <c r="B89" s="946"/>
      <c r="C89" s="935"/>
      <c r="E89" s="916"/>
      <c r="F89" s="916"/>
      <c r="G89" s="916"/>
      <c r="I89" s="916"/>
      <c r="J89" s="916"/>
      <c r="K89" s="916"/>
      <c r="L89" s="916"/>
      <c r="M89" s="916"/>
      <c r="N89" s="916"/>
      <c r="O89" s="916"/>
      <c r="P89" s="916"/>
      <c r="Q89" s="916"/>
      <c r="R89" s="916"/>
      <c r="S89" s="916"/>
      <c r="T89" s="916"/>
      <c r="U89" s="916"/>
      <c r="V89" s="916"/>
      <c r="W89" s="916"/>
      <c r="X89" s="916"/>
      <c r="Y89" s="916"/>
      <c r="Z89" s="916"/>
      <c r="AA89" s="916"/>
      <c r="AB89" s="916"/>
      <c r="AC89" s="916"/>
      <c r="AD89" s="916"/>
      <c r="AE89" s="916"/>
      <c r="AF89" s="916"/>
      <c r="AG89" s="916"/>
      <c r="AH89" s="916"/>
      <c r="AI89" s="916"/>
      <c r="AJ89" s="916"/>
      <c r="AK89" s="916"/>
      <c r="AL89" s="916"/>
      <c r="AM89" s="916"/>
      <c r="AN89" s="916"/>
      <c r="AO89" s="916"/>
      <c r="AP89" s="916"/>
      <c r="AQ89" s="916"/>
      <c r="AR89" s="916"/>
      <c r="AS89" s="916"/>
      <c r="AT89" s="916"/>
      <c r="AU89" s="916"/>
      <c r="AV89" s="916"/>
    </row>
    <row r="90" ht="14.25" customHeight="1">
      <c r="A90" s="916"/>
      <c r="B90" s="946"/>
      <c r="C90" s="935"/>
      <c r="D90" s="916" t="s">
        <v>799</v>
      </c>
      <c r="E90" s="916"/>
      <c r="F90" s="916"/>
      <c r="G90" s="916"/>
      <c r="I90" s="950" t="s">
        <v>785</v>
      </c>
      <c r="J90" s="950" t="s">
        <v>788</v>
      </c>
      <c r="K90" s="953"/>
      <c r="L90" s="953"/>
      <c r="M90" s="953"/>
      <c r="N90" s="953"/>
      <c r="O90" s="953"/>
      <c r="P90" s="916"/>
      <c r="Q90" s="916"/>
      <c r="R90" s="916"/>
      <c r="S90" s="916"/>
      <c r="T90" s="916"/>
      <c r="U90" s="916"/>
      <c r="V90" s="916"/>
      <c r="W90" s="916"/>
      <c r="X90" s="916"/>
      <c r="Y90" s="916"/>
      <c r="Z90" s="916"/>
      <c r="AA90" s="916"/>
      <c r="AB90" s="916"/>
      <c r="AC90" s="916"/>
      <c r="AD90" s="916"/>
      <c r="AE90" s="916"/>
      <c r="AF90" s="916"/>
      <c r="AG90" s="916"/>
      <c r="AH90" s="916"/>
      <c r="AI90" s="916"/>
      <c r="AJ90" s="916"/>
      <c r="AK90" s="916"/>
      <c r="AL90" s="916"/>
      <c r="AM90" s="916"/>
      <c r="AN90" s="916"/>
      <c r="AO90" s="916"/>
      <c r="AP90" s="916"/>
      <c r="AQ90" s="916"/>
      <c r="AR90" s="916"/>
      <c r="AS90" s="916"/>
      <c r="AT90" s="916"/>
      <c r="AU90" s="916"/>
      <c r="AV90" s="916"/>
    </row>
    <row r="91" ht="14.25" customHeight="1">
      <c r="A91" s="916"/>
      <c r="B91" s="946"/>
      <c r="C91" s="935"/>
      <c r="D91" s="916" t="s">
        <v>800</v>
      </c>
      <c r="E91" s="916"/>
      <c r="F91" s="916"/>
      <c r="G91" s="916"/>
      <c r="I91" s="950" t="s">
        <v>785</v>
      </c>
      <c r="J91" s="950" t="s">
        <v>788</v>
      </c>
      <c r="K91" s="953"/>
      <c r="L91" s="953"/>
      <c r="M91" s="953"/>
      <c r="N91" s="953"/>
      <c r="O91" s="953"/>
      <c r="P91" s="916"/>
      <c r="Q91" s="916"/>
      <c r="R91" s="916"/>
      <c r="S91" s="916"/>
      <c r="T91" s="916"/>
      <c r="U91" s="916"/>
      <c r="V91" s="916"/>
      <c r="W91" s="916"/>
      <c r="X91" s="916"/>
      <c r="Y91" s="916"/>
      <c r="Z91" s="916"/>
      <c r="AA91" s="916"/>
      <c r="AB91" s="916"/>
      <c r="AC91" s="916"/>
      <c r="AD91" s="916"/>
      <c r="AE91" s="916"/>
      <c r="AF91" s="916"/>
      <c r="AG91" s="916"/>
      <c r="AH91" s="916"/>
      <c r="AI91" s="916"/>
      <c r="AJ91" s="916"/>
      <c r="AK91" s="916"/>
      <c r="AL91" s="916"/>
      <c r="AM91" s="916"/>
      <c r="AN91" s="916"/>
      <c r="AO91" s="916"/>
      <c r="AP91" s="916"/>
      <c r="AQ91" s="916"/>
      <c r="AR91" s="916"/>
      <c r="AS91" s="916"/>
      <c r="AT91" s="916"/>
      <c r="AU91" s="916"/>
      <c r="AV91" s="916"/>
    </row>
    <row r="92" ht="14.25" customHeight="1">
      <c r="A92" s="916"/>
      <c r="B92" s="946"/>
      <c r="C92" s="935"/>
      <c r="D92" s="916"/>
      <c r="E92" s="916"/>
      <c r="F92" s="916"/>
      <c r="G92" s="916"/>
      <c r="I92" s="916"/>
      <c r="J92" s="916"/>
      <c r="K92" s="916"/>
      <c r="L92" s="916"/>
      <c r="M92" s="916"/>
      <c r="N92" s="916"/>
      <c r="O92" s="916"/>
      <c r="P92" s="916"/>
      <c r="Q92" s="916"/>
      <c r="R92" s="916"/>
      <c r="S92" s="916"/>
      <c r="T92" s="916"/>
      <c r="U92" s="916"/>
      <c r="V92" s="916"/>
      <c r="W92" s="916"/>
      <c r="X92" s="916"/>
      <c r="Y92" s="916"/>
      <c r="Z92" s="916"/>
      <c r="AA92" s="916"/>
      <c r="AB92" s="916"/>
      <c r="AC92" s="916"/>
      <c r="AD92" s="916"/>
      <c r="AE92" s="916"/>
      <c r="AF92" s="916"/>
      <c r="AG92" s="916"/>
      <c r="AH92" s="916"/>
      <c r="AI92" s="916"/>
      <c r="AJ92" s="916"/>
      <c r="AK92" s="916"/>
      <c r="AL92" s="916"/>
      <c r="AM92" s="916"/>
      <c r="AN92" s="916"/>
      <c r="AO92" s="916"/>
      <c r="AP92" s="916"/>
      <c r="AQ92" s="916"/>
      <c r="AR92" s="916"/>
      <c r="AS92" s="916"/>
      <c r="AT92" s="916"/>
      <c r="AU92" s="916"/>
      <c r="AV92" s="916"/>
    </row>
    <row r="93" ht="14.25" customHeight="1">
      <c r="A93" s="916"/>
      <c r="B93" s="946"/>
      <c r="C93" s="935"/>
      <c r="D93" s="916" t="s">
        <v>801</v>
      </c>
      <c r="E93" s="916"/>
      <c r="F93" s="916"/>
      <c r="G93" s="916"/>
      <c r="I93" s="950" t="s">
        <v>785</v>
      </c>
      <c r="J93" s="950" t="s">
        <v>788</v>
      </c>
      <c r="K93" s="953"/>
      <c r="L93" s="953"/>
      <c r="M93" s="953"/>
      <c r="N93" s="953"/>
      <c r="O93" s="953"/>
      <c r="P93" s="916"/>
      <c r="Q93" s="916"/>
      <c r="R93" s="916"/>
      <c r="S93" s="916"/>
      <c r="T93" s="916"/>
      <c r="U93" s="916"/>
      <c r="V93" s="916"/>
      <c r="W93" s="916"/>
      <c r="X93" s="916"/>
      <c r="Y93" s="916"/>
      <c r="Z93" s="916"/>
      <c r="AA93" s="916"/>
      <c r="AB93" s="916"/>
      <c r="AC93" s="916"/>
      <c r="AD93" s="916"/>
      <c r="AE93" s="916"/>
      <c r="AF93" s="916"/>
      <c r="AG93" s="916"/>
      <c r="AH93" s="916"/>
      <c r="AI93" s="916"/>
      <c r="AJ93" s="916"/>
      <c r="AK93" s="916"/>
      <c r="AL93" s="916"/>
      <c r="AM93" s="916"/>
      <c r="AN93" s="916"/>
      <c r="AO93" s="916"/>
      <c r="AP93" s="916"/>
      <c r="AQ93" s="916"/>
      <c r="AR93" s="916"/>
      <c r="AS93" s="916"/>
      <c r="AT93" s="916"/>
      <c r="AU93" s="916"/>
      <c r="AV93" s="916"/>
    </row>
    <row r="94" ht="14.25" customHeight="1">
      <c r="A94" s="916"/>
      <c r="B94" s="946"/>
      <c r="C94" s="935"/>
      <c r="D94" s="916" t="s">
        <v>802</v>
      </c>
      <c r="E94" s="916"/>
      <c r="F94" s="916"/>
      <c r="G94" s="916"/>
      <c r="I94" s="950" t="s">
        <v>785</v>
      </c>
      <c r="J94" s="950" t="s">
        <v>788</v>
      </c>
      <c r="K94" s="953"/>
      <c r="L94" s="953"/>
      <c r="M94" s="953"/>
      <c r="N94" s="953"/>
      <c r="O94" s="953"/>
      <c r="P94" s="916"/>
      <c r="Q94" s="916"/>
      <c r="R94" s="916"/>
      <c r="S94" s="916"/>
      <c r="T94" s="916"/>
      <c r="U94" s="916"/>
      <c r="V94" s="916"/>
      <c r="W94" s="916"/>
      <c r="X94" s="916"/>
      <c r="Y94" s="916"/>
      <c r="Z94" s="916"/>
      <c r="AA94" s="916"/>
      <c r="AB94" s="916"/>
      <c r="AC94" s="916"/>
      <c r="AD94" s="916"/>
      <c r="AE94" s="916"/>
      <c r="AF94" s="916"/>
      <c r="AG94" s="916"/>
      <c r="AH94" s="916"/>
      <c r="AI94" s="916"/>
      <c r="AJ94" s="916"/>
      <c r="AK94" s="916"/>
      <c r="AL94" s="916"/>
      <c r="AM94" s="916"/>
      <c r="AN94" s="916"/>
      <c r="AO94" s="916"/>
      <c r="AP94" s="916"/>
      <c r="AQ94" s="916"/>
      <c r="AR94" s="916"/>
      <c r="AS94" s="916"/>
      <c r="AT94" s="916"/>
      <c r="AU94" s="916"/>
      <c r="AV94" s="916"/>
    </row>
    <row r="95" ht="14.25" customHeight="1">
      <c r="A95" s="916"/>
      <c r="B95" s="946"/>
      <c r="C95" s="935"/>
      <c r="D95" s="916"/>
      <c r="E95" s="916"/>
      <c r="F95" s="916"/>
      <c r="G95" s="916"/>
      <c r="I95" s="916"/>
      <c r="J95" s="916"/>
      <c r="K95" s="916"/>
      <c r="L95" s="916"/>
      <c r="M95" s="916"/>
      <c r="N95" s="916"/>
      <c r="O95" s="916"/>
      <c r="P95" s="916"/>
      <c r="Q95" s="916"/>
      <c r="R95" s="916"/>
      <c r="S95" s="916"/>
      <c r="T95" s="916"/>
      <c r="U95" s="916"/>
      <c r="V95" s="916"/>
      <c r="W95" s="916"/>
      <c r="X95" s="916"/>
      <c r="Y95" s="916"/>
      <c r="Z95" s="916"/>
      <c r="AA95" s="916"/>
      <c r="AB95" s="916"/>
      <c r="AC95" s="916"/>
      <c r="AD95" s="916"/>
      <c r="AE95" s="916"/>
      <c r="AF95" s="916"/>
      <c r="AG95" s="916"/>
      <c r="AH95" s="916"/>
      <c r="AI95" s="916"/>
      <c r="AJ95" s="916"/>
      <c r="AK95" s="916"/>
      <c r="AL95" s="916"/>
      <c r="AM95" s="916"/>
      <c r="AN95" s="916"/>
      <c r="AO95" s="916"/>
      <c r="AP95" s="916"/>
      <c r="AQ95" s="916"/>
      <c r="AR95" s="916"/>
      <c r="AS95" s="916"/>
      <c r="AT95" s="916"/>
      <c r="AU95" s="916"/>
      <c r="AV95" s="916"/>
    </row>
    <row r="96" ht="14.25" customHeight="1">
      <c r="A96" s="916"/>
      <c r="B96" s="946"/>
      <c r="C96" s="935"/>
      <c r="D96" s="916" t="s">
        <v>803</v>
      </c>
      <c r="E96" s="916"/>
      <c r="F96" s="916"/>
      <c r="G96" s="916"/>
      <c r="I96" s="950" t="s">
        <v>785</v>
      </c>
      <c r="J96" s="950" t="s">
        <v>788</v>
      </c>
      <c r="K96" s="953"/>
      <c r="L96" s="953"/>
      <c r="M96" s="953"/>
      <c r="N96" s="953"/>
      <c r="O96" s="953"/>
      <c r="P96" s="916"/>
      <c r="Q96" s="916"/>
      <c r="R96" s="916"/>
      <c r="S96" s="916"/>
      <c r="T96" s="916"/>
      <c r="U96" s="916"/>
      <c r="V96" s="916"/>
      <c r="W96" s="916"/>
      <c r="X96" s="916"/>
      <c r="Y96" s="916"/>
      <c r="Z96" s="916"/>
      <c r="AA96" s="916"/>
      <c r="AB96" s="916"/>
      <c r="AC96" s="916"/>
      <c r="AD96" s="916"/>
      <c r="AE96" s="916"/>
      <c r="AF96" s="916"/>
      <c r="AG96" s="916"/>
      <c r="AH96" s="916"/>
      <c r="AI96" s="916"/>
      <c r="AJ96" s="916"/>
      <c r="AK96" s="916"/>
      <c r="AL96" s="916"/>
      <c r="AM96" s="916"/>
      <c r="AN96" s="916"/>
      <c r="AO96" s="916"/>
      <c r="AP96" s="916"/>
      <c r="AQ96" s="916"/>
      <c r="AR96" s="916"/>
      <c r="AS96" s="916"/>
      <c r="AT96" s="916"/>
      <c r="AU96" s="916"/>
      <c r="AV96" s="916"/>
    </row>
    <row r="97" ht="14.25" customHeight="1">
      <c r="A97" s="916"/>
      <c r="B97" s="946"/>
      <c r="C97" s="935"/>
      <c r="D97" s="916" t="s">
        <v>804</v>
      </c>
      <c r="E97" s="916"/>
      <c r="F97" s="916"/>
      <c r="G97" s="916"/>
      <c r="I97" s="950" t="s">
        <v>785</v>
      </c>
      <c r="J97" s="950" t="s">
        <v>788</v>
      </c>
      <c r="K97" s="953"/>
      <c r="L97" s="953"/>
      <c r="M97" s="953"/>
      <c r="N97" s="953"/>
      <c r="O97" s="953"/>
      <c r="P97" s="916"/>
      <c r="Q97" s="916"/>
      <c r="R97" s="916"/>
      <c r="S97" s="916"/>
      <c r="T97" s="916"/>
      <c r="U97" s="916"/>
      <c r="V97" s="916"/>
      <c r="W97" s="916"/>
      <c r="X97" s="916"/>
      <c r="Y97" s="916"/>
      <c r="Z97" s="916"/>
      <c r="AA97" s="916"/>
      <c r="AB97" s="916"/>
      <c r="AC97" s="916"/>
      <c r="AD97" s="916"/>
      <c r="AE97" s="916"/>
      <c r="AF97" s="916"/>
      <c r="AG97" s="916"/>
      <c r="AH97" s="916"/>
      <c r="AI97" s="916"/>
      <c r="AJ97" s="916"/>
      <c r="AK97" s="916"/>
      <c r="AL97" s="916"/>
      <c r="AM97" s="916"/>
      <c r="AN97" s="916"/>
      <c r="AO97" s="916"/>
      <c r="AP97" s="916"/>
      <c r="AQ97" s="916"/>
      <c r="AR97" s="916"/>
      <c r="AS97" s="916"/>
      <c r="AT97" s="916"/>
      <c r="AU97" s="916"/>
      <c r="AV97" s="916"/>
    </row>
    <row r="98" ht="14.25" customHeight="1">
      <c r="A98" s="916"/>
      <c r="B98" s="946"/>
      <c r="C98" s="935"/>
      <c r="D98" s="916"/>
      <c r="E98" s="916"/>
      <c r="F98" s="916"/>
      <c r="G98" s="916"/>
      <c r="I98" s="916"/>
      <c r="J98" s="916"/>
      <c r="K98" s="916"/>
      <c r="L98" s="916"/>
      <c r="M98" s="916"/>
      <c r="N98" s="916"/>
      <c r="O98" s="916"/>
      <c r="P98" s="916"/>
      <c r="Q98" s="916"/>
      <c r="R98" s="916"/>
      <c r="S98" s="916"/>
      <c r="T98" s="916"/>
      <c r="U98" s="916"/>
      <c r="V98" s="916"/>
      <c r="W98" s="916"/>
      <c r="X98" s="916"/>
      <c r="Y98" s="916"/>
      <c r="Z98" s="916"/>
      <c r="AA98" s="916"/>
      <c r="AB98" s="916"/>
      <c r="AC98" s="916"/>
      <c r="AD98" s="916"/>
      <c r="AE98" s="916"/>
      <c r="AF98" s="916"/>
      <c r="AG98" s="916"/>
      <c r="AH98" s="916"/>
      <c r="AI98" s="916"/>
      <c r="AJ98" s="916"/>
      <c r="AK98" s="916"/>
      <c r="AL98" s="916"/>
      <c r="AM98" s="916"/>
      <c r="AN98" s="916"/>
      <c r="AO98" s="916"/>
      <c r="AP98" s="916"/>
      <c r="AQ98" s="916"/>
      <c r="AR98" s="916"/>
      <c r="AS98" s="916"/>
      <c r="AT98" s="916"/>
      <c r="AU98" s="916"/>
      <c r="AV98" s="916"/>
    </row>
    <row r="99" ht="14.25" customHeight="1">
      <c r="A99" s="916"/>
      <c r="B99" s="946"/>
      <c r="C99" s="935"/>
      <c r="D99" s="916" t="s">
        <v>805</v>
      </c>
      <c r="E99" s="916"/>
      <c r="F99" s="916"/>
      <c r="G99" s="916"/>
      <c r="I99" s="950" t="s">
        <v>785</v>
      </c>
      <c r="J99" s="950" t="s">
        <v>788</v>
      </c>
      <c r="K99" s="953"/>
      <c r="L99" s="953"/>
      <c r="M99" s="953"/>
      <c r="N99" s="953"/>
      <c r="O99" s="953"/>
      <c r="P99" s="916"/>
      <c r="Q99" s="916"/>
      <c r="R99" s="916"/>
      <c r="S99" s="916"/>
      <c r="T99" s="916"/>
      <c r="U99" s="916"/>
      <c r="V99" s="916"/>
      <c r="W99" s="916"/>
      <c r="X99" s="916"/>
      <c r="Y99" s="916"/>
      <c r="Z99" s="916"/>
      <c r="AA99" s="916"/>
      <c r="AB99" s="916"/>
      <c r="AC99" s="916"/>
      <c r="AD99" s="916"/>
      <c r="AE99" s="916"/>
      <c r="AF99" s="916"/>
      <c r="AG99" s="916"/>
      <c r="AH99" s="916"/>
      <c r="AI99" s="916"/>
      <c r="AJ99" s="916"/>
      <c r="AK99" s="916"/>
      <c r="AL99" s="916"/>
      <c r="AM99" s="916"/>
      <c r="AN99" s="916"/>
      <c r="AO99" s="916"/>
      <c r="AP99" s="916"/>
      <c r="AQ99" s="916"/>
      <c r="AR99" s="916"/>
      <c r="AS99" s="916"/>
      <c r="AT99" s="916"/>
      <c r="AU99" s="916"/>
      <c r="AV99" s="916"/>
    </row>
    <row r="100" ht="14.25" customHeight="1">
      <c r="A100" s="916"/>
      <c r="B100" s="946"/>
      <c r="C100" s="935"/>
      <c r="D100" s="916" t="s">
        <v>806</v>
      </c>
      <c r="E100" s="916"/>
      <c r="F100" s="916"/>
      <c r="G100" s="916"/>
      <c r="I100" s="950" t="s">
        <v>785</v>
      </c>
      <c r="J100" s="950" t="s">
        <v>788</v>
      </c>
      <c r="K100" s="953"/>
      <c r="L100" s="953"/>
      <c r="M100" s="953"/>
      <c r="N100" s="953"/>
      <c r="O100" s="953"/>
      <c r="P100" s="916"/>
      <c r="Q100" s="916"/>
      <c r="R100" s="916"/>
      <c r="S100" s="916"/>
      <c r="T100" s="916"/>
      <c r="U100" s="916"/>
      <c r="V100" s="916"/>
      <c r="W100" s="916"/>
      <c r="X100" s="916"/>
      <c r="Y100" s="916"/>
      <c r="Z100" s="916"/>
      <c r="AA100" s="916"/>
      <c r="AB100" s="916"/>
      <c r="AC100" s="916"/>
      <c r="AD100" s="916"/>
      <c r="AE100" s="916"/>
      <c r="AF100" s="916"/>
      <c r="AG100" s="916"/>
      <c r="AH100" s="916"/>
      <c r="AI100" s="916"/>
      <c r="AJ100" s="916"/>
      <c r="AK100" s="916"/>
      <c r="AL100" s="916"/>
      <c r="AM100" s="916"/>
      <c r="AN100" s="916"/>
      <c r="AO100" s="916"/>
      <c r="AP100" s="916"/>
      <c r="AQ100" s="916"/>
      <c r="AR100" s="916"/>
      <c r="AS100" s="916"/>
      <c r="AT100" s="916"/>
      <c r="AU100" s="916"/>
      <c r="AV100" s="916"/>
    </row>
    <row r="101" ht="14.25" customHeight="1">
      <c r="A101" s="916"/>
      <c r="B101" s="946"/>
      <c r="C101" s="935"/>
      <c r="D101" s="916"/>
      <c r="E101" s="916"/>
      <c r="F101" s="916"/>
      <c r="G101" s="916"/>
      <c r="I101" s="916"/>
      <c r="J101" s="916"/>
      <c r="K101" s="916"/>
      <c r="L101" s="916"/>
      <c r="M101" s="916"/>
      <c r="N101" s="916"/>
      <c r="O101" s="916"/>
      <c r="P101" s="916"/>
      <c r="Q101" s="916"/>
      <c r="R101" s="916"/>
      <c r="S101" s="916"/>
      <c r="T101" s="916"/>
      <c r="U101" s="916"/>
      <c r="V101" s="916"/>
      <c r="W101" s="916"/>
      <c r="X101" s="916"/>
      <c r="Y101" s="916"/>
      <c r="Z101" s="916"/>
      <c r="AA101" s="916"/>
      <c r="AB101" s="916"/>
      <c r="AC101" s="916"/>
      <c r="AD101" s="916"/>
      <c r="AE101" s="916"/>
      <c r="AF101" s="916"/>
      <c r="AG101" s="916"/>
      <c r="AH101" s="916"/>
      <c r="AI101" s="916"/>
      <c r="AJ101" s="916"/>
      <c r="AK101" s="916"/>
      <c r="AL101" s="916"/>
      <c r="AM101" s="916"/>
      <c r="AN101" s="916"/>
      <c r="AO101" s="916"/>
      <c r="AP101" s="916"/>
      <c r="AQ101" s="916"/>
      <c r="AR101" s="916"/>
      <c r="AS101" s="916"/>
      <c r="AT101" s="916"/>
      <c r="AU101" s="916"/>
      <c r="AV101" s="916"/>
    </row>
    <row r="102" ht="14.25" customHeight="1">
      <c r="A102" s="916"/>
      <c r="B102" s="946"/>
      <c r="C102" s="935"/>
      <c r="D102" s="916" t="s">
        <v>807</v>
      </c>
      <c r="E102" s="916"/>
      <c r="F102" s="916"/>
      <c r="G102" s="916"/>
      <c r="I102" s="950" t="s">
        <v>785</v>
      </c>
      <c r="J102" s="950" t="s">
        <v>788</v>
      </c>
      <c r="K102" s="953"/>
      <c r="L102" s="953"/>
      <c r="M102" s="953"/>
      <c r="N102" s="953"/>
      <c r="O102" s="953"/>
      <c r="P102" s="916"/>
      <c r="Q102" s="916"/>
      <c r="R102" s="916"/>
      <c r="S102" s="916"/>
      <c r="T102" s="916"/>
      <c r="U102" s="916"/>
      <c r="V102" s="916"/>
      <c r="W102" s="916"/>
      <c r="X102" s="916"/>
      <c r="Y102" s="916"/>
      <c r="Z102" s="916"/>
      <c r="AA102" s="916"/>
      <c r="AB102" s="916"/>
      <c r="AC102" s="916"/>
      <c r="AD102" s="916"/>
      <c r="AE102" s="916"/>
      <c r="AF102" s="916"/>
      <c r="AG102" s="916"/>
      <c r="AH102" s="916"/>
      <c r="AI102" s="916"/>
      <c r="AJ102" s="916"/>
      <c r="AK102" s="916"/>
      <c r="AL102" s="916"/>
      <c r="AM102" s="916"/>
      <c r="AN102" s="916"/>
      <c r="AO102" s="916"/>
      <c r="AP102" s="916"/>
      <c r="AQ102" s="916"/>
      <c r="AR102" s="916"/>
      <c r="AS102" s="916"/>
      <c r="AT102" s="916"/>
      <c r="AU102" s="916"/>
      <c r="AV102" s="916"/>
    </row>
    <row r="103" ht="14.25" customHeight="1">
      <c r="A103" s="916"/>
      <c r="B103" s="946"/>
      <c r="C103" s="935"/>
      <c r="D103" s="916" t="s">
        <v>808</v>
      </c>
      <c r="E103" s="916"/>
      <c r="F103" s="916"/>
      <c r="G103" s="916"/>
      <c r="I103" s="950" t="s">
        <v>785</v>
      </c>
      <c r="J103" s="950" t="s">
        <v>788</v>
      </c>
      <c r="K103" s="953"/>
      <c r="L103" s="953"/>
      <c r="M103" s="953"/>
      <c r="N103" s="953"/>
      <c r="O103" s="953"/>
      <c r="P103" s="916"/>
      <c r="Q103" s="916"/>
      <c r="R103" s="916"/>
      <c r="S103" s="916"/>
      <c r="T103" s="916"/>
      <c r="U103" s="916"/>
      <c r="V103" s="916"/>
      <c r="W103" s="916"/>
      <c r="X103" s="916"/>
      <c r="Y103" s="916"/>
      <c r="Z103" s="916"/>
      <c r="AA103" s="916"/>
      <c r="AB103" s="916"/>
      <c r="AC103" s="916"/>
      <c r="AD103" s="916"/>
      <c r="AE103" s="916"/>
      <c r="AF103" s="916"/>
      <c r="AG103" s="916"/>
      <c r="AH103" s="916"/>
      <c r="AI103" s="916"/>
      <c r="AJ103" s="916"/>
      <c r="AK103" s="916"/>
      <c r="AL103" s="916"/>
      <c r="AM103" s="916"/>
      <c r="AN103" s="916"/>
      <c r="AO103" s="916"/>
      <c r="AP103" s="916"/>
      <c r="AQ103" s="916"/>
      <c r="AR103" s="916"/>
      <c r="AS103" s="916"/>
      <c r="AT103" s="916"/>
      <c r="AU103" s="916"/>
      <c r="AV103" s="916"/>
    </row>
    <row r="104" ht="14.25" customHeight="1">
      <c r="A104" s="916"/>
      <c r="B104" s="946"/>
      <c r="C104" s="935"/>
      <c r="D104" s="916"/>
      <c r="E104" s="916"/>
      <c r="F104" s="916"/>
      <c r="G104" s="916"/>
      <c r="I104" s="916"/>
      <c r="J104" s="916"/>
      <c r="K104" s="916"/>
      <c r="L104" s="916"/>
      <c r="M104" s="916"/>
      <c r="N104" s="916"/>
      <c r="O104" s="916"/>
      <c r="P104" s="916"/>
      <c r="Q104" s="916"/>
      <c r="R104" s="916"/>
      <c r="S104" s="916"/>
      <c r="T104" s="916"/>
      <c r="U104" s="916"/>
      <c r="V104" s="916"/>
      <c r="W104" s="916"/>
      <c r="X104" s="916"/>
      <c r="Y104" s="916"/>
      <c r="Z104" s="916"/>
      <c r="AA104" s="916"/>
      <c r="AB104" s="916"/>
      <c r="AC104" s="916"/>
      <c r="AD104" s="916"/>
      <c r="AE104" s="916"/>
      <c r="AF104" s="916"/>
      <c r="AG104" s="916"/>
      <c r="AH104" s="916"/>
      <c r="AI104" s="916"/>
      <c r="AJ104" s="916"/>
      <c r="AK104" s="916"/>
      <c r="AL104" s="916"/>
      <c r="AM104" s="916"/>
      <c r="AN104" s="916"/>
      <c r="AO104" s="916"/>
      <c r="AP104" s="916"/>
      <c r="AQ104" s="916"/>
      <c r="AR104" s="916"/>
      <c r="AS104" s="916"/>
      <c r="AT104" s="916"/>
      <c r="AU104" s="916"/>
      <c r="AV104" s="916"/>
    </row>
    <row r="105" ht="14.25" customHeight="1">
      <c r="A105" s="916"/>
      <c r="B105" s="946"/>
      <c r="C105" s="935"/>
      <c r="D105" s="916" t="s">
        <v>809</v>
      </c>
      <c r="E105" s="916"/>
      <c r="F105" s="916"/>
      <c r="G105" s="916"/>
      <c r="I105" s="950" t="s">
        <v>785</v>
      </c>
      <c r="J105" s="950" t="s">
        <v>788</v>
      </c>
      <c r="K105" s="953"/>
      <c r="L105" s="953"/>
      <c r="M105" s="953"/>
      <c r="N105" s="953"/>
      <c r="O105" s="953"/>
      <c r="P105" s="916"/>
      <c r="Q105" s="916"/>
      <c r="R105" s="916"/>
      <c r="S105" s="916"/>
      <c r="T105" s="916"/>
      <c r="U105" s="916"/>
      <c r="V105" s="916"/>
      <c r="W105" s="916"/>
      <c r="X105" s="916"/>
      <c r="Y105" s="916"/>
      <c r="Z105" s="916"/>
      <c r="AA105" s="916"/>
      <c r="AB105" s="916"/>
      <c r="AC105" s="916"/>
      <c r="AD105" s="916"/>
      <c r="AE105" s="916"/>
      <c r="AF105" s="916"/>
      <c r="AG105" s="916"/>
      <c r="AH105" s="916"/>
      <c r="AI105" s="916"/>
      <c r="AJ105" s="916"/>
      <c r="AK105" s="916"/>
      <c r="AL105" s="916"/>
      <c r="AM105" s="916"/>
      <c r="AN105" s="916"/>
      <c r="AO105" s="916"/>
      <c r="AP105" s="916"/>
      <c r="AQ105" s="916"/>
      <c r="AR105" s="916"/>
      <c r="AS105" s="916"/>
      <c r="AT105" s="916"/>
      <c r="AU105" s="916"/>
      <c r="AV105" s="916"/>
    </row>
    <row r="106" ht="14.25" customHeight="1">
      <c r="A106" s="916"/>
      <c r="B106" s="946"/>
      <c r="C106" s="935"/>
      <c r="D106" s="916" t="s">
        <v>810</v>
      </c>
      <c r="E106" s="916"/>
      <c r="F106" s="916"/>
      <c r="G106" s="916"/>
      <c r="I106" s="950" t="s">
        <v>785</v>
      </c>
      <c r="J106" s="950" t="s">
        <v>788</v>
      </c>
      <c r="K106" s="953"/>
      <c r="L106" s="953"/>
      <c r="M106" s="953"/>
      <c r="N106" s="953"/>
      <c r="O106" s="953"/>
      <c r="P106" s="916"/>
      <c r="Q106" s="916"/>
      <c r="R106" s="916"/>
      <c r="S106" s="916"/>
      <c r="T106" s="916"/>
      <c r="U106" s="916"/>
      <c r="V106" s="916"/>
      <c r="W106" s="916"/>
      <c r="X106" s="916"/>
      <c r="Y106" s="916"/>
      <c r="Z106" s="916"/>
      <c r="AA106" s="916"/>
      <c r="AB106" s="916"/>
      <c r="AC106" s="916"/>
      <c r="AD106" s="916"/>
      <c r="AE106" s="916"/>
      <c r="AF106" s="916"/>
      <c r="AG106" s="916"/>
      <c r="AH106" s="916"/>
      <c r="AI106" s="916"/>
      <c r="AJ106" s="916"/>
      <c r="AK106" s="916"/>
      <c r="AL106" s="916"/>
      <c r="AM106" s="916"/>
      <c r="AN106" s="916"/>
      <c r="AO106" s="916"/>
      <c r="AP106" s="916"/>
      <c r="AQ106" s="916"/>
      <c r="AR106" s="916"/>
      <c r="AS106" s="916"/>
      <c r="AT106" s="916"/>
      <c r="AU106" s="916"/>
      <c r="AV106" s="916"/>
    </row>
    <row r="107" ht="14.25" customHeight="1">
      <c r="A107" s="916"/>
      <c r="B107" s="946"/>
      <c r="C107" s="935"/>
      <c r="D107" s="916"/>
      <c r="E107" s="916"/>
      <c r="F107" s="916"/>
      <c r="G107" s="916"/>
      <c r="I107" s="916"/>
      <c r="J107" s="916"/>
      <c r="K107" s="916"/>
      <c r="L107" s="916"/>
      <c r="M107" s="916"/>
      <c r="N107" s="916"/>
      <c r="O107" s="916"/>
      <c r="P107" s="916"/>
      <c r="Q107" s="916"/>
      <c r="R107" s="916"/>
      <c r="S107" s="916"/>
      <c r="T107" s="916"/>
      <c r="U107" s="916"/>
      <c r="V107" s="916"/>
      <c r="W107" s="916"/>
      <c r="X107" s="916"/>
      <c r="Y107" s="916"/>
      <c r="Z107" s="916"/>
      <c r="AA107" s="916"/>
      <c r="AB107" s="916"/>
      <c r="AC107" s="916"/>
      <c r="AD107" s="916"/>
      <c r="AE107" s="916"/>
      <c r="AF107" s="916"/>
      <c r="AG107" s="916"/>
      <c r="AH107" s="916"/>
      <c r="AI107" s="916"/>
      <c r="AJ107" s="916"/>
      <c r="AK107" s="916"/>
      <c r="AL107" s="916"/>
      <c r="AM107" s="916"/>
      <c r="AN107" s="916"/>
      <c r="AO107" s="916"/>
      <c r="AP107" s="916"/>
      <c r="AQ107" s="916"/>
      <c r="AR107" s="916"/>
      <c r="AS107" s="916"/>
      <c r="AT107" s="916"/>
      <c r="AU107" s="916"/>
      <c r="AV107" s="916"/>
    </row>
    <row r="108" ht="14.25" customHeight="1">
      <c r="A108" s="916"/>
      <c r="B108" s="946"/>
      <c r="C108" s="935"/>
      <c r="D108" s="916" t="s">
        <v>811</v>
      </c>
      <c r="E108" s="916"/>
      <c r="F108" s="916"/>
      <c r="G108" s="916"/>
      <c r="I108" s="950" t="s">
        <v>785</v>
      </c>
      <c r="J108" s="950" t="s">
        <v>788</v>
      </c>
      <c r="K108" s="953"/>
      <c r="L108" s="953"/>
      <c r="M108" s="953"/>
      <c r="N108" s="953"/>
      <c r="O108" s="953"/>
      <c r="P108" s="916"/>
      <c r="Q108" s="916"/>
      <c r="R108" s="916"/>
      <c r="S108" s="916"/>
      <c r="T108" s="916"/>
      <c r="U108" s="916"/>
      <c r="V108" s="916"/>
      <c r="W108" s="916"/>
      <c r="X108" s="916"/>
      <c r="Y108" s="916"/>
      <c r="Z108" s="916"/>
      <c r="AA108" s="916"/>
      <c r="AB108" s="916"/>
      <c r="AC108" s="916"/>
      <c r="AD108" s="916"/>
      <c r="AE108" s="916"/>
      <c r="AF108" s="916"/>
      <c r="AG108" s="916"/>
      <c r="AH108" s="916"/>
      <c r="AI108" s="916"/>
      <c r="AJ108" s="916"/>
      <c r="AK108" s="916"/>
      <c r="AL108" s="916"/>
      <c r="AM108" s="916"/>
      <c r="AN108" s="916"/>
      <c r="AO108" s="916"/>
      <c r="AP108" s="916"/>
      <c r="AQ108" s="916"/>
      <c r="AR108" s="916"/>
      <c r="AS108" s="916"/>
      <c r="AT108" s="916"/>
      <c r="AU108" s="916"/>
      <c r="AV108" s="916"/>
    </row>
    <row r="109" ht="14.25" customHeight="1">
      <c r="A109" s="916"/>
      <c r="B109" s="946"/>
      <c r="C109" s="935"/>
      <c r="D109" s="916" t="s">
        <v>812</v>
      </c>
      <c r="E109" s="916"/>
      <c r="F109" s="916"/>
      <c r="G109" s="916"/>
      <c r="I109" s="950" t="s">
        <v>785</v>
      </c>
      <c r="J109" s="950" t="s">
        <v>788</v>
      </c>
      <c r="K109" s="953"/>
      <c r="L109" s="953"/>
      <c r="M109" s="953"/>
      <c r="N109" s="953"/>
      <c r="O109" s="953"/>
      <c r="P109" s="916"/>
      <c r="Q109" s="916"/>
      <c r="R109" s="916"/>
      <c r="S109" s="916"/>
      <c r="T109" s="916"/>
      <c r="U109" s="916"/>
      <c r="V109" s="916"/>
      <c r="W109" s="916"/>
      <c r="X109" s="916"/>
      <c r="Y109" s="916"/>
      <c r="Z109" s="916"/>
      <c r="AA109" s="916"/>
      <c r="AB109" s="916"/>
      <c r="AC109" s="916"/>
      <c r="AD109" s="916"/>
      <c r="AE109" s="916"/>
      <c r="AF109" s="916"/>
      <c r="AG109" s="916"/>
      <c r="AH109" s="916"/>
      <c r="AI109" s="916"/>
      <c r="AJ109" s="916"/>
      <c r="AK109" s="916"/>
      <c r="AL109" s="916"/>
      <c r="AM109" s="916"/>
      <c r="AN109" s="916"/>
      <c r="AO109" s="916"/>
      <c r="AP109" s="916"/>
      <c r="AQ109" s="916"/>
      <c r="AR109" s="916"/>
      <c r="AS109" s="916"/>
      <c r="AT109" s="916"/>
      <c r="AU109" s="916"/>
      <c r="AV109" s="916"/>
    </row>
    <row r="110" ht="14.25" customHeight="1">
      <c r="A110" s="916"/>
      <c r="B110" s="946"/>
      <c r="C110" s="935"/>
      <c r="D110" s="916"/>
      <c r="E110" s="916"/>
      <c r="F110" s="916"/>
      <c r="G110" s="916"/>
      <c r="I110" s="916"/>
      <c r="J110" s="916"/>
      <c r="K110" s="916"/>
      <c r="L110" s="916"/>
      <c r="M110" s="916"/>
      <c r="N110" s="916"/>
      <c r="O110" s="916"/>
      <c r="P110" s="916"/>
      <c r="Q110" s="916"/>
      <c r="R110" s="916"/>
      <c r="S110" s="916"/>
      <c r="T110" s="916"/>
      <c r="U110" s="916"/>
      <c r="V110" s="916"/>
      <c r="W110" s="916"/>
      <c r="X110" s="916"/>
      <c r="Y110" s="916"/>
      <c r="Z110" s="916"/>
      <c r="AA110" s="916"/>
      <c r="AB110" s="916"/>
      <c r="AC110" s="916"/>
      <c r="AD110" s="916"/>
      <c r="AE110" s="916"/>
      <c r="AF110" s="916"/>
      <c r="AG110" s="916"/>
      <c r="AH110" s="916"/>
      <c r="AI110" s="916"/>
      <c r="AJ110" s="916"/>
      <c r="AK110" s="916"/>
      <c r="AL110" s="916"/>
      <c r="AM110" s="916"/>
      <c r="AN110" s="916"/>
      <c r="AO110" s="916"/>
      <c r="AP110" s="916"/>
      <c r="AQ110" s="916"/>
      <c r="AR110" s="916"/>
      <c r="AS110" s="916"/>
      <c r="AT110" s="916"/>
      <c r="AU110" s="916"/>
      <c r="AV110" s="916"/>
    </row>
    <row r="111" ht="14.25" customHeight="1">
      <c r="A111" s="916"/>
      <c r="B111" s="946"/>
      <c r="C111" s="935"/>
      <c r="D111" s="916" t="s">
        <v>813</v>
      </c>
      <c r="E111" s="916"/>
      <c r="F111" s="916"/>
      <c r="G111" s="916"/>
      <c r="I111" s="950" t="s">
        <v>785</v>
      </c>
      <c r="J111" s="950" t="s">
        <v>788</v>
      </c>
      <c r="K111" s="953"/>
      <c r="L111" s="953"/>
      <c r="M111" s="953"/>
      <c r="N111" s="953"/>
      <c r="O111" s="953"/>
      <c r="P111" s="916"/>
      <c r="Q111" s="916"/>
      <c r="R111" s="916"/>
      <c r="S111" s="916"/>
      <c r="T111" s="916"/>
      <c r="U111" s="916"/>
      <c r="V111" s="916"/>
      <c r="W111" s="916"/>
      <c r="X111" s="916"/>
      <c r="Y111" s="916"/>
      <c r="Z111" s="916"/>
      <c r="AA111" s="916"/>
      <c r="AB111" s="916"/>
      <c r="AC111" s="916"/>
      <c r="AD111" s="916"/>
      <c r="AE111" s="916"/>
      <c r="AF111" s="916"/>
      <c r="AG111" s="916"/>
      <c r="AH111" s="916"/>
      <c r="AI111" s="916"/>
      <c r="AJ111" s="916"/>
      <c r="AK111" s="916"/>
      <c r="AL111" s="916"/>
      <c r="AM111" s="916"/>
      <c r="AN111" s="916"/>
      <c r="AO111" s="916"/>
      <c r="AP111" s="916"/>
      <c r="AQ111" s="916"/>
      <c r="AR111" s="916"/>
      <c r="AS111" s="916"/>
      <c r="AT111" s="916"/>
      <c r="AU111" s="916"/>
      <c r="AV111" s="916"/>
    </row>
    <row r="112" ht="14.25" customHeight="1">
      <c r="A112" s="916"/>
      <c r="B112" s="946"/>
      <c r="C112" s="935"/>
      <c r="D112" s="916" t="s">
        <v>814</v>
      </c>
      <c r="E112" s="916"/>
      <c r="F112" s="916"/>
      <c r="G112" s="916"/>
      <c r="I112" s="950" t="s">
        <v>785</v>
      </c>
      <c r="J112" s="950" t="s">
        <v>788</v>
      </c>
      <c r="K112" s="953"/>
      <c r="L112" s="953"/>
      <c r="M112" s="953"/>
      <c r="N112" s="953"/>
      <c r="O112" s="953"/>
      <c r="P112" s="916"/>
      <c r="Q112" s="916"/>
      <c r="R112" s="916"/>
      <c r="S112" s="916"/>
      <c r="T112" s="916"/>
      <c r="U112" s="916"/>
      <c r="V112" s="916"/>
      <c r="W112" s="916"/>
      <c r="X112" s="916"/>
      <c r="Y112" s="916"/>
      <c r="Z112" s="916"/>
      <c r="AA112" s="916"/>
      <c r="AB112" s="916"/>
      <c r="AC112" s="916"/>
      <c r="AD112" s="916"/>
      <c r="AE112" s="916"/>
      <c r="AF112" s="916"/>
      <c r="AG112" s="916"/>
      <c r="AH112" s="916"/>
      <c r="AI112" s="916"/>
      <c r="AJ112" s="916"/>
      <c r="AK112" s="916"/>
      <c r="AL112" s="916"/>
      <c r="AM112" s="916"/>
      <c r="AN112" s="916"/>
      <c r="AO112" s="916"/>
      <c r="AP112" s="916"/>
      <c r="AQ112" s="916"/>
      <c r="AR112" s="916"/>
      <c r="AS112" s="916"/>
      <c r="AT112" s="916"/>
      <c r="AU112" s="916"/>
      <c r="AV112" s="916"/>
    </row>
    <row r="113" ht="14.25" customHeight="1">
      <c r="A113" s="916"/>
      <c r="B113" s="946"/>
      <c r="C113" s="935"/>
      <c r="D113" s="916"/>
      <c r="E113" s="916"/>
      <c r="F113" s="916"/>
      <c r="G113" s="916"/>
      <c r="I113" s="916"/>
      <c r="J113" s="916"/>
      <c r="K113" s="916"/>
      <c r="L113" s="916"/>
      <c r="M113" s="916"/>
      <c r="N113" s="916"/>
      <c r="O113" s="916"/>
      <c r="P113" s="916"/>
      <c r="Q113" s="916"/>
      <c r="R113" s="916"/>
      <c r="S113" s="916"/>
      <c r="T113" s="916"/>
      <c r="U113" s="916"/>
      <c r="V113" s="916"/>
      <c r="W113" s="916"/>
      <c r="X113" s="916"/>
      <c r="Y113" s="916"/>
      <c r="Z113" s="916"/>
      <c r="AA113" s="916"/>
      <c r="AB113" s="916"/>
      <c r="AC113" s="916"/>
      <c r="AD113" s="916"/>
      <c r="AE113" s="916"/>
      <c r="AF113" s="916"/>
      <c r="AG113" s="916"/>
      <c r="AH113" s="916"/>
      <c r="AI113" s="916"/>
      <c r="AJ113" s="916"/>
      <c r="AK113" s="916"/>
      <c r="AL113" s="916"/>
      <c r="AM113" s="916"/>
      <c r="AN113" s="916"/>
      <c r="AO113" s="916"/>
      <c r="AP113" s="916"/>
      <c r="AQ113" s="916"/>
      <c r="AR113" s="916"/>
      <c r="AS113" s="916"/>
      <c r="AT113" s="916"/>
      <c r="AU113" s="916"/>
      <c r="AV113" s="916"/>
    </row>
    <row r="114" ht="14.25" customHeight="1">
      <c r="A114" s="916"/>
      <c r="B114" s="946"/>
      <c r="C114" s="935"/>
      <c r="D114" s="916" t="s">
        <v>815</v>
      </c>
      <c r="E114" s="916"/>
      <c r="F114" s="916"/>
      <c r="G114" s="916"/>
      <c r="I114" s="950" t="s">
        <v>785</v>
      </c>
      <c r="J114" s="950" t="s">
        <v>788</v>
      </c>
      <c r="K114" s="953"/>
      <c r="L114" s="953"/>
      <c r="M114" s="953"/>
      <c r="N114" s="953"/>
      <c r="O114" s="953"/>
      <c r="P114" s="916"/>
      <c r="Q114" s="916"/>
      <c r="R114" s="916"/>
      <c r="S114" s="916"/>
      <c r="T114" s="916"/>
      <c r="U114" s="916"/>
      <c r="V114" s="916"/>
      <c r="W114" s="916"/>
      <c r="X114" s="916"/>
      <c r="Y114" s="916"/>
      <c r="Z114" s="916"/>
      <c r="AA114" s="916"/>
      <c r="AB114" s="916"/>
      <c r="AC114" s="916"/>
      <c r="AD114" s="916"/>
      <c r="AE114" s="916"/>
      <c r="AF114" s="916"/>
      <c r="AG114" s="916"/>
      <c r="AH114" s="916"/>
      <c r="AI114" s="916"/>
      <c r="AJ114" s="916"/>
      <c r="AK114" s="916"/>
      <c r="AL114" s="916"/>
      <c r="AM114" s="916"/>
      <c r="AN114" s="916"/>
      <c r="AO114" s="916"/>
      <c r="AP114" s="916"/>
      <c r="AQ114" s="916"/>
      <c r="AR114" s="916"/>
      <c r="AS114" s="916"/>
      <c r="AT114" s="916"/>
      <c r="AU114" s="916"/>
      <c r="AV114" s="916"/>
    </row>
    <row r="115" ht="14.25" customHeight="1">
      <c r="A115" s="916"/>
      <c r="B115" s="946"/>
      <c r="C115" s="935"/>
      <c r="D115" s="916" t="s">
        <v>816</v>
      </c>
      <c r="E115" s="916"/>
      <c r="F115" s="916"/>
      <c r="G115" s="916"/>
      <c r="I115" s="950" t="s">
        <v>785</v>
      </c>
      <c r="J115" s="950" t="s">
        <v>788</v>
      </c>
      <c r="K115" s="953"/>
      <c r="L115" s="953"/>
      <c r="M115" s="953"/>
      <c r="N115" s="953"/>
      <c r="O115" s="953"/>
      <c r="P115" s="916"/>
      <c r="Q115" s="916"/>
      <c r="R115" s="916"/>
      <c r="S115" s="916"/>
      <c r="T115" s="916"/>
      <c r="U115" s="916"/>
      <c r="V115" s="916"/>
      <c r="W115" s="916"/>
      <c r="X115" s="916"/>
      <c r="Y115" s="916"/>
      <c r="Z115" s="916"/>
      <c r="AA115" s="916"/>
      <c r="AB115" s="916"/>
      <c r="AC115" s="916"/>
      <c r="AD115" s="916"/>
      <c r="AE115" s="916"/>
      <c r="AF115" s="916"/>
      <c r="AG115" s="916"/>
      <c r="AH115" s="916"/>
      <c r="AI115" s="916"/>
      <c r="AJ115" s="916"/>
      <c r="AK115" s="916"/>
      <c r="AL115" s="916"/>
      <c r="AM115" s="916"/>
      <c r="AN115" s="916"/>
      <c r="AO115" s="916"/>
      <c r="AP115" s="916"/>
      <c r="AQ115" s="916"/>
      <c r="AR115" s="916"/>
      <c r="AS115" s="916"/>
      <c r="AT115" s="916"/>
      <c r="AU115" s="916"/>
      <c r="AV115" s="916"/>
    </row>
    <row r="116" ht="14.25" customHeight="1">
      <c r="A116" s="916"/>
      <c r="B116" s="946"/>
      <c r="C116" s="935"/>
      <c r="D116" s="916"/>
      <c r="E116" s="916"/>
      <c r="F116" s="916"/>
      <c r="G116" s="916"/>
      <c r="I116" s="916"/>
      <c r="J116" s="916"/>
      <c r="K116" s="916"/>
      <c r="L116" s="916"/>
      <c r="M116" s="916"/>
      <c r="N116" s="916"/>
      <c r="O116" s="916"/>
      <c r="P116" s="916"/>
      <c r="Q116" s="916"/>
      <c r="R116" s="916"/>
      <c r="S116" s="916"/>
      <c r="T116" s="916"/>
      <c r="U116" s="916"/>
      <c r="V116" s="916"/>
      <c r="W116" s="916"/>
      <c r="X116" s="916"/>
      <c r="Y116" s="916"/>
      <c r="Z116" s="916"/>
      <c r="AA116" s="916"/>
      <c r="AB116" s="916"/>
      <c r="AC116" s="916"/>
      <c r="AD116" s="916"/>
      <c r="AE116" s="916"/>
      <c r="AF116" s="916"/>
      <c r="AG116" s="916"/>
      <c r="AH116" s="916"/>
      <c r="AI116" s="916"/>
      <c r="AJ116" s="916"/>
      <c r="AK116" s="916"/>
      <c r="AL116" s="916"/>
      <c r="AM116" s="916"/>
      <c r="AN116" s="916"/>
      <c r="AO116" s="916"/>
      <c r="AP116" s="916"/>
      <c r="AQ116" s="916"/>
      <c r="AR116" s="916"/>
      <c r="AS116" s="916"/>
      <c r="AT116" s="916"/>
      <c r="AU116" s="916"/>
      <c r="AV116" s="916"/>
    </row>
    <row r="117" ht="14.25" customHeight="1">
      <c r="A117" s="916"/>
      <c r="B117" s="946"/>
      <c r="C117" s="935"/>
      <c r="D117" s="916" t="s">
        <v>817</v>
      </c>
      <c r="E117" s="916"/>
      <c r="F117" s="916"/>
      <c r="G117" s="916"/>
      <c r="I117" s="950" t="s">
        <v>785</v>
      </c>
      <c r="J117" s="950" t="s">
        <v>788</v>
      </c>
      <c r="K117" s="953"/>
      <c r="L117" s="953"/>
      <c r="M117" s="953"/>
      <c r="N117" s="953"/>
      <c r="O117" s="953"/>
      <c r="P117" s="916"/>
      <c r="Q117" s="916"/>
      <c r="R117" s="916"/>
      <c r="S117" s="916"/>
      <c r="T117" s="916"/>
      <c r="U117" s="916"/>
      <c r="V117" s="916"/>
      <c r="W117" s="916"/>
      <c r="X117" s="916"/>
      <c r="Y117" s="916"/>
      <c r="Z117" s="916"/>
      <c r="AA117" s="916"/>
      <c r="AB117" s="916"/>
      <c r="AC117" s="916"/>
      <c r="AD117" s="916"/>
      <c r="AE117" s="916"/>
      <c r="AF117" s="916"/>
      <c r="AG117" s="916"/>
      <c r="AH117" s="916"/>
      <c r="AI117" s="916"/>
      <c r="AJ117" s="916"/>
      <c r="AK117" s="916"/>
      <c r="AL117" s="916"/>
      <c r="AM117" s="916"/>
      <c r="AN117" s="916"/>
      <c r="AO117" s="916"/>
      <c r="AP117" s="916"/>
      <c r="AQ117" s="916"/>
      <c r="AR117" s="916"/>
      <c r="AS117" s="916"/>
      <c r="AT117" s="916"/>
      <c r="AU117" s="916"/>
      <c r="AV117" s="916"/>
    </row>
    <row r="118" ht="14.25" customHeight="1">
      <c r="A118" s="916"/>
      <c r="B118" s="946"/>
      <c r="C118" s="935"/>
      <c r="D118" s="916" t="s">
        <v>818</v>
      </c>
      <c r="E118" s="916"/>
      <c r="F118" s="916"/>
      <c r="G118" s="916"/>
      <c r="I118" s="950" t="s">
        <v>785</v>
      </c>
      <c r="J118" s="950" t="s">
        <v>788</v>
      </c>
      <c r="K118" s="953"/>
      <c r="L118" s="953"/>
      <c r="M118" s="953"/>
      <c r="N118" s="953"/>
      <c r="O118" s="953"/>
      <c r="P118" s="916"/>
      <c r="Q118" s="916"/>
      <c r="R118" s="916"/>
      <c r="S118" s="916"/>
      <c r="T118" s="916"/>
      <c r="U118" s="916"/>
      <c r="V118" s="916"/>
      <c r="W118" s="916"/>
      <c r="X118" s="916"/>
      <c r="Y118" s="916"/>
      <c r="Z118" s="916"/>
      <c r="AA118" s="916"/>
      <c r="AB118" s="916"/>
      <c r="AC118" s="916"/>
      <c r="AD118" s="916"/>
      <c r="AE118" s="916"/>
      <c r="AF118" s="916"/>
      <c r="AG118" s="916"/>
      <c r="AH118" s="916"/>
      <c r="AI118" s="916"/>
      <c r="AJ118" s="916"/>
      <c r="AK118" s="916"/>
      <c r="AL118" s="916"/>
      <c r="AM118" s="916"/>
      <c r="AN118" s="916"/>
      <c r="AO118" s="916"/>
      <c r="AP118" s="916"/>
      <c r="AQ118" s="916"/>
      <c r="AR118" s="916"/>
      <c r="AS118" s="916"/>
      <c r="AT118" s="916"/>
      <c r="AU118" s="916"/>
      <c r="AV118" s="916"/>
    </row>
    <row r="119" ht="14.25" customHeight="1">
      <c r="A119" s="916"/>
      <c r="B119" s="946"/>
      <c r="C119" s="935"/>
      <c r="D119" s="916"/>
      <c r="E119" s="916"/>
      <c r="F119" s="916"/>
      <c r="G119" s="916"/>
      <c r="I119" s="916"/>
      <c r="J119" s="916"/>
      <c r="K119" s="916"/>
      <c r="L119" s="916"/>
      <c r="M119" s="916"/>
      <c r="N119" s="916"/>
      <c r="O119" s="916"/>
      <c r="P119" s="916"/>
      <c r="Q119" s="916"/>
      <c r="R119" s="916"/>
      <c r="S119" s="916"/>
      <c r="T119" s="916"/>
      <c r="U119" s="916"/>
      <c r="V119" s="916"/>
      <c r="W119" s="916"/>
      <c r="X119" s="916"/>
      <c r="Y119" s="916"/>
      <c r="Z119" s="916"/>
      <c r="AA119" s="916"/>
      <c r="AB119" s="916"/>
      <c r="AC119" s="916"/>
      <c r="AD119" s="916"/>
      <c r="AE119" s="916"/>
      <c r="AF119" s="916"/>
      <c r="AG119" s="916"/>
      <c r="AH119" s="916"/>
      <c r="AI119" s="916"/>
      <c r="AJ119" s="916"/>
      <c r="AK119" s="916"/>
      <c r="AL119" s="916"/>
      <c r="AM119" s="916"/>
      <c r="AN119" s="916"/>
      <c r="AO119" s="916"/>
      <c r="AP119" s="916"/>
      <c r="AQ119" s="916"/>
      <c r="AR119" s="916"/>
      <c r="AS119" s="916"/>
      <c r="AT119" s="916"/>
      <c r="AU119" s="916"/>
      <c r="AV119" s="916"/>
    </row>
    <row r="120" ht="14.25" customHeight="1">
      <c r="A120" s="916"/>
      <c r="B120" s="946"/>
      <c r="C120" s="935"/>
      <c r="D120" t="s">
        <v>819</v>
      </c>
      <c r="E120" s="916"/>
      <c r="F120" s="916"/>
      <c r="G120" s="916"/>
      <c r="I120" s="950" t="s">
        <v>785</v>
      </c>
      <c r="J120" s="950" t="s">
        <v>788</v>
      </c>
      <c r="K120" s="953"/>
      <c r="L120" s="953"/>
      <c r="M120" s="953"/>
      <c r="N120" s="953"/>
      <c r="O120" s="953"/>
      <c r="P120" s="916"/>
      <c r="Q120" s="916"/>
      <c r="R120" s="916"/>
      <c r="S120" s="916"/>
      <c r="T120" s="916"/>
      <c r="U120" s="916"/>
      <c r="V120" s="916"/>
      <c r="W120" s="916"/>
      <c r="X120" s="916"/>
      <c r="Y120" s="916"/>
      <c r="Z120" s="916"/>
      <c r="AA120" s="916"/>
      <c r="AB120" s="916"/>
      <c r="AC120" s="916"/>
      <c r="AD120" s="916"/>
      <c r="AE120" s="916"/>
      <c r="AF120" s="916"/>
      <c r="AG120" s="916"/>
      <c r="AH120" s="916"/>
      <c r="AI120" s="916"/>
      <c r="AJ120" s="916"/>
      <c r="AK120" s="916"/>
      <c r="AL120" s="916"/>
      <c r="AM120" s="916"/>
      <c r="AN120" s="916"/>
      <c r="AO120" s="916"/>
      <c r="AP120" s="916"/>
      <c r="AQ120" s="916"/>
      <c r="AR120" s="916"/>
      <c r="AS120" s="916"/>
      <c r="AT120" s="916"/>
      <c r="AU120" s="916"/>
      <c r="AV120" s="916"/>
    </row>
    <row r="121" ht="14.25" customHeight="1">
      <c r="A121" s="916"/>
      <c r="B121" s="946"/>
      <c r="C121" s="935"/>
      <c r="D121" t="s">
        <v>820</v>
      </c>
      <c r="E121" s="916"/>
      <c r="F121" s="916"/>
      <c r="G121" s="916"/>
      <c r="I121" s="950" t="s">
        <v>785</v>
      </c>
      <c r="J121" s="950" t="s">
        <v>788</v>
      </c>
      <c r="K121" s="953"/>
      <c r="L121" s="953"/>
      <c r="M121" s="953"/>
      <c r="N121" s="953"/>
      <c r="O121" s="953"/>
      <c r="P121" s="916"/>
      <c r="Q121" s="916"/>
      <c r="R121" s="916"/>
      <c r="S121" s="916"/>
      <c r="T121" s="916"/>
      <c r="U121" s="916"/>
      <c r="V121" s="916"/>
      <c r="W121" s="916"/>
      <c r="X121" s="916"/>
      <c r="Y121" s="916"/>
      <c r="Z121" s="916"/>
      <c r="AA121" s="916"/>
      <c r="AB121" s="916"/>
      <c r="AC121" s="916"/>
      <c r="AD121" s="916"/>
      <c r="AE121" s="916"/>
      <c r="AF121" s="916"/>
      <c r="AG121" s="916"/>
      <c r="AH121" s="916"/>
      <c r="AI121" s="916"/>
      <c r="AJ121" s="916"/>
      <c r="AK121" s="916"/>
      <c r="AL121" s="916"/>
      <c r="AM121" s="916"/>
      <c r="AN121" s="916"/>
      <c r="AO121" s="916"/>
      <c r="AP121" s="916"/>
      <c r="AQ121" s="916"/>
      <c r="AR121" s="916"/>
      <c r="AS121" s="916"/>
      <c r="AT121" s="916"/>
      <c r="AU121" s="916"/>
      <c r="AV121" s="916"/>
    </row>
    <row r="122" ht="14.25" customHeight="1">
      <c r="A122" s="916"/>
      <c r="B122" s="946"/>
      <c r="C122" s="935"/>
      <c r="E122" s="916"/>
      <c r="F122" s="916"/>
      <c r="G122" s="916"/>
      <c r="I122" s="916"/>
      <c r="J122" s="916"/>
      <c r="K122" s="916"/>
      <c r="L122" s="916"/>
      <c r="M122" s="916"/>
      <c r="N122" s="916"/>
      <c r="O122" s="916"/>
      <c r="P122" s="916"/>
      <c r="Q122" s="916"/>
      <c r="R122" s="916"/>
      <c r="S122" s="916"/>
      <c r="T122" s="916"/>
      <c r="U122" s="916"/>
      <c r="V122" s="916"/>
      <c r="W122" s="916"/>
      <c r="X122" s="916"/>
      <c r="Y122" s="916"/>
      <c r="Z122" s="916"/>
      <c r="AA122" s="916"/>
      <c r="AB122" s="916"/>
      <c r="AC122" s="916"/>
      <c r="AD122" s="916"/>
      <c r="AE122" s="916"/>
      <c r="AF122" s="916"/>
      <c r="AG122" s="916"/>
      <c r="AH122" s="916"/>
      <c r="AI122" s="916"/>
      <c r="AJ122" s="916"/>
      <c r="AK122" s="916"/>
      <c r="AL122" s="916"/>
      <c r="AM122" s="916"/>
      <c r="AN122" s="916"/>
      <c r="AO122" s="916"/>
      <c r="AP122" s="916"/>
      <c r="AQ122" s="916"/>
      <c r="AR122" s="916"/>
      <c r="AS122" s="916"/>
      <c r="AT122" s="916"/>
      <c r="AU122" s="916"/>
      <c r="AV122" s="916"/>
    </row>
    <row r="123" ht="14.25" customHeight="1">
      <c r="A123" s="916"/>
      <c r="B123" s="946"/>
      <c r="C123" s="935"/>
      <c r="D123" s="916" t="s">
        <v>821</v>
      </c>
      <c r="E123" s="916"/>
      <c r="F123" s="916"/>
      <c r="G123" s="916"/>
      <c r="I123" s="950" t="s">
        <v>785</v>
      </c>
      <c r="J123" s="950" t="s">
        <v>788</v>
      </c>
      <c r="K123" s="953"/>
      <c r="L123" s="953"/>
      <c r="M123" s="953"/>
      <c r="N123" s="953"/>
      <c r="O123" s="953"/>
      <c r="P123" s="916"/>
      <c r="Q123" s="916"/>
      <c r="R123" s="916"/>
      <c r="S123" s="916"/>
      <c r="T123" s="916"/>
      <c r="U123" s="916"/>
      <c r="V123" s="916"/>
      <c r="W123" s="916"/>
      <c r="X123" s="916"/>
      <c r="Y123" s="916"/>
      <c r="Z123" s="916"/>
      <c r="AA123" s="916"/>
      <c r="AB123" s="916"/>
      <c r="AC123" s="916"/>
      <c r="AD123" s="916"/>
      <c r="AE123" s="916"/>
      <c r="AF123" s="916"/>
      <c r="AG123" s="916"/>
      <c r="AH123" s="916"/>
      <c r="AI123" s="916"/>
      <c r="AJ123" s="916"/>
      <c r="AK123" s="916"/>
      <c r="AL123" s="916"/>
      <c r="AM123" s="916"/>
      <c r="AN123" s="916"/>
      <c r="AO123" s="916"/>
      <c r="AP123" s="916"/>
      <c r="AQ123" s="916"/>
      <c r="AR123" s="916"/>
      <c r="AS123" s="916"/>
      <c r="AT123" s="916"/>
      <c r="AU123" s="916"/>
      <c r="AV123" s="916"/>
    </row>
    <row r="124" ht="14.25" customHeight="1">
      <c r="A124" s="916"/>
      <c r="B124" s="946"/>
      <c r="C124" s="935"/>
      <c r="D124" s="916" t="s">
        <v>822</v>
      </c>
      <c r="E124" s="916"/>
      <c r="F124" s="916"/>
      <c r="G124" s="916"/>
      <c r="I124" s="950" t="s">
        <v>785</v>
      </c>
      <c r="J124" s="950" t="s">
        <v>788</v>
      </c>
      <c r="K124" s="953"/>
      <c r="L124" s="953"/>
      <c r="M124" s="953"/>
      <c r="N124" s="953"/>
      <c r="O124" s="953"/>
      <c r="P124" s="916"/>
      <c r="Q124" s="916"/>
      <c r="R124" s="916"/>
      <c r="S124" s="916"/>
      <c r="T124" s="916"/>
      <c r="U124" s="916"/>
      <c r="V124" s="916"/>
      <c r="W124" s="916"/>
      <c r="X124" s="916"/>
      <c r="Y124" s="916"/>
      <c r="Z124" s="916"/>
      <c r="AA124" s="916"/>
      <c r="AB124" s="916"/>
      <c r="AC124" s="916"/>
      <c r="AD124" s="916"/>
      <c r="AE124" s="916"/>
      <c r="AF124" s="916"/>
      <c r="AG124" s="916"/>
      <c r="AH124" s="916"/>
      <c r="AI124" s="916"/>
      <c r="AJ124" s="916"/>
      <c r="AK124" s="916"/>
      <c r="AL124" s="916"/>
      <c r="AM124" s="916"/>
      <c r="AN124" s="916"/>
      <c r="AO124" s="916"/>
      <c r="AP124" s="916"/>
      <c r="AQ124" s="916"/>
      <c r="AR124" s="916"/>
      <c r="AS124" s="916"/>
      <c r="AT124" s="916"/>
      <c r="AU124" s="916"/>
      <c r="AV124" s="916"/>
    </row>
    <row r="125" ht="14.25" customHeight="1">
      <c r="A125" s="916"/>
      <c r="B125" s="946"/>
      <c r="C125" s="935"/>
      <c r="D125" s="941"/>
      <c r="E125" s="916"/>
      <c r="F125" s="916"/>
      <c r="G125" s="916"/>
      <c r="I125" s="916"/>
      <c r="J125" s="916"/>
      <c r="K125" s="916"/>
      <c r="L125" s="916"/>
      <c r="M125" s="916"/>
      <c r="N125" s="916"/>
      <c r="O125" s="916"/>
      <c r="P125" s="916"/>
      <c r="Q125" s="916"/>
      <c r="R125" s="916"/>
      <c r="S125" s="916"/>
      <c r="T125" s="916"/>
      <c r="U125" s="916"/>
      <c r="V125" s="916"/>
      <c r="W125" s="916"/>
      <c r="X125" s="916"/>
      <c r="Y125" s="916"/>
      <c r="Z125" s="916"/>
      <c r="AA125" s="916"/>
      <c r="AB125" s="916"/>
      <c r="AC125" s="916"/>
      <c r="AD125" s="916"/>
      <c r="AE125" s="916"/>
      <c r="AF125" s="916"/>
      <c r="AG125" s="916"/>
      <c r="AH125" s="916"/>
      <c r="AI125" s="916"/>
      <c r="AJ125" s="916"/>
      <c r="AK125" s="916"/>
      <c r="AL125" s="916"/>
      <c r="AM125" s="916"/>
      <c r="AN125" s="916"/>
      <c r="AO125" s="916"/>
      <c r="AP125" s="916"/>
      <c r="AQ125" s="916"/>
      <c r="AR125" s="916"/>
      <c r="AS125" s="916"/>
      <c r="AT125" s="916"/>
      <c r="AU125" s="916"/>
      <c r="AV125" s="916"/>
    </row>
    <row r="126" ht="14.25" customHeight="1">
      <c r="A126" s="916"/>
      <c r="B126" s="946"/>
      <c r="C126" s="935"/>
      <c r="D126" t="s">
        <v>823</v>
      </c>
      <c r="E126" s="916"/>
      <c r="F126" s="916"/>
      <c r="G126" s="916"/>
      <c r="I126" s="950" t="s">
        <v>785</v>
      </c>
      <c r="J126" s="950" t="s">
        <v>788</v>
      </c>
      <c r="K126" s="953"/>
      <c r="L126" s="953"/>
      <c r="M126" s="953"/>
      <c r="N126" s="953"/>
      <c r="O126" s="953"/>
      <c r="P126" s="916"/>
      <c r="Q126" s="916"/>
      <c r="R126" s="916"/>
      <c r="S126" s="916"/>
      <c r="T126" s="916"/>
      <c r="U126" s="916"/>
      <c r="V126" s="916"/>
      <c r="W126" s="916"/>
      <c r="X126" s="916"/>
      <c r="Y126" s="916"/>
      <c r="Z126" s="916"/>
      <c r="AA126" s="916"/>
      <c r="AB126" s="916"/>
      <c r="AC126" s="916"/>
      <c r="AD126" s="916"/>
      <c r="AE126" s="916"/>
      <c r="AF126" s="916"/>
      <c r="AG126" s="916"/>
      <c r="AH126" s="916"/>
      <c r="AI126" s="916"/>
      <c r="AJ126" s="916"/>
      <c r="AK126" s="916"/>
      <c r="AL126" s="916"/>
      <c r="AM126" s="916"/>
      <c r="AN126" s="916"/>
      <c r="AO126" s="916"/>
      <c r="AP126" s="916"/>
      <c r="AQ126" s="916"/>
      <c r="AR126" s="916"/>
      <c r="AS126" s="916"/>
      <c r="AT126" s="916"/>
      <c r="AU126" s="916"/>
      <c r="AV126" s="916"/>
    </row>
    <row r="127" ht="14.25" customHeight="1">
      <c r="A127" s="916"/>
      <c r="B127" s="946"/>
      <c r="C127" s="935"/>
      <c r="D127" t="s">
        <v>824</v>
      </c>
      <c r="E127" s="916"/>
      <c r="F127" s="916"/>
      <c r="G127" s="916"/>
      <c r="I127" s="950" t="s">
        <v>785</v>
      </c>
      <c r="J127" s="950" t="s">
        <v>788</v>
      </c>
      <c r="K127" s="953"/>
      <c r="L127" s="953"/>
      <c r="M127" s="953"/>
      <c r="N127" s="953"/>
      <c r="O127" s="953"/>
      <c r="P127" s="916"/>
      <c r="Q127" s="916"/>
      <c r="R127" s="916"/>
      <c r="S127" s="916"/>
      <c r="T127" s="916"/>
      <c r="U127" s="916"/>
      <c r="V127" s="916"/>
      <c r="W127" s="916"/>
      <c r="X127" s="916"/>
      <c r="Y127" s="916"/>
      <c r="Z127" s="916"/>
      <c r="AA127" s="916"/>
      <c r="AB127" s="916"/>
      <c r="AC127" s="916"/>
      <c r="AD127" s="916"/>
      <c r="AE127" s="916"/>
      <c r="AF127" s="916"/>
      <c r="AG127" s="916"/>
      <c r="AH127" s="916"/>
      <c r="AI127" s="916"/>
      <c r="AJ127" s="916"/>
      <c r="AK127" s="916"/>
      <c r="AL127" s="916"/>
      <c r="AM127" s="916"/>
      <c r="AN127" s="916"/>
      <c r="AO127" s="916"/>
      <c r="AP127" s="916"/>
      <c r="AQ127" s="916"/>
      <c r="AR127" s="916"/>
      <c r="AS127" s="916"/>
      <c r="AT127" s="916"/>
      <c r="AU127" s="916"/>
      <c r="AV127" s="916"/>
    </row>
    <row r="128" ht="14.25" customHeight="1">
      <c r="A128" s="916"/>
      <c r="B128" s="946"/>
      <c r="C128" s="935"/>
      <c r="E128" s="916"/>
      <c r="F128" s="916"/>
      <c r="G128" s="916"/>
      <c r="I128" s="916"/>
      <c r="J128" s="916"/>
      <c r="K128" s="916"/>
      <c r="L128" s="916"/>
      <c r="M128" s="916"/>
      <c r="N128" s="916"/>
      <c r="O128" s="916"/>
      <c r="P128" s="916"/>
      <c r="Q128" s="916"/>
      <c r="R128" s="916"/>
      <c r="S128" s="916"/>
      <c r="T128" s="916"/>
      <c r="U128" s="916"/>
      <c r="V128" s="916"/>
      <c r="W128" s="916"/>
      <c r="X128" s="916"/>
      <c r="Y128" s="916"/>
      <c r="Z128" s="916"/>
      <c r="AA128" s="916"/>
      <c r="AB128" s="916"/>
      <c r="AC128" s="916"/>
      <c r="AD128" s="916"/>
      <c r="AE128" s="916"/>
      <c r="AF128" s="916"/>
      <c r="AG128" s="916"/>
      <c r="AH128" s="916"/>
      <c r="AI128" s="916"/>
      <c r="AJ128" s="916"/>
      <c r="AK128" s="916"/>
      <c r="AL128" s="916"/>
      <c r="AM128" s="916"/>
      <c r="AN128" s="916"/>
      <c r="AO128" s="916"/>
      <c r="AP128" s="916"/>
      <c r="AQ128" s="916"/>
      <c r="AR128" s="916"/>
      <c r="AS128" s="916"/>
      <c r="AT128" s="916"/>
      <c r="AU128" s="916"/>
      <c r="AV128" s="916"/>
    </row>
    <row r="129" ht="14.25" customHeight="1">
      <c r="A129" s="916"/>
      <c r="B129" s="946"/>
      <c r="C129" s="935"/>
      <c r="D129" t="s">
        <v>825</v>
      </c>
      <c r="E129" s="916"/>
      <c r="F129" s="916"/>
      <c r="G129" s="916"/>
      <c r="I129" s="950" t="s">
        <v>785</v>
      </c>
      <c r="J129" s="950" t="s">
        <v>788</v>
      </c>
      <c r="K129" s="953"/>
      <c r="L129" s="953"/>
      <c r="M129" s="953"/>
      <c r="N129" s="953"/>
      <c r="O129" s="953"/>
      <c r="P129" s="916"/>
      <c r="Q129" s="916"/>
      <c r="R129" s="916"/>
      <c r="S129" s="916"/>
      <c r="T129" s="916"/>
      <c r="U129" s="916"/>
      <c r="V129" s="916"/>
      <c r="W129" s="916"/>
      <c r="X129" s="916"/>
      <c r="Y129" s="916"/>
      <c r="Z129" s="916"/>
      <c r="AA129" s="916"/>
      <c r="AB129" s="916"/>
      <c r="AC129" s="916"/>
      <c r="AD129" s="916"/>
      <c r="AE129" s="916"/>
      <c r="AF129" s="916"/>
      <c r="AG129" s="916"/>
      <c r="AH129" s="916"/>
      <c r="AI129" s="916"/>
      <c r="AJ129" s="916"/>
      <c r="AK129" s="916"/>
      <c r="AL129" s="916"/>
      <c r="AM129" s="916"/>
      <c r="AN129" s="916"/>
      <c r="AO129" s="916"/>
      <c r="AP129" s="916"/>
      <c r="AQ129" s="916"/>
      <c r="AR129" s="916"/>
      <c r="AS129" s="916"/>
      <c r="AT129" s="916"/>
      <c r="AU129" s="916"/>
      <c r="AV129" s="916"/>
    </row>
    <row r="130" ht="14.25" customHeight="1">
      <c r="A130" s="916"/>
      <c r="B130" s="946"/>
      <c r="C130" s="935"/>
      <c r="D130" t="s">
        <v>826</v>
      </c>
      <c r="E130" s="916"/>
      <c r="F130" s="916"/>
      <c r="G130" s="916"/>
      <c r="I130" s="950" t="s">
        <v>785</v>
      </c>
      <c r="J130" s="950" t="s">
        <v>788</v>
      </c>
      <c r="K130" s="953"/>
      <c r="L130" s="953"/>
      <c r="M130" s="953"/>
      <c r="N130" s="953"/>
      <c r="O130" s="953"/>
      <c r="P130" s="916"/>
      <c r="Q130" s="916"/>
      <c r="R130" s="916"/>
      <c r="S130" s="916"/>
      <c r="T130" s="916"/>
      <c r="U130" s="916"/>
      <c r="V130" s="916"/>
      <c r="W130" s="916"/>
      <c r="X130" s="916"/>
      <c r="Y130" s="916"/>
      <c r="Z130" s="916"/>
      <c r="AA130" s="916"/>
      <c r="AB130" s="916"/>
      <c r="AC130" s="916"/>
      <c r="AD130" s="916"/>
      <c r="AE130" s="916"/>
      <c r="AF130" s="916"/>
      <c r="AG130" s="916"/>
      <c r="AH130" s="916"/>
      <c r="AI130" s="916"/>
      <c r="AJ130" s="916"/>
      <c r="AK130" s="916"/>
      <c r="AL130" s="916"/>
      <c r="AM130" s="916"/>
      <c r="AN130" s="916"/>
      <c r="AO130" s="916"/>
      <c r="AP130" s="916"/>
      <c r="AQ130" s="916"/>
      <c r="AR130" s="916"/>
      <c r="AS130" s="916"/>
      <c r="AT130" s="916"/>
      <c r="AU130" s="916"/>
      <c r="AV130" s="916"/>
    </row>
    <row r="131" ht="14.25" customHeight="1">
      <c r="A131" s="916"/>
      <c r="B131" s="946"/>
      <c r="C131" s="935"/>
      <c r="D131" s="916"/>
      <c r="E131" s="916"/>
      <c r="F131" s="916"/>
      <c r="G131" s="916"/>
      <c r="I131" s="916"/>
      <c r="J131" s="916"/>
      <c r="K131" s="916"/>
      <c r="L131" s="916"/>
      <c r="M131" s="916"/>
      <c r="N131" s="916"/>
      <c r="O131" s="916"/>
      <c r="P131" s="916"/>
      <c r="Q131" s="916"/>
      <c r="R131" s="916"/>
      <c r="S131" s="916"/>
      <c r="T131" s="916"/>
      <c r="U131" s="916"/>
      <c r="V131" s="916"/>
      <c r="W131" s="916"/>
      <c r="X131" s="916"/>
      <c r="Y131" s="916"/>
      <c r="Z131" s="916"/>
      <c r="AA131" s="916"/>
      <c r="AB131" s="916"/>
      <c r="AC131" s="916"/>
      <c r="AD131" s="916"/>
      <c r="AE131" s="916"/>
      <c r="AF131" s="916"/>
      <c r="AG131" s="916"/>
      <c r="AH131" s="916"/>
      <c r="AI131" s="916"/>
      <c r="AJ131" s="916"/>
      <c r="AK131" s="916"/>
      <c r="AL131" s="916"/>
      <c r="AM131" s="916"/>
      <c r="AN131" s="916"/>
      <c r="AO131" s="916"/>
      <c r="AP131" s="916"/>
      <c r="AQ131" s="916"/>
      <c r="AR131" s="916"/>
      <c r="AS131" s="916"/>
      <c r="AT131" s="916"/>
      <c r="AU131" s="916"/>
      <c r="AV131" s="916"/>
    </row>
    <row r="132" ht="14.25" customHeight="1">
      <c r="A132" s="916"/>
      <c r="B132" s="952" t="s">
        <v>827</v>
      </c>
      <c r="C132" s="935"/>
      <c r="D132" s="954" t="s">
        <v>828</v>
      </c>
      <c r="E132" s="916"/>
      <c r="F132" s="916"/>
      <c r="G132" s="916"/>
      <c r="I132" s="934" t="s">
        <v>783</v>
      </c>
      <c r="P132" s="916"/>
      <c r="Q132" s="916"/>
      <c r="R132" s="916"/>
      <c r="S132" s="916"/>
      <c r="T132" s="916"/>
      <c r="U132" s="916"/>
      <c r="V132" s="916"/>
      <c r="W132" s="916"/>
      <c r="X132" s="916"/>
      <c r="Y132" s="916"/>
      <c r="Z132" s="916"/>
      <c r="AA132" s="916"/>
      <c r="AB132" s="916"/>
      <c r="AC132" s="916"/>
      <c r="AD132" s="916"/>
      <c r="AE132" s="916"/>
      <c r="AF132" s="916"/>
      <c r="AG132" s="916"/>
      <c r="AH132" s="916"/>
      <c r="AI132" s="916"/>
      <c r="AJ132" s="916"/>
      <c r="AK132" s="916"/>
      <c r="AL132" s="916"/>
      <c r="AM132" s="916"/>
      <c r="AN132" s="916"/>
      <c r="AO132" s="916"/>
      <c r="AP132" s="916"/>
      <c r="AQ132" s="916"/>
      <c r="AR132" s="916"/>
      <c r="AS132" s="916"/>
      <c r="AT132" s="916"/>
      <c r="AU132" s="916"/>
      <c r="AV132" s="916"/>
    </row>
    <row r="133" ht="14.25" customHeight="1">
      <c r="A133" s="916"/>
      <c r="C133" s="935"/>
      <c r="D133" s="724" t="s">
        <v>829</v>
      </c>
      <c r="E133" s="724"/>
      <c r="F133" s="916"/>
      <c r="G133" s="916"/>
      <c r="I133" s="950" t="s">
        <v>785</v>
      </c>
      <c r="J133" s="950" t="s">
        <v>788</v>
      </c>
      <c r="K133" s="953"/>
      <c r="L133" s="953"/>
      <c r="M133" s="953"/>
      <c r="N133" s="953"/>
      <c r="O133" s="953"/>
      <c r="P133" s="916"/>
      <c r="Q133" s="916"/>
      <c r="R133" s="916"/>
      <c r="S133" s="916"/>
      <c r="T133" s="916"/>
      <c r="U133" s="916"/>
      <c r="V133" s="916"/>
      <c r="W133" s="916"/>
      <c r="X133" s="916"/>
      <c r="Y133" s="916"/>
      <c r="Z133" s="916"/>
      <c r="AA133" s="916"/>
      <c r="AB133" s="916"/>
      <c r="AC133" s="916"/>
      <c r="AD133" s="916"/>
      <c r="AE133" s="916"/>
      <c r="AF133" s="916"/>
      <c r="AG133" s="916"/>
      <c r="AH133" s="916"/>
      <c r="AI133" s="916"/>
      <c r="AJ133" s="916"/>
      <c r="AK133" s="916"/>
      <c r="AL133" s="916"/>
      <c r="AM133" s="916"/>
      <c r="AN133" s="916"/>
      <c r="AO133" s="916"/>
      <c r="AP133" s="916"/>
      <c r="AQ133" s="916"/>
      <c r="AR133" s="916"/>
      <c r="AS133" s="916"/>
      <c r="AT133" s="916"/>
      <c r="AU133" s="916"/>
      <c r="AV133" s="916"/>
    </row>
    <row r="134" ht="14.25" customHeight="1">
      <c r="A134" s="916"/>
      <c r="B134" s="946" t="s">
        <v>786</v>
      </c>
      <c r="C134" s="935"/>
      <c r="D134" s="724" t="s">
        <v>830</v>
      </c>
      <c r="E134" s="724"/>
      <c r="F134" s="916"/>
      <c r="G134" s="916"/>
      <c r="I134" s="950" t="s">
        <v>785</v>
      </c>
      <c r="J134" s="950" t="s">
        <v>788</v>
      </c>
      <c r="K134" s="953"/>
      <c r="L134" s="953"/>
      <c r="M134" s="953"/>
      <c r="N134" s="953"/>
      <c r="O134" s="953"/>
      <c r="P134" s="916"/>
      <c r="Q134" s="916"/>
      <c r="R134" s="916"/>
      <c r="S134" s="916"/>
      <c r="T134" s="916"/>
      <c r="U134" s="916"/>
      <c r="V134" s="916"/>
      <c r="W134" s="916"/>
      <c r="X134" s="916"/>
      <c r="Y134" s="916"/>
      <c r="Z134" s="916"/>
      <c r="AA134" s="916"/>
      <c r="AB134" s="916"/>
      <c r="AC134" s="916"/>
      <c r="AD134" s="916"/>
      <c r="AE134" s="916"/>
      <c r="AF134" s="916"/>
      <c r="AG134" s="916"/>
      <c r="AH134" s="916"/>
      <c r="AI134" s="916"/>
      <c r="AJ134" s="916"/>
      <c r="AK134" s="916"/>
      <c r="AL134" s="916"/>
      <c r="AM134" s="916"/>
      <c r="AN134" s="916"/>
      <c r="AO134" s="916"/>
      <c r="AP134" s="916"/>
      <c r="AQ134" s="916"/>
      <c r="AR134" s="916"/>
      <c r="AS134" s="916"/>
      <c r="AT134" s="916"/>
      <c r="AU134" s="916"/>
      <c r="AV134" s="916"/>
    </row>
    <row r="135" ht="14.25" customHeight="1">
      <c r="A135" s="916"/>
      <c r="B135" s="946"/>
      <c r="C135" s="935"/>
      <c r="D135" s="916"/>
      <c r="E135" s="916"/>
      <c r="F135" s="916"/>
      <c r="H135" s="916"/>
      <c r="I135" s="916"/>
      <c r="J135" s="916"/>
      <c r="K135" s="916"/>
      <c r="L135" s="916"/>
      <c r="M135" s="916"/>
      <c r="N135" s="916"/>
      <c r="O135" s="916"/>
      <c r="P135" s="916"/>
      <c r="Q135" s="916"/>
      <c r="R135" s="916"/>
      <c r="S135" s="916"/>
      <c r="T135" s="916"/>
      <c r="U135" s="916"/>
      <c r="V135" s="916"/>
      <c r="W135" s="916"/>
      <c r="X135" s="916"/>
      <c r="Y135" s="916"/>
      <c r="Z135" s="916"/>
      <c r="AA135" s="916"/>
      <c r="AB135" s="916"/>
      <c r="AC135" s="916"/>
      <c r="AD135" s="916"/>
      <c r="AE135" s="916"/>
      <c r="AF135" s="916"/>
      <c r="AG135" s="916"/>
      <c r="AH135" s="916"/>
      <c r="AI135" s="916"/>
      <c r="AJ135" s="916"/>
      <c r="AK135" s="916"/>
      <c r="AL135" s="916"/>
      <c r="AM135" s="916"/>
      <c r="AN135" s="916"/>
      <c r="AO135" s="916"/>
      <c r="AP135" s="916"/>
      <c r="AQ135" s="916"/>
      <c r="AR135" s="916"/>
      <c r="AS135" s="916"/>
      <c r="AT135" s="916"/>
      <c r="AU135" s="916"/>
      <c r="AV135" s="916"/>
    </row>
    <row r="136" ht="14.25" customHeight="1">
      <c r="A136" s="916"/>
      <c r="B136" s="952" t="s">
        <v>831</v>
      </c>
      <c r="C136" s="935"/>
      <c r="D136" s="954" t="s">
        <v>832</v>
      </c>
      <c r="E136" s="916"/>
      <c r="F136" s="916"/>
      <c r="G136" s="916"/>
      <c r="I136" s="934" t="s">
        <v>783</v>
      </c>
      <c r="P136" s="916"/>
      <c r="Q136" s="916"/>
      <c r="R136" s="916"/>
      <c r="S136" s="916"/>
      <c r="T136" s="916"/>
      <c r="U136" s="916"/>
      <c r="V136" s="916"/>
      <c r="W136" s="916"/>
      <c r="X136" s="916"/>
      <c r="Y136" s="916"/>
      <c r="Z136" s="916"/>
      <c r="AA136" s="916"/>
      <c r="AB136" s="916"/>
      <c r="AC136" s="916"/>
      <c r="AD136" s="916"/>
      <c r="AE136" s="916"/>
      <c r="AF136" s="916"/>
      <c r="AG136" s="916"/>
      <c r="AH136" s="916"/>
      <c r="AI136" s="916"/>
      <c r="AJ136" s="916"/>
      <c r="AK136" s="916"/>
      <c r="AL136" s="916"/>
      <c r="AM136" s="916"/>
      <c r="AN136" s="916"/>
      <c r="AO136" s="916"/>
      <c r="AP136" s="916"/>
      <c r="AQ136" s="916"/>
      <c r="AR136" s="916"/>
      <c r="AS136" s="916"/>
      <c r="AT136" s="916"/>
      <c r="AU136" s="916"/>
      <c r="AV136" s="916"/>
    </row>
    <row r="137" ht="14.25" customHeight="1">
      <c r="A137" s="916"/>
      <c r="C137" s="935"/>
      <c r="D137" s="724" t="s">
        <v>833</v>
      </c>
      <c r="E137" s="916"/>
      <c r="F137" s="916"/>
      <c r="G137" s="916"/>
      <c r="H137" s="916"/>
      <c r="I137" s="950" t="s">
        <v>785</v>
      </c>
      <c r="J137" s="950" t="s">
        <v>788</v>
      </c>
      <c r="K137" s="953"/>
      <c r="L137" s="953"/>
      <c r="M137" s="953"/>
      <c r="N137" s="953"/>
      <c r="O137" s="953"/>
      <c r="P137" s="916"/>
      <c r="Q137" s="916"/>
      <c r="R137" s="916"/>
      <c r="S137" s="916"/>
      <c r="T137" s="916"/>
      <c r="U137" s="916"/>
      <c r="V137" s="916"/>
      <c r="W137" s="916"/>
      <c r="X137" s="916"/>
      <c r="Y137" s="916"/>
      <c r="Z137" s="916"/>
      <c r="AA137" s="916"/>
      <c r="AB137" s="916"/>
      <c r="AC137" s="916"/>
      <c r="AD137" s="916"/>
      <c r="AE137" s="916"/>
      <c r="AF137" s="916"/>
      <c r="AG137" s="916"/>
      <c r="AH137" s="916"/>
      <c r="AI137" s="916"/>
      <c r="AJ137" s="916"/>
      <c r="AK137" s="916"/>
      <c r="AL137" s="916"/>
      <c r="AM137" s="916"/>
      <c r="AN137" s="916"/>
      <c r="AO137" s="916"/>
      <c r="AP137" s="916"/>
      <c r="AQ137" s="916"/>
      <c r="AR137" s="916"/>
      <c r="AS137" s="916"/>
      <c r="AT137" s="916"/>
      <c r="AU137" s="916"/>
      <c r="AV137" s="916"/>
      <c r="AW137" s="916"/>
      <c r="AX137" s="916"/>
      <c r="AY137" s="916"/>
      <c r="AZ137" s="916"/>
      <c r="BA137" s="916"/>
      <c r="BB137" s="916"/>
      <c r="BC137" s="916"/>
      <c r="BD137" s="916"/>
      <c r="BE137" s="916"/>
      <c r="BF137" s="916"/>
    </row>
    <row r="138" ht="14.25" customHeight="1">
      <c r="A138" s="916"/>
      <c r="B138" s="946"/>
      <c r="C138" s="935"/>
      <c r="D138" s="724" t="s">
        <v>834</v>
      </c>
      <c r="E138" s="916"/>
      <c r="F138" s="916"/>
      <c r="G138" s="916"/>
      <c r="H138" s="916"/>
      <c r="I138" s="950" t="s">
        <v>785</v>
      </c>
      <c r="J138" s="950" t="s">
        <v>788</v>
      </c>
      <c r="K138" s="953"/>
      <c r="L138" s="953"/>
      <c r="M138" s="953"/>
      <c r="N138" s="953"/>
      <c r="O138" s="953"/>
      <c r="P138" s="916"/>
      <c r="Q138" s="916"/>
      <c r="R138" s="916"/>
      <c r="S138" s="916"/>
      <c r="T138" s="916"/>
      <c r="U138" s="916"/>
      <c r="V138" s="916"/>
      <c r="W138" s="916"/>
      <c r="X138" s="916"/>
      <c r="Y138" s="916"/>
      <c r="Z138" s="916"/>
      <c r="AA138" s="916"/>
      <c r="AB138" s="916"/>
      <c r="AC138" s="916"/>
      <c r="AD138" s="916"/>
      <c r="AE138" s="916"/>
      <c r="AF138" s="916"/>
      <c r="AG138" s="916"/>
      <c r="AH138" s="916"/>
      <c r="AI138" s="916"/>
      <c r="AJ138" s="916"/>
      <c r="AK138" s="916"/>
      <c r="AL138" s="916"/>
      <c r="AM138" s="916"/>
      <c r="AN138" s="916"/>
      <c r="AO138" s="916"/>
      <c r="AP138" s="916"/>
      <c r="AQ138" s="916"/>
      <c r="AR138" s="916"/>
      <c r="AS138" s="916"/>
      <c r="AT138" s="916"/>
      <c r="AU138" s="916"/>
      <c r="AV138" s="916"/>
      <c r="AW138" s="916"/>
      <c r="AX138" s="916"/>
      <c r="AY138" s="916"/>
      <c r="AZ138" s="916"/>
      <c r="BA138" s="916"/>
      <c r="BB138" s="916"/>
      <c r="BC138" s="916"/>
      <c r="BD138" s="916"/>
      <c r="BE138" s="916"/>
      <c r="BF138" s="916"/>
    </row>
    <row r="139" ht="14.25" customHeight="1">
      <c r="A139" s="916"/>
      <c r="B139" s="946"/>
      <c r="C139" s="935"/>
      <c r="D139" s="921"/>
      <c r="E139" s="916"/>
      <c r="F139" s="916"/>
      <c r="G139" s="916"/>
      <c r="H139" s="916"/>
      <c r="I139" s="916"/>
      <c r="J139" s="916"/>
      <c r="K139" s="916"/>
      <c r="L139" s="916"/>
      <c r="M139" s="916"/>
      <c r="N139" s="916"/>
      <c r="O139" s="916"/>
      <c r="P139" s="916"/>
      <c r="Q139" s="916"/>
      <c r="R139" s="916"/>
      <c r="S139" s="916"/>
      <c r="T139" s="916"/>
      <c r="U139" s="916"/>
      <c r="V139" s="916"/>
      <c r="W139" s="916"/>
      <c r="X139" s="916"/>
      <c r="Y139" s="916"/>
      <c r="Z139" s="916"/>
      <c r="AA139" s="916"/>
      <c r="AB139" s="916"/>
      <c r="AC139" s="916"/>
      <c r="AD139" s="916"/>
      <c r="AE139" s="916"/>
      <c r="AF139" s="916"/>
      <c r="AG139" s="916"/>
      <c r="AH139" s="916"/>
      <c r="AI139" s="916"/>
      <c r="AJ139" s="916"/>
      <c r="AK139" s="916"/>
      <c r="AL139" s="916"/>
      <c r="AM139" s="916"/>
      <c r="AN139" s="916"/>
      <c r="AO139" s="916"/>
      <c r="AP139" s="916"/>
      <c r="AQ139" s="916"/>
      <c r="AR139" s="916"/>
      <c r="AS139" s="916"/>
      <c r="AT139" s="916"/>
      <c r="AU139" s="916"/>
      <c r="AV139" s="916"/>
      <c r="AW139" s="916"/>
      <c r="AX139" s="916"/>
      <c r="AY139" s="916"/>
      <c r="AZ139" s="916"/>
      <c r="BA139" s="916"/>
      <c r="BB139" s="916"/>
      <c r="BC139" s="916"/>
      <c r="BD139" s="916"/>
      <c r="BE139" s="916"/>
      <c r="BF139" s="916"/>
    </row>
    <row r="140" ht="14.25" customHeight="1">
      <c r="A140" s="916"/>
      <c r="B140" s="946" t="s">
        <v>786</v>
      </c>
      <c r="C140" s="935"/>
      <c r="D140" s="916" t="s">
        <v>835</v>
      </c>
      <c r="E140" s="916"/>
      <c r="F140" s="916"/>
      <c r="G140" s="916"/>
      <c r="I140" s="950" t="s">
        <v>785</v>
      </c>
      <c r="J140" s="950" t="s">
        <v>788</v>
      </c>
      <c r="K140" s="953"/>
      <c r="L140" s="953"/>
      <c r="M140" s="953"/>
      <c r="N140" s="953"/>
      <c r="O140" s="953"/>
      <c r="P140" s="916"/>
      <c r="Q140" s="916"/>
      <c r="R140" s="916"/>
      <c r="S140" s="916"/>
      <c r="T140" s="916"/>
      <c r="U140" s="916"/>
      <c r="V140" s="916"/>
      <c r="W140" s="916"/>
      <c r="X140" s="916"/>
      <c r="Y140" s="916"/>
      <c r="Z140" s="916"/>
      <c r="AA140" s="916"/>
      <c r="AB140" s="916"/>
      <c r="AC140" s="916"/>
      <c r="AD140" s="916"/>
      <c r="AE140" s="916"/>
      <c r="AF140" s="916"/>
      <c r="AG140" s="916"/>
      <c r="AH140" s="916"/>
      <c r="AI140" s="916"/>
      <c r="AJ140" s="916"/>
      <c r="AK140" s="916"/>
      <c r="AL140" s="916"/>
      <c r="AM140" s="916"/>
      <c r="AN140" s="916"/>
      <c r="AO140" s="916"/>
      <c r="AP140" s="916"/>
      <c r="AQ140" s="916"/>
      <c r="AR140" s="916"/>
      <c r="AS140" s="916"/>
      <c r="AT140" s="916"/>
      <c r="AU140" s="916"/>
      <c r="AV140" s="916"/>
    </row>
    <row r="141" ht="14.25" customHeight="1">
      <c r="A141" s="916"/>
      <c r="C141" s="935"/>
      <c r="D141" s="916" t="s">
        <v>836</v>
      </c>
      <c r="E141" s="916"/>
      <c r="F141" s="916"/>
      <c r="G141" s="916"/>
      <c r="I141" s="950" t="s">
        <v>785</v>
      </c>
      <c r="J141" s="950" t="s">
        <v>788</v>
      </c>
      <c r="K141" s="953"/>
      <c r="L141" s="953"/>
      <c r="M141" s="953"/>
      <c r="N141" s="953"/>
      <c r="O141" s="953"/>
      <c r="P141" s="916"/>
      <c r="Q141" s="916"/>
      <c r="R141" s="916"/>
      <c r="S141" s="916"/>
      <c r="T141" s="916"/>
      <c r="U141" s="916"/>
      <c r="V141" s="916"/>
      <c r="W141" s="916"/>
      <c r="X141" s="916"/>
      <c r="Y141" s="916"/>
      <c r="Z141" s="916"/>
      <c r="AA141" s="916"/>
      <c r="AB141" s="916"/>
      <c r="AC141" s="916"/>
      <c r="AD141" s="916"/>
      <c r="AE141" s="916"/>
      <c r="AF141" s="916"/>
      <c r="AG141" s="916"/>
      <c r="AH141" s="916"/>
      <c r="AI141" s="916"/>
      <c r="AJ141" s="916"/>
      <c r="AK141" s="916"/>
      <c r="AL141" s="916"/>
      <c r="AM141" s="916"/>
      <c r="AN141" s="916"/>
      <c r="AO141" s="916"/>
      <c r="AP141" s="916"/>
      <c r="AQ141" s="916"/>
      <c r="AR141" s="916"/>
      <c r="AS141" s="916"/>
      <c r="AT141" s="916"/>
      <c r="AU141" s="916"/>
      <c r="AV141" s="916"/>
    </row>
    <row r="142" ht="14.25" customHeight="1">
      <c r="A142" s="916"/>
      <c r="B142" s="946"/>
      <c r="C142" s="935"/>
      <c r="D142" s="941"/>
      <c r="E142" s="941"/>
      <c r="F142" s="941"/>
      <c r="G142" s="916"/>
      <c r="I142" s="916"/>
      <c r="J142" s="916"/>
      <c r="K142" s="916"/>
      <c r="L142" s="916"/>
      <c r="M142" s="916"/>
      <c r="N142" s="916"/>
      <c r="O142" s="916"/>
      <c r="P142" s="916"/>
      <c r="Q142" s="916"/>
      <c r="R142" s="916"/>
      <c r="S142" s="916"/>
      <c r="T142" s="916"/>
      <c r="U142" s="916"/>
      <c r="V142" s="916"/>
      <c r="W142" s="916"/>
      <c r="X142" s="916"/>
      <c r="Y142" s="916"/>
      <c r="Z142" s="916"/>
      <c r="AA142" s="916"/>
      <c r="AB142" s="916"/>
      <c r="AC142" s="916"/>
      <c r="AD142" s="916"/>
      <c r="AE142" s="916"/>
      <c r="AF142" s="916"/>
      <c r="AG142" s="916"/>
      <c r="AH142" s="916"/>
      <c r="AI142" s="916"/>
      <c r="AJ142" s="916"/>
      <c r="AK142" s="916"/>
      <c r="AL142" s="916"/>
      <c r="AM142" s="916"/>
      <c r="AN142" s="916"/>
      <c r="AO142" s="916"/>
      <c r="AP142" s="916"/>
      <c r="AQ142" s="916"/>
      <c r="AR142" s="916"/>
      <c r="AS142" s="916"/>
      <c r="AT142" s="916"/>
      <c r="AU142" s="916"/>
      <c r="AV142" s="916"/>
    </row>
    <row r="143" ht="14.25" customHeight="1">
      <c r="A143" s="916"/>
      <c r="B143" s="946"/>
      <c r="C143" s="935"/>
      <c r="D143" s="916" t="s">
        <v>813</v>
      </c>
      <c r="E143" s="916"/>
      <c r="F143" s="916"/>
      <c r="G143" s="916"/>
      <c r="I143" s="950" t="s">
        <v>785</v>
      </c>
      <c r="J143" s="950" t="s">
        <v>788</v>
      </c>
      <c r="K143" s="953"/>
      <c r="L143" s="953"/>
      <c r="M143" s="953"/>
      <c r="N143" s="953"/>
      <c r="O143" s="953"/>
      <c r="P143" s="916"/>
      <c r="Q143" s="916"/>
      <c r="R143" s="916"/>
      <c r="S143" s="916"/>
      <c r="T143" s="916"/>
      <c r="U143" s="916"/>
      <c r="V143" s="916"/>
      <c r="W143" s="916"/>
      <c r="X143" s="916"/>
      <c r="Y143" s="916"/>
      <c r="Z143" s="916"/>
      <c r="AA143" s="916"/>
      <c r="AB143" s="916"/>
      <c r="AC143" s="916"/>
      <c r="AD143" s="916"/>
      <c r="AE143" s="916"/>
      <c r="AF143" s="916"/>
      <c r="AG143" s="916"/>
      <c r="AH143" s="916"/>
      <c r="AI143" s="916"/>
      <c r="AJ143" s="916"/>
      <c r="AK143" s="916"/>
      <c r="AL143" s="916"/>
      <c r="AM143" s="916"/>
      <c r="AN143" s="916"/>
      <c r="AO143" s="916"/>
      <c r="AP143" s="916"/>
      <c r="AQ143" s="916"/>
      <c r="AR143" s="916"/>
      <c r="AS143" s="916"/>
      <c r="AT143" s="916"/>
      <c r="AU143" s="916"/>
      <c r="AV143" s="916"/>
    </row>
    <row r="144" ht="14.25" customHeight="1">
      <c r="A144" s="916"/>
      <c r="B144" s="946"/>
      <c r="C144" s="935"/>
      <c r="D144" s="916" t="s">
        <v>814</v>
      </c>
      <c r="E144" s="916"/>
      <c r="F144" s="916"/>
      <c r="G144" s="916"/>
      <c r="I144" s="950" t="s">
        <v>785</v>
      </c>
      <c r="J144" s="950" t="s">
        <v>788</v>
      </c>
      <c r="K144" s="953"/>
      <c r="L144" s="953"/>
      <c r="M144" s="953"/>
      <c r="N144" s="953"/>
      <c r="O144" s="953"/>
      <c r="P144" s="916"/>
      <c r="Q144" s="916"/>
      <c r="R144" s="916"/>
      <c r="S144" s="916"/>
      <c r="T144" s="916"/>
      <c r="U144" s="916"/>
      <c r="V144" s="916"/>
      <c r="W144" s="916"/>
      <c r="X144" s="916"/>
      <c r="Y144" s="916"/>
      <c r="Z144" s="916"/>
      <c r="AA144" s="916"/>
      <c r="AB144" s="916"/>
      <c r="AC144" s="916"/>
      <c r="AD144" s="916"/>
      <c r="AE144" s="916"/>
      <c r="AF144" s="916"/>
      <c r="AG144" s="916"/>
      <c r="AH144" s="916"/>
      <c r="AI144" s="916"/>
      <c r="AJ144" s="916"/>
      <c r="AK144" s="916"/>
      <c r="AL144" s="916"/>
      <c r="AM144" s="916"/>
      <c r="AN144" s="916"/>
      <c r="AO144" s="916"/>
      <c r="AP144" s="916"/>
      <c r="AQ144" s="916"/>
      <c r="AR144" s="916"/>
      <c r="AS144" s="916"/>
      <c r="AT144" s="916"/>
      <c r="AU144" s="916"/>
      <c r="AV144" s="916"/>
    </row>
    <row r="145" ht="14.25" customHeight="1">
      <c r="A145" s="916"/>
      <c r="B145" s="946"/>
      <c r="C145" s="935"/>
      <c r="D145" s="916"/>
      <c r="E145" s="916"/>
      <c r="F145" s="916"/>
      <c r="G145" s="916"/>
      <c r="I145" s="916"/>
      <c r="J145" s="916"/>
      <c r="K145" s="916"/>
      <c r="L145" s="916"/>
      <c r="M145" s="916"/>
      <c r="N145" s="916"/>
      <c r="O145" s="916"/>
      <c r="P145" s="916"/>
      <c r="Q145" s="916"/>
      <c r="R145" s="916"/>
      <c r="S145" s="916"/>
      <c r="T145" s="916"/>
      <c r="U145" s="916"/>
      <c r="V145" s="916"/>
      <c r="W145" s="916"/>
      <c r="X145" s="916"/>
      <c r="Y145" s="916"/>
      <c r="Z145" s="916"/>
      <c r="AA145" s="916"/>
      <c r="AB145" s="916"/>
      <c r="AC145" s="916"/>
      <c r="AD145" s="916"/>
      <c r="AE145" s="916"/>
      <c r="AF145" s="916"/>
      <c r="AG145" s="916"/>
      <c r="AH145" s="916"/>
      <c r="AI145" s="916"/>
      <c r="AJ145" s="916"/>
      <c r="AK145" s="916"/>
      <c r="AL145" s="916"/>
      <c r="AM145" s="916"/>
      <c r="AN145" s="916"/>
      <c r="AO145" s="916"/>
      <c r="AP145" s="916"/>
      <c r="AQ145" s="916"/>
      <c r="AR145" s="916"/>
      <c r="AS145" s="916"/>
      <c r="AT145" s="916"/>
      <c r="AU145" s="916"/>
      <c r="AV145" s="916"/>
    </row>
    <row r="146" ht="14.25" customHeight="1">
      <c r="A146" s="916"/>
      <c r="B146" s="946"/>
      <c r="C146" s="935"/>
      <c r="D146" s="916" t="s">
        <v>805</v>
      </c>
      <c r="E146" s="916"/>
      <c r="F146" s="916"/>
      <c r="G146" s="916"/>
      <c r="I146" s="950" t="s">
        <v>785</v>
      </c>
      <c r="J146" s="950" t="s">
        <v>788</v>
      </c>
      <c r="K146" s="953"/>
      <c r="L146" s="953"/>
      <c r="M146" s="953"/>
      <c r="N146" s="953"/>
      <c r="O146" s="953"/>
      <c r="P146" s="916"/>
      <c r="Q146" s="916"/>
      <c r="R146" s="916"/>
      <c r="S146" s="916"/>
      <c r="T146" s="916"/>
      <c r="U146" s="916"/>
      <c r="V146" s="916"/>
      <c r="W146" s="916"/>
      <c r="X146" s="916"/>
      <c r="Y146" s="916"/>
      <c r="Z146" s="916"/>
      <c r="AA146" s="916"/>
      <c r="AB146" s="916"/>
      <c r="AC146" s="916"/>
      <c r="AD146" s="916"/>
      <c r="AE146" s="916"/>
      <c r="AF146" s="916"/>
      <c r="AG146" s="916"/>
      <c r="AH146" s="916"/>
      <c r="AI146" s="916"/>
      <c r="AJ146" s="916"/>
      <c r="AK146" s="916"/>
      <c r="AL146" s="916"/>
      <c r="AM146" s="916"/>
      <c r="AN146" s="916"/>
      <c r="AO146" s="916"/>
      <c r="AP146" s="916"/>
      <c r="AQ146" s="916"/>
      <c r="AR146" s="916"/>
      <c r="AS146" s="916"/>
      <c r="AT146" s="916"/>
      <c r="AU146" s="916"/>
      <c r="AV146" s="916"/>
    </row>
    <row r="147" ht="14.25" customHeight="1">
      <c r="A147" s="916"/>
      <c r="B147" s="946"/>
      <c r="C147" s="935"/>
      <c r="D147" s="916" t="s">
        <v>806</v>
      </c>
      <c r="E147" s="916"/>
      <c r="F147" s="916"/>
      <c r="G147" s="916"/>
      <c r="I147" s="950" t="s">
        <v>785</v>
      </c>
      <c r="J147" s="950" t="s">
        <v>788</v>
      </c>
      <c r="K147" s="953"/>
      <c r="L147" s="953"/>
      <c r="M147" s="953"/>
      <c r="N147" s="953"/>
      <c r="O147" s="953"/>
      <c r="P147" s="916"/>
      <c r="Q147" s="916"/>
      <c r="R147" s="916"/>
      <c r="S147" s="916"/>
      <c r="T147" s="916"/>
      <c r="U147" s="916"/>
      <c r="V147" s="916"/>
      <c r="W147" s="916"/>
      <c r="X147" s="916"/>
      <c r="Y147" s="916"/>
      <c r="Z147" s="916"/>
      <c r="AA147" s="916"/>
      <c r="AB147" s="916"/>
      <c r="AC147" s="916"/>
      <c r="AD147" s="916"/>
      <c r="AE147" s="916"/>
      <c r="AF147" s="916"/>
      <c r="AG147" s="916"/>
      <c r="AH147" s="916"/>
      <c r="AI147" s="916"/>
      <c r="AJ147" s="916"/>
      <c r="AK147" s="916"/>
      <c r="AL147" s="916"/>
      <c r="AM147" s="916"/>
      <c r="AN147" s="916"/>
      <c r="AO147" s="916"/>
      <c r="AP147" s="916"/>
      <c r="AQ147" s="916"/>
      <c r="AR147" s="916"/>
      <c r="AS147" s="916"/>
      <c r="AT147" s="916"/>
      <c r="AU147" s="916"/>
      <c r="AV147" s="916"/>
    </row>
    <row r="148" ht="14.25" customHeight="1">
      <c r="A148" s="916"/>
      <c r="B148" s="946"/>
      <c r="C148" s="935"/>
      <c r="D148" s="916"/>
      <c r="E148" s="916"/>
      <c r="F148" s="916"/>
      <c r="G148" s="916"/>
      <c r="I148" s="916"/>
      <c r="J148" s="916"/>
      <c r="K148" s="916"/>
      <c r="L148" s="916"/>
      <c r="M148" s="916"/>
      <c r="N148" s="916"/>
      <c r="O148" s="916"/>
      <c r="P148" s="916"/>
      <c r="Q148" s="916"/>
      <c r="R148" s="916"/>
      <c r="S148" s="916"/>
      <c r="T148" s="916"/>
      <c r="U148" s="916"/>
      <c r="V148" s="916"/>
      <c r="W148" s="916"/>
      <c r="X148" s="916"/>
      <c r="Y148" s="916"/>
      <c r="Z148" s="916"/>
      <c r="AA148" s="916"/>
      <c r="AB148" s="916"/>
      <c r="AC148" s="916"/>
      <c r="AD148" s="916"/>
      <c r="AE148" s="916"/>
      <c r="AF148" s="916"/>
      <c r="AG148" s="916"/>
      <c r="AH148" s="916"/>
      <c r="AI148" s="916"/>
      <c r="AJ148" s="916"/>
      <c r="AK148" s="916"/>
      <c r="AL148" s="916"/>
      <c r="AM148" s="916"/>
      <c r="AN148" s="916"/>
      <c r="AO148" s="916"/>
      <c r="AP148" s="916"/>
      <c r="AQ148" s="916"/>
      <c r="AR148" s="916"/>
      <c r="AS148" s="916"/>
      <c r="AT148" s="916"/>
      <c r="AU148" s="916"/>
      <c r="AV148" s="916"/>
    </row>
    <row r="149" ht="14.25" customHeight="1">
      <c r="A149" s="916"/>
      <c r="B149" s="946"/>
      <c r="C149" s="935"/>
      <c r="D149" s="916" t="s">
        <v>817</v>
      </c>
      <c r="E149" s="916"/>
      <c r="F149" s="916"/>
      <c r="G149" s="916"/>
      <c r="I149" s="950" t="s">
        <v>785</v>
      </c>
      <c r="J149" s="950" t="s">
        <v>788</v>
      </c>
      <c r="K149" s="953"/>
      <c r="L149" s="953"/>
      <c r="M149" s="953"/>
      <c r="N149" s="953"/>
      <c r="O149" s="953"/>
      <c r="P149" s="916"/>
      <c r="Q149" s="916"/>
      <c r="R149" s="916"/>
      <c r="S149" s="916"/>
      <c r="T149" s="916"/>
      <c r="U149" s="916"/>
      <c r="V149" s="916"/>
      <c r="W149" s="916"/>
      <c r="X149" s="916"/>
      <c r="Y149" s="916"/>
      <c r="Z149" s="916"/>
      <c r="AA149" s="916"/>
      <c r="AB149" s="916"/>
      <c r="AC149" s="916"/>
      <c r="AD149" s="916"/>
      <c r="AE149" s="916"/>
      <c r="AF149" s="916"/>
      <c r="AG149" s="916"/>
      <c r="AH149" s="916"/>
      <c r="AI149" s="916"/>
      <c r="AJ149" s="916"/>
      <c r="AK149" s="916"/>
      <c r="AL149" s="916"/>
      <c r="AM149" s="916"/>
      <c r="AN149" s="916"/>
      <c r="AO149" s="916"/>
      <c r="AP149" s="916"/>
      <c r="AQ149" s="916"/>
      <c r="AR149" s="916"/>
      <c r="AS149" s="916"/>
      <c r="AT149" s="916"/>
      <c r="AU149" s="916"/>
      <c r="AV149" s="916"/>
    </row>
    <row r="150" ht="14.25" customHeight="1">
      <c r="A150" s="916"/>
      <c r="B150" s="946"/>
      <c r="C150" s="935"/>
      <c r="D150" s="916" t="s">
        <v>818</v>
      </c>
      <c r="E150" s="916"/>
      <c r="F150" s="916"/>
      <c r="G150" s="916"/>
      <c r="I150" s="950" t="s">
        <v>785</v>
      </c>
      <c r="J150" s="950" t="s">
        <v>788</v>
      </c>
      <c r="K150" s="953"/>
      <c r="L150" s="953"/>
      <c r="M150" s="953"/>
      <c r="N150" s="953"/>
      <c r="O150" s="953"/>
      <c r="P150" s="916"/>
      <c r="Q150" s="916"/>
      <c r="R150" s="916"/>
      <c r="S150" s="916"/>
      <c r="T150" s="916"/>
      <c r="U150" s="916"/>
      <c r="V150" s="916"/>
      <c r="W150" s="916"/>
      <c r="X150" s="916"/>
      <c r="Y150" s="916"/>
      <c r="Z150" s="916"/>
      <c r="AA150" s="916"/>
      <c r="AB150" s="916"/>
      <c r="AC150" s="916"/>
      <c r="AD150" s="916"/>
      <c r="AE150" s="916"/>
      <c r="AF150" s="916"/>
      <c r="AG150" s="916"/>
      <c r="AH150" s="916"/>
      <c r="AI150" s="916"/>
      <c r="AJ150" s="916"/>
      <c r="AK150" s="916"/>
      <c r="AL150" s="916"/>
      <c r="AM150" s="916"/>
      <c r="AN150" s="916"/>
      <c r="AO150" s="916"/>
      <c r="AP150" s="916"/>
      <c r="AQ150" s="916"/>
      <c r="AR150" s="916"/>
      <c r="AS150" s="916"/>
      <c r="AT150" s="916"/>
      <c r="AU150" s="916"/>
      <c r="AV150" s="916"/>
    </row>
    <row r="151" ht="14.25" customHeight="1">
      <c r="A151" s="916"/>
      <c r="B151" s="946"/>
      <c r="C151" s="935"/>
      <c r="D151" s="916"/>
      <c r="E151" s="916"/>
      <c r="F151" s="916"/>
      <c r="G151" s="916"/>
      <c r="I151" s="916"/>
      <c r="J151" s="916"/>
      <c r="K151" s="916"/>
      <c r="L151" s="916"/>
      <c r="M151" s="916"/>
      <c r="N151" s="916"/>
      <c r="O151" s="916"/>
      <c r="P151" s="916"/>
      <c r="Q151" s="916"/>
      <c r="R151" s="916"/>
      <c r="S151" s="916"/>
      <c r="T151" s="916"/>
      <c r="U151" s="916"/>
      <c r="V151" s="916"/>
      <c r="W151" s="916"/>
      <c r="X151" s="916"/>
      <c r="Y151" s="916"/>
      <c r="Z151" s="916"/>
      <c r="AA151" s="916"/>
      <c r="AB151" s="916"/>
      <c r="AC151" s="916"/>
      <c r="AD151" s="916"/>
      <c r="AE151" s="916"/>
      <c r="AF151" s="916"/>
      <c r="AG151" s="916"/>
      <c r="AH151" s="916"/>
      <c r="AI151" s="916"/>
      <c r="AJ151" s="916"/>
      <c r="AK151" s="916"/>
      <c r="AL151" s="916"/>
      <c r="AM151" s="916"/>
      <c r="AN151" s="916"/>
      <c r="AO151" s="916"/>
      <c r="AP151" s="916"/>
      <c r="AQ151" s="916"/>
      <c r="AR151" s="916"/>
      <c r="AS151" s="916"/>
      <c r="AT151" s="916"/>
      <c r="AU151" s="916"/>
      <c r="AV151" s="916"/>
    </row>
    <row r="152" ht="14.25" customHeight="1">
      <c r="A152" s="916"/>
      <c r="B152" s="946"/>
      <c r="C152" s="935"/>
      <c r="D152" s="916" t="s">
        <v>809</v>
      </c>
      <c r="E152" s="916"/>
      <c r="F152" s="916"/>
      <c r="G152" s="916"/>
      <c r="I152" s="950" t="s">
        <v>785</v>
      </c>
      <c r="J152" s="950" t="s">
        <v>788</v>
      </c>
      <c r="K152" s="953"/>
      <c r="L152" s="953"/>
      <c r="M152" s="953"/>
      <c r="N152" s="953"/>
      <c r="O152" s="953"/>
      <c r="P152" s="916"/>
      <c r="Q152" s="916"/>
      <c r="R152" s="916"/>
      <c r="S152" s="916"/>
      <c r="T152" s="916"/>
      <c r="U152" s="916"/>
      <c r="V152" s="916"/>
      <c r="W152" s="916"/>
      <c r="X152" s="916"/>
      <c r="Y152" s="916"/>
      <c r="Z152" s="916"/>
      <c r="AA152" s="916"/>
      <c r="AB152" s="916"/>
      <c r="AC152" s="916"/>
      <c r="AD152" s="916"/>
      <c r="AE152" s="916"/>
      <c r="AF152" s="916"/>
      <c r="AG152" s="916"/>
      <c r="AH152" s="916"/>
      <c r="AI152" s="916"/>
      <c r="AJ152" s="916"/>
      <c r="AK152" s="916"/>
      <c r="AL152" s="916"/>
      <c r="AM152" s="916"/>
      <c r="AN152" s="916"/>
      <c r="AO152" s="916"/>
      <c r="AP152" s="916"/>
      <c r="AQ152" s="916"/>
      <c r="AR152" s="916"/>
      <c r="AS152" s="916"/>
      <c r="AT152" s="916"/>
      <c r="AU152" s="916"/>
      <c r="AV152" s="916"/>
    </row>
    <row r="153" ht="14.25" customHeight="1">
      <c r="A153" s="916"/>
      <c r="B153" s="946"/>
      <c r="C153" s="935"/>
      <c r="D153" s="916" t="s">
        <v>810</v>
      </c>
      <c r="E153" s="916"/>
      <c r="F153" s="916"/>
      <c r="G153" s="916"/>
      <c r="I153" s="950" t="s">
        <v>785</v>
      </c>
      <c r="J153" s="950" t="s">
        <v>788</v>
      </c>
      <c r="K153" s="953"/>
      <c r="L153" s="953"/>
      <c r="M153" s="953"/>
      <c r="N153" s="953"/>
      <c r="O153" s="953"/>
      <c r="P153" s="916"/>
      <c r="Q153" s="916"/>
      <c r="R153" s="916"/>
      <c r="S153" s="916"/>
      <c r="T153" s="916"/>
      <c r="U153" s="916"/>
      <c r="V153" s="916"/>
      <c r="W153" s="916"/>
      <c r="X153" s="916"/>
      <c r="Y153" s="916"/>
      <c r="Z153" s="916"/>
      <c r="AA153" s="916"/>
      <c r="AB153" s="916"/>
      <c r="AC153" s="916"/>
      <c r="AD153" s="916"/>
      <c r="AE153" s="916"/>
      <c r="AF153" s="916"/>
      <c r="AG153" s="916"/>
      <c r="AH153" s="916"/>
      <c r="AI153" s="916"/>
      <c r="AJ153" s="916"/>
      <c r="AK153" s="916"/>
      <c r="AL153" s="916"/>
      <c r="AM153" s="916"/>
      <c r="AN153" s="916"/>
      <c r="AO153" s="916"/>
      <c r="AP153" s="916"/>
      <c r="AQ153" s="916"/>
      <c r="AR153" s="916"/>
      <c r="AS153" s="916"/>
      <c r="AT153" s="916"/>
      <c r="AU153" s="916"/>
      <c r="AV153" s="916"/>
    </row>
    <row r="154" ht="14.25" customHeight="1">
      <c r="A154" s="916"/>
      <c r="B154" s="946"/>
      <c r="C154" s="935"/>
      <c r="D154" s="916"/>
      <c r="E154" s="916"/>
      <c r="F154" s="916"/>
      <c r="G154" s="916"/>
      <c r="I154" s="916"/>
      <c r="J154" s="916"/>
      <c r="K154" s="916"/>
      <c r="L154" s="916"/>
      <c r="M154" s="916"/>
      <c r="N154" s="916"/>
      <c r="O154" s="916"/>
      <c r="P154" s="916"/>
      <c r="Q154" s="916"/>
      <c r="R154" s="916"/>
      <c r="S154" s="916"/>
      <c r="T154" s="916"/>
      <c r="U154" s="916"/>
      <c r="V154" s="916"/>
      <c r="W154" s="916"/>
      <c r="X154" s="916"/>
      <c r="Y154" s="916"/>
      <c r="Z154" s="916"/>
      <c r="AA154" s="916"/>
      <c r="AB154" s="916"/>
      <c r="AC154" s="916"/>
      <c r="AD154" s="916"/>
      <c r="AE154" s="916"/>
      <c r="AF154" s="916"/>
      <c r="AG154" s="916"/>
      <c r="AH154" s="916"/>
      <c r="AI154" s="916"/>
      <c r="AJ154" s="916"/>
      <c r="AK154" s="916"/>
      <c r="AL154" s="916"/>
      <c r="AM154" s="916"/>
      <c r="AN154" s="916"/>
      <c r="AO154" s="916"/>
      <c r="AP154" s="916"/>
      <c r="AQ154" s="916"/>
      <c r="AR154" s="916"/>
      <c r="AS154" s="916"/>
      <c r="AT154" s="916"/>
      <c r="AU154" s="916"/>
      <c r="AV154" s="916"/>
    </row>
    <row r="155" ht="14.25" customHeight="1">
      <c r="A155" s="916"/>
      <c r="B155" s="946"/>
      <c r="C155" s="935"/>
      <c r="D155" s="916" t="s">
        <v>811</v>
      </c>
      <c r="E155" s="916"/>
      <c r="F155" s="916"/>
      <c r="G155" s="916"/>
      <c r="I155" s="950" t="s">
        <v>785</v>
      </c>
      <c r="J155" s="950" t="s">
        <v>788</v>
      </c>
      <c r="K155" s="953"/>
      <c r="L155" s="953"/>
      <c r="M155" s="953"/>
      <c r="N155" s="953"/>
      <c r="O155" s="953"/>
      <c r="P155" s="916"/>
      <c r="Q155" s="916"/>
      <c r="R155" s="916"/>
      <c r="S155" s="916"/>
      <c r="T155" s="916"/>
      <c r="U155" s="916"/>
      <c r="V155" s="916"/>
      <c r="W155" s="916"/>
      <c r="X155" s="916"/>
      <c r="Y155" s="916"/>
      <c r="Z155" s="916"/>
      <c r="AA155" s="916"/>
      <c r="AB155" s="916"/>
      <c r="AC155" s="916"/>
      <c r="AD155" s="916"/>
      <c r="AE155" s="916"/>
      <c r="AF155" s="916"/>
      <c r="AG155" s="916"/>
      <c r="AH155" s="916"/>
      <c r="AI155" s="916"/>
      <c r="AJ155" s="916"/>
      <c r="AK155" s="916"/>
      <c r="AL155" s="916"/>
      <c r="AM155" s="916"/>
      <c r="AN155" s="916"/>
      <c r="AO155" s="916"/>
      <c r="AP155" s="916"/>
      <c r="AQ155" s="916"/>
      <c r="AR155" s="916"/>
      <c r="AS155" s="916"/>
      <c r="AT155" s="916"/>
      <c r="AU155" s="916"/>
      <c r="AV155" s="916"/>
    </row>
    <row r="156" ht="14.25" customHeight="1">
      <c r="A156" s="916"/>
      <c r="B156" s="946"/>
      <c r="C156" s="935"/>
      <c r="D156" s="916" t="s">
        <v>812</v>
      </c>
      <c r="E156" s="916"/>
      <c r="F156" s="916"/>
      <c r="G156" s="916"/>
      <c r="I156" s="950" t="s">
        <v>785</v>
      </c>
      <c r="J156" s="950" t="s">
        <v>788</v>
      </c>
      <c r="K156" s="953"/>
      <c r="L156" s="953"/>
      <c r="M156" s="953"/>
      <c r="N156" s="953"/>
      <c r="O156" s="953"/>
      <c r="P156" s="916"/>
      <c r="Q156" s="916"/>
      <c r="R156" s="916"/>
      <c r="S156" s="916"/>
      <c r="T156" s="916"/>
      <c r="U156" s="916"/>
      <c r="V156" s="916"/>
      <c r="W156" s="916"/>
      <c r="X156" s="916"/>
      <c r="Y156" s="916"/>
      <c r="Z156" s="916"/>
      <c r="AA156" s="916"/>
      <c r="AB156" s="916"/>
      <c r="AC156" s="916"/>
      <c r="AD156" s="916"/>
      <c r="AE156" s="916"/>
      <c r="AF156" s="916"/>
      <c r="AG156" s="916"/>
      <c r="AH156" s="916"/>
      <c r="AI156" s="916"/>
      <c r="AJ156" s="916"/>
      <c r="AK156" s="916"/>
      <c r="AL156" s="916"/>
      <c r="AM156" s="916"/>
      <c r="AN156" s="916"/>
      <c r="AO156" s="916"/>
      <c r="AP156" s="916"/>
      <c r="AQ156" s="916"/>
      <c r="AR156" s="916"/>
      <c r="AS156" s="916"/>
      <c r="AT156" s="916"/>
      <c r="AU156" s="916"/>
      <c r="AV156" s="916"/>
    </row>
    <row r="157" ht="14.25" customHeight="1">
      <c r="A157" s="916"/>
      <c r="B157" s="946"/>
      <c r="C157" s="935"/>
      <c r="D157" s="916"/>
      <c r="E157" s="916"/>
      <c r="F157" s="916"/>
      <c r="G157" s="916"/>
      <c r="I157" s="916"/>
      <c r="J157" s="916"/>
      <c r="K157" s="916"/>
      <c r="L157" s="916"/>
      <c r="M157" s="916"/>
      <c r="N157" s="916"/>
      <c r="O157" s="916"/>
      <c r="P157" s="916"/>
      <c r="Q157" s="916"/>
      <c r="R157" s="916"/>
      <c r="S157" s="916"/>
      <c r="T157" s="916"/>
      <c r="U157" s="916"/>
      <c r="V157" s="916"/>
      <c r="W157" s="916"/>
      <c r="X157" s="916"/>
      <c r="Y157" s="916"/>
      <c r="Z157" s="916"/>
      <c r="AA157" s="916"/>
      <c r="AB157" s="916"/>
      <c r="AC157" s="916"/>
      <c r="AD157" s="916"/>
      <c r="AE157" s="916"/>
      <c r="AF157" s="916"/>
      <c r="AG157" s="916"/>
      <c r="AH157" s="916"/>
      <c r="AI157" s="916"/>
      <c r="AJ157" s="916"/>
      <c r="AK157" s="916"/>
      <c r="AL157" s="916"/>
      <c r="AM157" s="916"/>
      <c r="AN157" s="916"/>
      <c r="AO157" s="916"/>
      <c r="AP157" s="916"/>
      <c r="AQ157" s="916"/>
      <c r="AR157" s="916"/>
      <c r="AS157" s="916"/>
      <c r="AT157" s="916"/>
      <c r="AU157" s="916"/>
      <c r="AV157" s="916"/>
    </row>
    <row r="158" ht="14.25" customHeight="1">
      <c r="A158" s="916"/>
      <c r="B158" s="946"/>
      <c r="C158" s="935"/>
      <c r="D158" s="916" t="s">
        <v>807</v>
      </c>
      <c r="E158" s="916"/>
      <c r="F158" s="916"/>
      <c r="G158" s="916"/>
      <c r="I158" s="950" t="s">
        <v>785</v>
      </c>
      <c r="J158" s="950" t="s">
        <v>788</v>
      </c>
      <c r="K158" s="953"/>
      <c r="L158" s="953"/>
      <c r="M158" s="953"/>
      <c r="N158" s="953"/>
      <c r="O158" s="953"/>
      <c r="P158" s="916"/>
      <c r="Q158" s="916"/>
      <c r="R158" s="916"/>
      <c r="S158" s="916"/>
      <c r="T158" s="916"/>
      <c r="U158" s="916"/>
      <c r="V158" s="916"/>
      <c r="W158" s="916"/>
      <c r="X158" s="916"/>
      <c r="Y158" s="916"/>
      <c r="Z158" s="916"/>
      <c r="AA158" s="916"/>
      <c r="AB158" s="916"/>
      <c r="AC158" s="916"/>
      <c r="AD158" s="916"/>
      <c r="AE158" s="916"/>
      <c r="AF158" s="916"/>
      <c r="AG158" s="916"/>
      <c r="AH158" s="916"/>
      <c r="AI158" s="916"/>
      <c r="AJ158" s="916"/>
      <c r="AK158" s="916"/>
      <c r="AL158" s="916"/>
      <c r="AM158" s="916"/>
      <c r="AN158" s="916"/>
      <c r="AO158" s="916"/>
      <c r="AP158" s="916"/>
      <c r="AQ158" s="916"/>
      <c r="AR158" s="916"/>
      <c r="AS158" s="916"/>
      <c r="AT158" s="916"/>
      <c r="AU158" s="916"/>
      <c r="AV158" s="916"/>
    </row>
    <row r="159" ht="14.25" customHeight="1">
      <c r="A159" s="916"/>
      <c r="B159" s="946"/>
      <c r="C159" s="935"/>
      <c r="D159" s="916" t="s">
        <v>808</v>
      </c>
      <c r="E159" s="916"/>
      <c r="F159" s="916"/>
      <c r="G159" s="916"/>
      <c r="I159" s="950" t="s">
        <v>785</v>
      </c>
      <c r="J159" s="950" t="s">
        <v>788</v>
      </c>
      <c r="K159" s="953"/>
      <c r="L159" s="953"/>
      <c r="M159" s="953"/>
      <c r="N159" s="953"/>
      <c r="O159" s="953"/>
      <c r="P159" s="916"/>
      <c r="Q159" s="916"/>
      <c r="R159" s="916"/>
      <c r="S159" s="916"/>
      <c r="T159" s="916"/>
      <c r="U159" s="916"/>
      <c r="V159" s="916"/>
      <c r="W159" s="916"/>
      <c r="X159" s="916"/>
      <c r="Y159" s="916"/>
      <c r="Z159" s="916"/>
      <c r="AA159" s="916"/>
      <c r="AB159" s="916"/>
      <c r="AC159" s="916"/>
      <c r="AD159" s="916"/>
      <c r="AE159" s="916"/>
      <c r="AF159" s="916"/>
      <c r="AG159" s="916"/>
      <c r="AH159" s="916"/>
      <c r="AI159" s="916"/>
      <c r="AJ159" s="916"/>
      <c r="AK159" s="916"/>
      <c r="AL159" s="916"/>
      <c r="AM159" s="916"/>
      <c r="AN159" s="916"/>
      <c r="AO159" s="916"/>
      <c r="AP159" s="916"/>
      <c r="AQ159" s="916"/>
      <c r="AR159" s="916"/>
      <c r="AS159" s="916"/>
      <c r="AT159" s="916"/>
      <c r="AU159" s="916"/>
      <c r="AV159" s="916"/>
    </row>
    <row r="160" ht="14.25" customHeight="1">
      <c r="A160" s="916"/>
      <c r="B160" s="946"/>
      <c r="C160" s="935"/>
      <c r="D160" s="916"/>
      <c r="E160" s="916"/>
      <c r="F160" s="916"/>
      <c r="G160" s="916"/>
      <c r="I160" s="916"/>
      <c r="J160" s="916"/>
      <c r="K160" s="916"/>
      <c r="L160" s="916"/>
      <c r="M160" s="955"/>
      <c r="N160" s="955"/>
      <c r="O160" s="916"/>
      <c r="P160" s="916"/>
      <c r="Q160" s="916"/>
      <c r="R160" s="916"/>
      <c r="S160" s="916"/>
      <c r="T160" s="916"/>
      <c r="U160" s="916"/>
      <c r="V160" s="916"/>
      <c r="W160" s="916"/>
      <c r="X160" s="916"/>
      <c r="Y160" s="916"/>
      <c r="Z160" s="916"/>
      <c r="AA160" s="916"/>
      <c r="AB160" s="916"/>
      <c r="AC160" s="916"/>
      <c r="AD160" s="916"/>
      <c r="AE160" s="916"/>
      <c r="AF160" s="916"/>
      <c r="AG160" s="916"/>
      <c r="AH160" s="916"/>
      <c r="AI160" s="916"/>
      <c r="AJ160" s="916"/>
      <c r="AK160" s="916"/>
      <c r="AL160" s="916"/>
      <c r="AM160" s="916"/>
      <c r="AN160" s="916"/>
      <c r="AO160" s="916"/>
      <c r="AP160" s="916"/>
      <c r="AQ160" s="916"/>
      <c r="AR160" s="916"/>
      <c r="AS160" s="916"/>
      <c r="AT160" s="916"/>
      <c r="AU160" s="916"/>
      <c r="AV160" s="916"/>
    </row>
    <row r="161" ht="14.25" customHeight="1">
      <c r="A161" s="916"/>
      <c r="B161" s="946"/>
      <c r="C161" s="935"/>
      <c r="D161" s="916" t="s">
        <v>815</v>
      </c>
      <c r="E161" s="916"/>
      <c r="F161" s="916"/>
      <c r="G161" s="916"/>
      <c r="I161" s="950" t="s">
        <v>785</v>
      </c>
      <c r="J161" s="950" t="s">
        <v>788</v>
      </c>
      <c r="K161" s="953"/>
      <c r="L161" s="953"/>
      <c r="M161" s="953"/>
      <c r="N161" s="953"/>
      <c r="O161" s="953"/>
      <c r="P161" s="916"/>
      <c r="Q161" s="916"/>
      <c r="R161" s="916"/>
      <c r="S161" s="916"/>
      <c r="T161" s="916"/>
      <c r="U161" s="916"/>
      <c r="V161" s="916"/>
      <c r="W161" s="916"/>
      <c r="X161" s="916"/>
      <c r="Y161" s="916"/>
      <c r="Z161" s="916"/>
      <c r="AA161" s="916"/>
      <c r="AB161" s="916"/>
      <c r="AC161" s="916"/>
      <c r="AD161" s="916"/>
      <c r="AE161" s="916"/>
      <c r="AF161" s="916"/>
      <c r="AG161" s="916"/>
      <c r="AH161" s="916"/>
      <c r="AI161" s="916"/>
      <c r="AJ161" s="916"/>
      <c r="AK161" s="916"/>
      <c r="AL161" s="916"/>
      <c r="AM161" s="916"/>
      <c r="AN161" s="916"/>
      <c r="AO161" s="916"/>
      <c r="AP161" s="916"/>
      <c r="AQ161" s="916"/>
      <c r="AR161" s="916"/>
      <c r="AS161" s="916"/>
      <c r="AT161" s="916"/>
      <c r="AU161" s="916"/>
      <c r="AV161" s="916"/>
    </row>
    <row r="162" ht="14.25" customHeight="1">
      <c r="A162" s="916"/>
      <c r="B162" s="946"/>
      <c r="C162" s="935"/>
      <c r="D162" s="916" t="s">
        <v>816</v>
      </c>
      <c r="E162" s="916"/>
      <c r="F162" s="916"/>
      <c r="G162" s="916"/>
      <c r="I162" s="950" t="s">
        <v>785</v>
      </c>
      <c r="J162" s="950" t="s">
        <v>788</v>
      </c>
      <c r="K162" s="953"/>
      <c r="L162" s="953"/>
      <c r="M162" s="953"/>
      <c r="N162" s="953"/>
      <c r="O162" s="953"/>
      <c r="P162" s="916"/>
      <c r="Q162" s="916"/>
      <c r="R162" s="916"/>
      <c r="S162" s="916"/>
      <c r="T162" s="916"/>
      <c r="U162" s="916"/>
      <c r="V162" s="916"/>
      <c r="W162" s="916"/>
      <c r="X162" s="916"/>
      <c r="Y162" s="916"/>
      <c r="Z162" s="916"/>
      <c r="AA162" s="916"/>
      <c r="AB162" s="916"/>
      <c r="AC162" s="916"/>
      <c r="AD162" s="916"/>
      <c r="AE162" s="916"/>
      <c r="AF162" s="916"/>
      <c r="AG162" s="916"/>
      <c r="AH162" s="916"/>
      <c r="AI162" s="916"/>
      <c r="AJ162" s="916"/>
      <c r="AK162" s="916"/>
      <c r="AL162" s="916"/>
      <c r="AM162" s="916"/>
      <c r="AN162" s="916"/>
      <c r="AO162" s="916"/>
      <c r="AP162" s="916"/>
      <c r="AQ162" s="916"/>
      <c r="AR162" s="916"/>
      <c r="AS162" s="916"/>
      <c r="AT162" s="916"/>
      <c r="AU162" s="916"/>
      <c r="AV162" s="916"/>
    </row>
    <row r="163" ht="14.25" customHeight="1">
      <c r="A163" s="916"/>
      <c r="B163" s="946"/>
      <c r="C163" s="935"/>
      <c r="D163" s="916"/>
      <c r="E163" s="916"/>
      <c r="F163" s="916"/>
      <c r="G163" s="916"/>
      <c r="I163" s="916"/>
      <c r="J163" s="916"/>
      <c r="K163" s="916"/>
      <c r="L163" s="916"/>
      <c r="M163" s="955"/>
      <c r="N163" s="955"/>
      <c r="O163" s="916"/>
      <c r="P163" s="916"/>
      <c r="Q163" s="916"/>
      <c r="R163" s="916"/>
      <c r="S163" s="916"/>
      <c r="T163" s="916"/>
      <c r="U163" s="916"/>
      <c r="V163" s="916"/>
      <c r="W163" s="916"/>
      <c r="X163" s="916"/>
      <c r="Y163" s="916"/>
      <c r="Z163" s="916"/>
      <c r="AA163" s="916"/>
      <c r="AB163" s="916"/>
      <c r="AC163" s="916"/>
      <c r="AD163" s="916"/>
      <c r="AE163" s="916"/>
      <c r="AF163" s="916"/>
      <c r="AG163" s="916"/>
      <c r="AH163" s="916"/>
      <c r="AI163" s="916"/>
      <c r="AJ163" s="916"/>
      <c r="AK163" s="916"/>
      <c r="AL163" s="916"/>
      <c r="AM163" s="916"/>
      <c r="AN163" s="916"/>
      <c r="AO163" s="916"/>
      <c r="AP163" s="916"/>
      <c r="AQ163" s="916"/>
      <c r="AR163" s="916"/>
      <c r="AS163" s="916"/>
      <c r="AT163" s="916"/>
      <c r="AU163" s="916"/>
      <c r="AV163" s="916"/>
    </row>
    <row r="164" ht="14.25" customHeight="1">
      <c r="A164" s="916"/>
      <c r="B164" s="946"/>
      <c r="C164" s="935"/>
      <c r="D164" s="916" t="s">
        <v>837</v>
      </c>
      <c r="E164" s="916"/>
      <c r="F164" s="916"/>
      <c r="G164" s="916"/>
      <c r="I164" s="950" t="s">
        <v>785</v>
      </c>
      <c r="J164" s="950" t="s">
        <v>788</v>
      </c>
      <c r="K164" s="953"/>
      <c r="L164" s="953"/>
      <c r="M164" s="953"/>
      <c r="N164" s="953"/>
      <c r="O164" s="953"/>
      <c r="P164" s="916"/>
      <c r="Q164" s="916"/>
      <c r="R164" s="916"/>
      <c r="S164" s="916"/>
      <c r="T164" s="916"/>
      <c r="U164" s="916"/>
      <c r="V164" s="916"/>
      <c r="W164" s="916"/>
      <c r="X164" s="916"/>
      <c r="Y164" s="916"/>
      <c r="Z164" s="916"/>
      <c r="AA164" s="916"/>
      <c r="AB164" s="916"/>
      <c r="AC164" s="916"/>
      <c r="AD164" s="916"/>
      <c r="AE164" s="916"/>
      <c r="AF164" s="916"/>
      <c r="AG164" s="916"/>
      <c r="AH164" s="916"/>
      <c r="AI164" s="916"/>
      <c r="AJ164" s="916"/>
      <c r="AK164" s="916"/>
      <c r="AL164" s="916"/>
      <c r="AM164" s="916"/>
      <c r="AN164" s="916"/>
      <c r="AO164" s="916"/>
      <c r="AP164" s="916"/>
      <c r="AQ164" s="916"/>
      <c r="AR164" s="916"/>
      <c r="AS164" s="916"/>
      <c r="AT164" s="916"/>
      <c r="AU164" s="916"/>
      <c r="AV164" s="916"/>
    </row>
    <row r="165" ht="14.25" customHeight="1">
      <c r="A165" s="916"/>
      <c r="B165" s="946"/>
      <c r="C165" s="935"/>
      <c r="D165" s="916" t="s">
        <v>838</v>
      </c>
      <c r="E165" s="916"/>
      <c r="F165" s="916"/>
      <c r="G165" s="916"/>
      <c r="I165" s="950" t="s">
        <v>785</v>
      </c>
      <c r="J165" s="950" t="s">
        <v>788</v>
      </c>
      <c r="K165" s="953"/>
      <c r="L165" s="953"/>
      <c r="M165" s="953"/>
      <c r="N165" s="953"/>
      <c r="O165" s="953"/>
      <c r="P165" s="916"/>
      <c r="Q165" s="916"/>
      <c r="R165" s="916"/>
      <c r="S165" s="916"/>
      <c r="T165" s="916"/>
      <c r="U165" s="916"/>
      <c r="V165" s="916"/>
      <c r="W165" s="916"/>
      <c r="X165" s="916"/>
      <c r="Y165" s="916"/>
      <c r="Z165" s="916"/>
      <c r="AA165" s="916"/>
      <c r="AB165" s="916"/>
      <c r="AC165" s="916"/>
      <c r="AD165" s="916"/>
      <c r="AE165" s="916"/>
      <c r="AF165" s="916"/>
      <c r="AG165" s="916"/>
      <c r="AH165" s="916"/>
      <c r="AI165" s="916"/>
      <c r="AJ165" s="916"/>
      <c r="AK165" s="916"/>
      <c r="AL165" s="916"/>
      <c r="AM165" s="916"/>
      <c r="AN165" s="916"/>
      <c r="AO165" s="916"/>
      <c r="AP165" s="916"/>
      <c r="AQ165" s="916"/>
      <c r="AR165" s="916"/>
      <c r="AS165" s="916"/>
      <c r="AT165" s="916"/>
      <c r="AU165" s="916"/>
      <c r="AV165" s="916"/>
    </row>
    <row r="166" ht="14.25" customHeight="1">
      <c r="A166" s="916"/>
      <c r="B166" s="942"/>
      <c r="C166" s="943"/>
      <c r="D166" s="944"/>
      <c r="E166" s="945"/>
      <c r="F166" s="945"/>
      <c r="G166" s="945"/>
      <c r="H166" s="945"/>
      <c r="I166" s="945"/>
      <c r="J166" s="945"/>
      <c r="K166" s="945"/>
      <c r="L166" s="945"/>
      <c r="M166" s="945"/>
      <c r="N166" s="945"/>
      <c r="O166" s="945"/>
      <c r="P166" s="916"/>
      <c r="Q166" s="916"/>
      <c r="R166" s="916"/>
      <c r="S166" s="916"/>
      <c r="T166" s="916"/>
      <c r="U166" s="916"/>
      <c r="V166" s="916"/>
      <c r="W166" s="916"/>
      <c r="X166" s="916"/>
      <c r="Y166" s="916"/>
      <c r="Z166" s="916"/>
      <c r="AA166" s="916"/>
      <c r="AB166" s="916"/>
      <c r="AC166" s="916"/>
      <c r="AD166" s="916"/>
      <c r="AE166" s="916"/>
      <c r="AF166" s="916"/>
      <c r="AG166" s="916"/>
      <c r="AH166" s="916"/>
      <c r="AI166" s="916"/>
      <c r="AJ166" s="916"/>
      <c r="AK166" s="916"/>
      <c r="AL166" s="916"/>
      <c r="AM166" s="916"/>
      <c r="AN166" s="916"/>
      <c r="AO166" s="916"/>
      <c r="AP166" s="916"/>
      <c r="AQ166" s="916"/>
      <c r="AR166" s="916"/>
      <c r="AS166" s="916"/>
      <c r="AT166" s="916"/>
      <c r="AU166" s="916"/>
      <c r="AV166" s="916"/>
    </row>
    <row r="167" ht="14.25" customHeight="1">
      <c r="A167" s="916"/>
      <c r="B167" s="946"/>
      <c r="C167" s="941"/>
      <c r="D167" s="947"/>
      <c r="E167" s="916"/>
      <c r="F167" s="916"/>
      <c r="G167" s="916"/>
      <c r="H167" s="916"/>
      <c r="I167" s="916"/>
      <c r="J167" s="916"/>
      <c r="K167" s="916"/>
      <c r="L167" s="916"/>
      <c r="M167" s="916"/>
      <c r="N167" s="916"/>
      <c r="O167" s="916"/>
      <c r="P167" s="916"/>
      <c r="Q167" s="916"/>
      <c r="R167" s="916"/>
      <c r="S167" s="916"/>
      <c r="T167" s="916"/>
      <c r="U167" s="916"/>
      <c r="V167" s="916"/>
      <c r="W167" s="916"/>
      <c r="X167" s="916"/>
      <c r="Y167" s="916"/>
      <c r="Z167" s="916"/>
      <c r="AA167" s="916"/>
      <c r="AB167" s="916"/>
      <c r="AC167" s="916"/>
      <c r="AD167" s="916"/>
      <c r="AE167" s="916"/>
      <c r="AF167" s="916"/>
      <c r="AG167" s="916"/>
      <c r="AH167" s="916"/>
      <c r="AI167" s="916"/>
      <c r="AJ167" s="916"/>
      <c r="AK167" s="916"/>
      <c r="AL167" s="916"/>
      <c r="AM167" s="916"/>
      <c r="AN167" s="916"/>
      <c r="AO167" s="916"/>
      <c r="AP167" s="916"/>
      <c r="AQ167" s="916"/>
      <c r="AR167" s="916"/>
      <c r="AS167" s="916"/>
      <c r="AT167" s="916"/>
      <c r="AU167" s="916"/>
      <c r="AV167" s="916"/>
    </row>
    <row r="168" ht="14.25" customHeight="1">
      <c r="A168" s="916"/>
      <c r="B168" s="956" t="s">
        <v>839</v>
      </c>
      <c r="C168" s="931" t="s">
        <v>97</v>
      </c>
      <c r="D168" s="957" t="s">
        <v>840</v>
      </c>
      <c r="E168" s="957"/>
      <c r="F168" s="957"/>
      <c r="G168" s="957"/>
      <c r="H168" s="957"/>
      <c r="I168" s="935" t="s">
        <v>80</v>
      </c>
      <c r="P168" s="916"/>
      <c r="Q168" s="916"/>
      <c r="R168" s="916"/>
      <c r="S168" s="916"/>
      <c r="T168" s="916"/>
      <c r="U168" s="916"/>
      <c r="V168" s="916"/>
      <c r="W168" s="916"/>
      <c r="X168" s="916"/>
      <c r="Y168" s="916"/>
      <c r="Z168" s="916"/>
      <c r="AA168" s="916"/>
      <c r="AB168" s="916"/>
      <c r="AC168" s="916"/>
      <c r="AD168" s="916"/>
      <c r="AE168" s="916"/>
      <c r="AF168" s="916"/>
      <c r="AG168" s="916"/>
      <c r="AH168" s="916"/>
      <c r="AI168" s="916"/>
      <c r="AJ168" s="916"/>
      <c r="AK168" s="916"/>
      <c r="AL168" s="916"/>
      <c r="AM168" s="916"/>
      <c r="AN168" s="916"/>
      <c r="AO168" s="916"/>
      <c r="AP168" s="916"/>
      <c r="AQ168" s="916"/>
      <c r="AR168" s="916"/>
      <c r="AS168" s="916"/>
      <c r="AT168" s="916"/>
      <c r="AU168" s="916"/>
      <c r="AV168" s="916"/>
    </row>
    <row r="169" ht="14.25" customHeight="1">
      <c r="A169" s="916"/>
      <c r="C169" s="931"/>
      <c r="D169" s="957"/>
      <c r="E169" s="957"/>
      <c r="F169" s="957"/>
      <c r="G169" s="957"/>
      <c r="H169" s="957"/>
      <c r="I169" s="949" t="s">
        <v>82</v>
      </c>
      <c r="J169" s="935" t="s">
        <v>90</v>
      </c>
      <c r="K169" s="949" t="s">
        <v>89</v>
      </c>
      <c r="L169" s="935" t="s">
        <v>91</v>
      </c>
      <c r="M169" s="935" t="s">
        <v>777</v>
      </c>
      <c r="N169" s="935" t="s">
        <v>84</v>
      </c>
      <c r="O169" s="935" t="s">
        <v>778</v>
      </c>
      <c r="P169" s="916"/>
      <c r="Q169" s="916"/>
      <c r="R169" s="916"/>
      <c r="S169" s="916"/>
      <c r="T169" s="916"/>
      <c r="U169" s="916"/>
      <c r="V169" s="916"/>
      <c r="W169" s="916"/>
      <c r="X169" s="916"/>
      <c r="Y169" s="916"/>
      <c r="Z169" s="916"/>
      <c r="AA169" s="916"/>
      <c r="AB169" s="916"/>
      <c r="AC169" s="916"/>
      <c r="AD169" s="916"/>
      <c r="AE169" s="916"/>
      <c r="AF169" s="916"/>
      <c r="AG169" s="916"/>
      <c r="AH169" s="916"/>
      <c r="AI169" s="916"/>
      <c r="AJ169" s="916"/>
      <c r="AK169" s="916"/>
      <c r="AL169" s="916"/>
      <c r="AM169" s="916"/>
      <c r="AN169" s="916"/>
      <c r="AO169" s="916"/>
      <c r="AP169" s="916"/>
      <c r="AQ169" s="916"/>
      <c r="AR169" s="916"/>
      <c r="AS169" s="916"/>
      <c r="AT169" s="916"/>
      <c r="AU169" s="916"/>
      <c r="AV169" s="916"/>
      <c r="AW169" s="916"/>
      <c r="AX169" s="916"/>
      <c r="AY169" s="916"/>
      <c r="AZ169" s="916"/>
      <c r="BA169" s="916"/>
      <c r="BB169" s="916"/>
      <c r="BC169" s="916"/>
      <c r="BD169" s="916"/>
      <c r="BE169" s="916"/>
      <c r="BF169" s="916"/>
    </row>
    <row r="170" ht="14.25" customHeight="1">
      <c r="A170" s="916"/>
      <c r="B170" s="917" t="s">
        <v>841</v>
      </c>
      <c r="C170" s="958"/>
      <c r="D170" s="916"/>
      <c r="E170" s="916"/>
      <c r="F170" s="916"/>
      <c r="G170" s="916"/>
      <c r="H170" s="926"/>
      <c r="I170" s="959" t="s">
        <v>842</v>
      </c>
      <c r="J170" s="26"/>
      <c r="K170" s="26"/>
      <c r="L170" s="26"/>
      <c r="M170" s="26"/>
      <c r="N170" s="26"/>
      <c r="O170" s="27"/>
      <c r="P170" s="916"/>
      <c r="Q170" s="916"/>
      <c r="R170" s="916"/>
      <c r="S170" s="916"/>
      <c r="T170" s="916"/>
      <c r="U170" s="916"/>
      <c r="V170" s="916"/>
      <c r="W170" s="916"/>
      <c r="X170" s="916"/>
      <c r="Y170" s="916"/>
      <c r="Z170" s="916"/>
      <c r="AA170" s="916"/>
      <c r="AB170" s="916"/>
      <c r="AC170" s="916"/>
      <c r="AD170" s="916"/>
      <c r="AE170" s="916"/>
      <c r="AF170" s="916"/>
      <c r="AG170" s="916"/>
      <c r="AH170" s="916"/>
      <c r="AI170" s="916"/>
      <c r="AJ170" s="916"/>
      <c r="AK170" s="916"/>
      <c r="AL170" s="916"/>
      <c r="AM170" s="916"/>
      <c r="AN170" s="916"/>
      <c r="AO170" s="916"/>
      <c r="AP170" s="916"/>
      <c r="AQ170" s="916"/>
      <c r="AR170" s="916"/>
      <c r="AS170" s="916"/>
      <c r="AT170" s="916"/>
      <c r="AU170" s="916"/>
      <c r="AV170" s="916"/>
    </row>
    <row r="171" ht="14.25" customHeight="1">
      <c r="A171" s="916"/>
      <c r="B171" s="917"/>
      <c r="C171" s="958"/>
      <c r="D171" s="960"/>
      <c r="E171" s="916"/>
      <c r="F171" s="916"/>
      <c r="G171" s="916"/>
      <c r="H171" s="916"/>
      <c r="I171" s="916"/>
      <c r="J171" s="916"/>
      <c r="K171" s="916"/>
      <c r="L171" s="916"/>
      <c r="M171" s="916"/>
      <c r="N171" s="916"/>
      <c r="O171" s="916"/>
      <c r="P171" s="916"/>
      <c r="Q171" s="916"/>
      <c r="R171" s="916"/>
      <c r="S171" s="916"/>
      <c r="T171" s="916"/>
      <c r="U171" s="916"/>
      <c r="V171" s="916"/>
      <c r="W171" s="916"/>
      <c r="X171" s="916"/>
      <c r="Y171" s="916"/>
      <c r="Z171" s="916"/>
      <c r="AA171" s="916"/>
      <c r="AB171" s="916"/>
      <c r="AC171" s="916"/>
      <c r="AD171" s="916"/>
      <c r="AE171" s="916"/>
      <c r="AF171" s="916"/>
      <c r="AG171" s="916"/>
      <c r="AH171" s="916"/>
      <c r="AI171" s="916"/>
      <c r="AJ171" s="916"/>
      <c r="AK171" s="916"/>
      <c r="AL171" s="916"/>
      <c r="AM171" s="916"/>
      <c r="AN171" s="916"/>
      <c r="AO171" s="916"/>
      <c r="AP171" s="916"/>
      <c r="AQ171" s="916"/>
      <c r="AR171" s="916"/>
      <c r="AS171" s="916"/>
      <c r="AT171" s="916"/>
      <c r="AU171" s="916"/>
      <c r="AV171" s="916"/>
    </row>
    <row r="172" ht="14.25" customHeight="1">
      <c r="A172" s="916"/>
      <c r="B172" s="917"/>
      <c r="C172" s="916"/>
      <c r="D172" s="932" t="s">
        <v>82</v>
      </c>
      <c r="E172" s="916"/>
      <c r="F172" s="916"/>
      <c r="G172" s="926"/>
      <c r="H172" s="916"/>
      <c r="I172" s="934" t="s">
        <v>783</v>
      </c>
      <c r="P172" s="916"/>
      <c r="Q172" s="916"/>
      <c r="R172" s="916"/>
      <c r="S172" s="916"/>
      <c r="T172" s="916"/>
      <c r="U172" s="916"/>
      <c r="V172" s="916"/>
      <c r="W172" s="916"/>
      <c r="X172" s="916"/>
      <c r="Y172" s="916"/>
      <c r="Z172" s="916"/>
      <c r="AA172" s="916"/>
      <c r="AB172" s="916"/>
      <c r="AC172" s="916"/>
      <c r="AD172" s="916"/>
      <c r="AE172" s="916"/>
      <c r="AF172" s="916"/>
      <c r="AG172" s="916"/>
      <c r="AH172" s="916"/>
      <c r="AI172" s="916"/>
      <c r="AJ172" s="916"/>
      <c r="AK172" s="916"/>
      <c r="AL172" s="916"/>
      <c r="AM172" s="916"/>
      <c r="AN172" s="916"/>
      <c r="AO172" s="916"/>
      <c r="AP172" s="916"/>
      <c r="AQ172" s="916"/>
      <c r="AR172" s="916"/>
      <c r="AS172" s="916"/>
      <c r="AT172" s="916"/>
      <c r="AU172" s="916"/>
      <c r="AV172" s="916"/>
    </row>
    <row r="173" ht="14.25" customHeight="1">
      <c r="A173" s="916"/>
      <c r="B173" s="946" t="s">
        <v>786</v>
      </c>
      <c r="C173" s="916"/>
      <c r="D173" s="724" t="s">
        <v>843</v>
      </c>
      <c r="E173" s="916"/>
      <c r="F173" s="916"/>
      <c r="G173" s="926"/>
      <c r="H173" s="916"/>
      <c r="I173" s="950" t="s">
        <v>785</v>
      </c>
      <c r="J173" s="950" t="s">
        <v>785</v>
      </c>
      <c r="K173" s="950" t="s">
        <v>785</v>
      </c>
      <c r="L173" s="950" t="s">
        <v>785</v>
      </c>
      <c r="M173" s="950" t="s">
        <v>785</v>
      </c>
      <c r="N173" s="950" t="s">
        <v>785</v>
      </c>
      <c r="O173" s="950" t="s">
        <v>785</v>
      </c>
      <c r="P173" s="916"/>
      <c r="Q173" s="916"/>
      <c r="R173" s="916"/>
      <c r="S173" s="916"/>
      <c r="T173" s="916"/>
      <c r="U173" s="916"/>
      <c r="V173" s="916"/>
      <c r="W173" s="916"/>
      <c r="X173" s="916"/>
      <c r="Y173" s="916"/>
      <c r="Z173" s="916"/>
      <c r="AA173" s="916"/>
      <c r="AB173" s="916"/>
      <c r="AC173" s="916"/>
      <c r="AD173" s="916"/>
      <c r="AE173" s="916"/>
      <c r="AF173" s="916"/>
      <c r="AG173" s="916"/>
      <c r="AH173" s="916"/>
      <c r="AI173" s="916"/>
      <c r="AJ173" s="916"/>
      <c r="AK173" s="916"/>
      <c r="AL173" s="916"/>
      <c r="AM173" s="916"/>
      <c r="AN173" s="916"/>
      <c r="AO173" s="916"/>
      <c r="AP173" s="916"/>
      <c r="AQ173" s="916"/>
      <c r="AR173" s="916"/>
      <c r="AS173" s="916"/>
      <c r="AT173" s="916"/>
      <c r="AU173" s="916"/>
      <c r="AV173" s="916"/>
    </row>
    <row r="174" ht="14.25" customHeight="1">
      <c r="A174" s="916"/>
      <c r="B174" s="946"/>
      <c r="C174" s="916"/>
      <c r="D174" s="724" t="s">
        <v>844</v>
      </c>
      <c r="E174" s="916"/>
      <c r="F174" s="916"/>
      <c r="G174" s="926"/>
      <c r="I174" s="950" t="s">
        <v>785</v>
      </c>
      <c r="J174" s="950" t="s">
        <v>788</v>
      </c>
      <c r="K174" s="953"/>
      <c r="L174" s="953"/>
      <c r="M174" s="953"/>
      <c r="N174" s="953"/>
      <c r="O174" s="953"/>
      <c r="P174" s="916"/>
      <c r="Q174" s="916"/>
      <c r="R174" s="916"/>
      <c r="S174" s="916"/>
      <c r="T174" s="916"/>
      <c r="U174" s="916"/>
      <c r="V174" s="916"/>
      <c r="W174" s="916"/>
      <c r="X174" s="916"/>
      <c r="Y174" s="916"/>
      <c r="Z174" s="916"/>
      <c r="AA174" s="916"/>
      <c r="AB174" s="916"/>
      <c r="AC174" s="916"/>
      <c r="AD174" s="916"/>
      <c r="AE174" s="916"/>
      <c r="AF174" s="916"/>
      <c r="AG174" s="916"/>
      <c r="AH174" s="916"/>
      <c r="AI174" s="916"/>
      <c r="AJ174" s="916"/>
      <c r="AK174" s="916"/>
      <c r="AL174" s="916"/>
      <c r="AM174" s="916"/>
      <c r="AN174" s="916"/>
      <c r="AO174" s="916"/>
      <c r="AP174" s="916"/>
      <c r="AQ174" s="916"/>
      <c r="AR174" s="916"/>
      <c r="AS174" s="916"/>
      <c r="AT174" s="916"/>
      <c r="AU174" s="916"/>
      <c r="AV174" s="916"/>
    </row>
    <row r="175" ht="14.25" customHeight="1">
      <c r="A175" s="916"/>
      <c r="B175" s="917"/>
      <c r="C175" s="916"/>
      <c r="D175" s="724" t="s">
        <v>845</v>
      </c>
      <c r="E175" s="916"/>
      <c r="F175" s="916"/>
      <c r="G175" s="926"/>
      <c r="I175" s="950" t="s">
        <v>785</v>
      </c>
      <c r="J175" s="950" t="s">
        <v>788</v>
      </c>
      <c r="K175" s="953"/>
      <c r="L175" s="953"/>
      <c r="M175" s="953"/>
      <c r="N175" s="953"/>
      <c r="O175" s="953"/>
      <c r="P175" s="916"/>
      <c r="Q175" s="916"/>
      <c r="R175" s="916"/>
      <c r="S175" s="916"/>
      <c r="T175" s="916"/>
      <c r="U175" s="916"/>
      <c r="V175" s="916"/>
      <c r="W175" s="916"/>
      <c r="X175" s="916"/>
      <c r="Y175" s="916"/>
      <c r="Z175" s="916"/>
      <c r="AA175" s="916"/>
      <c r="AB175" s="916"/>
      <c r="AC175" s="916"/>
      <c r="AD175" s="916"/>
      <c r="AE175" s="916"/>
      <c r="AF175" s="916"/>
      <c r="AG175" s="916"/>
      <c r="AH175" s="916"/>
      <c r="AI175" s="916"/>
      <c r="AJ175" s="916"/>
      <c r="AK175" s="916"/>
      <c r="AL175" s="916"/>
      <c r="AM175" s="916"/>
      <c r="AN175" s="916"/>
      <c r="AO175" s="916"/>
      <c r="AP175" s="916"/>
      <c r="AQ175" s="916"/>
      <c r="AR175" s="916"/>
      <c r="AS175" s="916"/>
      <c r="AT175" s="916"/>
      <c r="AU175" s="916"/>
      <c r="AV175" s="916"/>
    </row>
    <row r="176" ht="14.25" customHeight="1">
      <c r="A176" s="916"/>
      <c r="B176" s="917"/>
      <c r="C176" s="916"/>
      <c r="D176" s="724" t="s">
        <v>846</v>
      </c>
      <c r="E176" s="916"/>
      <c r="F176" s="916"/>
      <c r="G176" s="926"/>
      <c r="H176" s="916"/>
      <c r="I176" s="950" t="s">
        <v>785</v>
      </c>
      <c r="J176" s="950" t="s">
        <v>788</v>
      </c>
      <c r="K176" s="961"/>
      <c r="L176" s="961"/>
      <c r="M176" s="961"/>
      <c r="N176" s="953"/>
      <c r="O176" s="953"/>
      <c r="P176" s="916"/>
      <c r="Q176" s="916"/>
      <c r="R176" s="916"/>
      <c r="S176" s="916"/>
      <c r="T176" s="916"/>
      <c r="U176" s="916"/>
      <c r="V176" s="916"/>
      <c r="W176" s="916"/>
      <c r="X176" s="916"/>
      <c r="Y176" s="916"/>
      <c r="Z176" s="916"/>
      <c r="AA176" s="916"/>
      <c r="AB176" s="916"/>
      <c r="AC176" s="916"/>
      <c r="AD176" s="916"/>
      <c r="AE176" s="916"/>
      <c r="AF176" s="916"/>
      <c r="AG176" s="916"/>
      <c r="AH176" s="916"/>
      <c r="AI176" s="916"/>
      <c r="AJ176" s="916"/>
      <c r="AK176" s="916"/>
      <c r="AL176" s="916"/>
      <c r="AM176" s="916"/>
      <c r="AN176" s="916"/>
      <c r="AO176" s="916"/>
      <c r="AP176" s="916"/>
      <c r="AQ176" s="916"/>
      <c r="AR176" s="916"/>
      <c r="AS176" s="916"/>
      <c r="AT176" s="916"/>
      <c r="AU176" s="916"/>
      <c r="AV176" s="916"/>
    </row>
    <row r="177" ht="14.25" customHeight="1">
      <c r="A177" s="916"/>
      <c r="B177" s="917"/>
      <c r="C177" s="916"/>
      <c r="D177" s="724" t="s">
        <v>847</v>
      </c>
      <c r="E177" s="916"/>
      <c r="F177" s="916"/>
      <c r="G177" s="926"/>
      <c r="I177" s="950" t="s">
        <v>785</v>
      </c>
      <c r="J177" s="950" t="s">
        <v>788</v>
      </c>
      <c r="K177" s="953"/>
      <c r="L177" s="953"/>
      <c r="M177" s="953"/>
      <c r="N177" s="953"/>
      <c r="O177" s="953"/>
      <c r="P177" s="916"/>
      <c r="Q177" s="916"/>
      <c r="R177" s="916"/>
      <c r="S177" s="916"/>
      <c r="T177" s="916"/>
      <c r="U177" s="916"/>
      <c r="V177" s="916"/>
      <c r="W177" s="916"/>
      <c r="X177" s="916"/>
      <c r="Y177" s="916"/>
      <c r="Z177" s="916"/>
      <c r="AA177" s="916"/>
      <c r="AB177" s="916"/>
      <c r="AC177" s="916"/>
      <c r="AD177" s="916"/>
      <c r="AE177" s="916"/>
      <c r="AF177" s="916"/>
      <c r="AG177" s="916"/>
      <c r="AH177" s="916"/>
      <c r="AI177" s="916"/>
      <c r="AJ177" s="916"/>
      <c r="AK177" s="916"/>
      <c r="AL177" s="916"/>
      <c r="AM177" s="916"/>
      <c r="AN177" s="916"/>
      <c r="AO177" s="916"/>
      <c r="AP177" s="916"/>
      <c r="AQ177" s="916"/>
      <c r="AR177" s="916"/>
      <c r="AS177" s="916"/>
      <c r="AT177" s="916"/>
      <c r="AU177" s="916"/>
      <c r="AV177" s="916"/>
    </row>
    <row r="178" ht="14.25" customHeight="1">
      <c r="A178" s="916"/>
      <c r="B178" s="917"/>
      <c r="C178" s="916"/>
      <c r="D178" s="724"/>
      <c r="E178" s="916"/>
      <c r="F178" s="916"/>
      <c r="G178" s="926"/>
      <c r="I178" s="916"/>
      <c r="J178" s="916"/>
      <c r="K178" s="916"/>
      <c r="L178" s="916"/>
      <c r="M178" s="916"/>
      <c r="N178" s="916"/>
      <c r="O178" s="916"/>
      <c r="P178" s="916"/>
      <c r="Q178" s="916"/>
      <c r="R178" s="916"/>
      <c r="S178" s="916"/>
      <c r="T178" s="916"/>
      <c r="U178" s="916"/>
      <c r="V178" s="916"/>
      <c r="W178" s="916"/>
      <c r="X178" s="916"/>
      <c r="Y178" s="916"/>
      <c r="Z178" s="916"/>
      <c r="AA178" s="916"/>
      <c r="AB178" s="916"/>
      <c r="AC178" s="916"/>
      <c r="AD178" s="916"/>
      <c r="AE178" s="916"/>
      <c r="AF178" s="916"/>
      <c r="AG178" s="916"/>
      <c r="AH178" s="916"/>
      <c r="AI178" s="916"/>
      <c r="AJ178" s="916"/>
      <c r="AK178" s="916"/>
      <c r="AL178" s="916"/>
      <c r="AM178" s="916"/>
      <c r="AN178" s="916"/>
      <c r="AO178" s="916"/>
      <c r="AP178" s="916"/>
      <c r="AQ178" s="916"/>
      <c r="AR178" s="916"/>
      <c r="AS178" s="916"/>
      <c r="AT178" s="916"/>
      <c r="AU178" s="916"/>
      <c r="AV178" s="916"/>
    </row>
    <row r="179" ht="14.25" customHeight="1">
      <c r="A179" s="916"/>
      <c r="B179" s="917"/>
      <c r="C179" s="916"/>
      <c r="D179" s="932" t="s">
        <v>90</v>
      </c>
      <c r="E179" s="916"/>
      <c r="F179" s="916"/>
      <c r="G179" s="926"/>
      <c r="I179" s="916"/>
      <c r="J179" s="916"/>
      <c r="K179" s="916"/>
      <c r="L179" s="916"/>
      <c r="M179" s="916"/>
      <c r="N179" s="916"/>
      <c r="O179" s="916"/>
      <c r="P179" s="916"/>
      <c r="Q179" s="916"/>
      <c r="R179" s="916"/>
      <c r="S179" s="916"/>
      <c r="T179" s="916"/>
      <c r="U179" s="916"/>
      <c r="V179" s="916"/>
      <c r="W179" s="916"/>
      <c r="X179" s="916"/>
      <c r="Y179" s="916"/>
      <c r="Z179" s="916"/>
      <c r="AA179" s="916"/>
      <c r="AB179" s="916"/>
      <c r="AC179" s="916"/>
      <c r="AD179" s="916"/>
      <c r="AE179" s="916"/>
      <c r="AF179" s="916"/>
      <c r="AG179" s="916"/>
      <c r="AH179" s="916"/>
      <c r="AI179" s="916"/>
      <c r="AJ179" s="916"/>
      <c r="AK179" s="916"/>
      <c r="AL179" s="916"/>
      <c r="AM179" s="916"/>
      <c r="AN179" s="916"/>
      <c r="AO179" s="916"/>
      <c r="AP179" s="916"/>
      <c r="AQ179" s="916"/>
      <c r="AR179" s="916"/>
      <c r="AS179" s="916"/>
      <c r="AT179" s="916"/>
      <c r="AU179" s="916"/>
      <c r="AV179" s="916"/>
    </row>
    <row r="180" ht="14.25" customHeight="1">
      <c r="A180" s="916"/>
      <c r="B180" s="946" t="s">
        <v>786</v>
      </c>
      <c r="C180" s="916"/>
      <c r="D180" s="724" t="s">
        <v>843</v>
      </c>
      <c r="E180" s="916"/>
      <c r="F180" s="916"/>
      <c r="G180" s="926"/>
      <c r="I180" s="950" t="s">
        <v>785</v>
      </c>
      <c r="J180" s="950" t="s">
        <v>788</v>
      </c>
      <c r="K180" s="953"/>
      <c r="L180" s="953"/>
      <c r="M180" s="953"/>
      <c r="N180" s="953"/>
      <c r="O180" s="953"/>
      <c r="P180" s="916"/>
      <c r="Q180" s="916"/>
      <c r="R180" s="916"/>
      <c r="S180" s="916"/>
      <c r="T180" s="916"/>
      <c r="U180" s="916"/>
      <c r="V180" s="916"/>
      <c r="W180" s="916"/>
      <c r="X180" s="916"/>
      <c r="Y180" s="916"/>
      <c r="Z180" s="916"/>
      <c r="AA180" s="916"/>
      <c r="AB180" s="916"/>
      <c r="AC180" s="916"/>
      <c r="AD180" s="916"/>
      <c r="AE180" s="916"/>
      <c r="AF180" s="916"/>
      <c r="AG180" s="916"/>
      <c r="AH180" s="916"/>
      <c r="AI180" s="916"/>
      <c r="AJ180" s="916"/>
      <c r="AK180" s="916"/>
      <c r="AL180" s="916"/>
      <c r="AM180" s="916"/>
      <c r="AN180" s="916"/>
      <c r="AO180" s="916"/>
      <c r="AP180" s="916"/>
      <c r="AQ180" s="916"/>
      <c r="AR180" s="916"/>
      <c r="AS180" s="916"/>
      <c r="AT180" s="916"/>
      <c r="AU180" s="916"/>
      <c r="AV180" s="916"/>
    </row>
    <row r="181" ht="14.25" customHeight="1">
      <c r="A181" s="916"/>
      <c r="B181" s="946"/>
      <c r="C181" s="916"/>
      <c r="D181" s="724" t="s">
        <v>848</v>
      </c>
      <c r="E181" s="916"/>
      <c r="F181" s="916"/>
      <c r="G181" s="926"/>
      <c r="I181" s="950" t="s">
        <v>785</v>
      </c>
      <c r="J181" s="950" t="s">
        <v>788</v>
      </c>
      <c r="K181" s="953"/>
      <c r="L181" s="953"/>
      <c r="M181" s="953"/>
      <c r="N181" s="953"/>
      <c r="O181" s="953"/>
      <c r="P181" s="916"/>
      <c r="Q181" s="916"/>
      <c r="R181" s="916"/>
      <c r="S181" s="916"/>
      <c r="T181" s="916"/>
      <c r="U181" s="916"/>
      <c r="V181" s="916"/>
      <c r="W181" s="916"/>
      <c r="X181" s="916"/>
      <c r="Y181" s="916"/>
      <c r="Z181" s="916"/>
      <c r="AA181" s="916"/>
      <c r="AB181" s="916"/>
      <c r="AC181" s="916"/>
      <c r="AD181" s="916"/>
      <c r="AE181" s="916"/>
      <c r="AF181" s="916"/>
      <c r="AG181" s="916"/>
      <c r="AH181" s="916"/>
      <c r="AI181" s="916"/>
      <c r="AJ181" s="916"/>
      <c r="AK181" s="916"/>
      <c r="AL181" s="916"/>
      <c r="AM181" s="916"/>
      <c r="AN181" s="916"/>
      <c r="AO181" s="916"/>
      <c r="AP181" s="916"/>
      <c r="AQ181" s="916"/>
      <c r="AR181" s="916"/>
      <c r="AS181" s="916"/>
      <c r="AT181" s="916"/>
      <c r="AU181" s="916"/>
      <c r="AV181" s="916"/>
    </row>
    <row r="182" ht="14.25" customHeight="1">
      <c r="A182" s="916"/>
      <c r="B182" s="917"/>
      <c r="C182" s="916"/>
      <c r="D182" s="724" t="s">
        <v>849</v>
      </c>
      <c r="E182" s="916"/>
      <c r="F182" s="916"/>
      <c r="G182" s="926"/>
      <c r="I182" s="950" t="s">
        <v>785</v>
      </c>
      <c r="J182" s="950" t="s">
        <v>788</v>
      </c>
      <c r="K182" s="953"/>
      <c r="L182" s="953"/>
      <c r="M182" s="953"/>
      <c r="N182" s="953"/>
      <c r="O182" s="953"/>
      <c r="P182" s="916"/>
      <c r="Q182" s="916"/>
      <c r="R182" s="916"/>
      <c r="S182" s="916"/>
      <c r="T182" s="916"/>
      <c r="U182" s="916"/>
      <c r="V182" s="916"/>
      <c r="W182" s="916"/>
      <c r="X182" s="916"/>
      <c r="Y182" s="916"/>
      <c r="Z182" s="916"/>
      <c r="AA182" s="916"/>
      <c r="AB182" s="916"/>
      <c r="AC182" s="916"/>
      <c r="AD182" s="916"/>
      <c r="AE182" s="916"/>
      <c r="AF182" s="916"/>
      <c r="AG182" s="916"/>
      <c r="AH182" s="916"/>
      <c r="AI182" s="916"/>
      <c r="AJ182" s="916"/>
      <c r="AK182" s="916"/>
      <c r="AL182" s="916"/>
      <c r="AM182" s="916"/>
      <c r="AN182" s="916"/>
      <c r="AO182" s="916"/>
      <c r="AP182" s="916"/>
      <c r="AQ182" s="916"/>
      <c r="AR182" s="916"/>
      <c r="AS182" s="916"/>
      <c r="AT182" s="916"/>
      <c r="AU182" s="916"/>
      <c r="AV182" s="916"/>
    </row>
    <row r="183" ht="14.25" customHeight="1">
      <c r="A183" s="916"/>
      <c r="B183" s="917"/>
      <c r="C183" s="916"/>
      <c r="D183" s="724" t="s">
        <v>850</v>
      </c>
      <c r="E183" s="916"/>
      <c r="F183" s="916"/>
      <c r="G183" s="926"/>
      <c r="I183" s="950" t="s">
        <v>785</v>
      </c>
      <c r="J183" s="950" t="s">
        <v>788</v>
      </c>
      <c r="K183" s="953"/>
      <c r="L183" s="953"/>
      <c r="M183" s="953"/>
      <c r="N183" s="953"/>
      <c r="O183" s="953"/>
      <c r="P183" s="916"/>
      <c r="Q183" s="916"/>
      <c r="R183" s="916"/>
      <c r="S183" s="916"/>
      <c r="T183" s="916"/>
      <c r="U183" s="916"/>
      <c r="V183" s="916"/>
      <c r="W183" s="916"/>
      <c r="X183" s="916"/>
      <c r="Y183" s="916"/>
      <c r="Z183" s="916"/>
      <c r="AA183" s="916"/>
      <c r="AB183" s="916"/>
      <c r="AC183" s="916"/>
      <c r="AD183" s="916"/>
      <c r="AE183" s="916"/>
      <c r="AF183" s="916"/>
      <c r="AG183" s="916"/>
      <c r="AH183" s="916"/>
      <c r="AI183" s="916"/>
      <c r="AJ183" s="916"/>
      <c r="AK183" s="916"/>
      <c r="AL183" s="916"/>
      <c r="AM183" s="916"/>
      <c r="AN183" s="916"/>
      <c r="AO183" s="916"/>
      <c r="AP183" s="916"/>
      <c r="AQ183" s="916"/>
      <c r="AR183" s="916"/>
      <c r="AS183" s="916"/>
      <c r="AT183" s="916"/>
      <c r="AU183" s="916"/>
      <c r="AV183" s="916"/>
    </row>
    <row r="184" ht="14.25" customHeight="1">
      <c r="A184" s="916"/>
      <c r="B184" s="917"/>
      <c r="C184" s="916"/>
      <c r="D184" s="724"/>
      <c r="E184" s="916"/>
      <c r="F184" s="916"/>
      <c r="G184" s="916"/>
      <c r="I184" s="916"/>
      <c r="J184" s="916"/>
      <c r="K184" s="916"/>
      <c r="L184" s="916"/>
      <c r="M184" s="916"/>
      <c r="N184" s="916"/>
      <c r="O184" s="916"/>
      <c r="P184" s="916"/>
      <c r="Q184" s="916"/>
      <c r="R184" s="916"/>
      <c r="S184" s="916"/>
      <c r="T184" s="916"/>
      <c r="U184" s="916"/>
      <c r="V184" s="916"/>
      <c r="W184" s="916"/>
      <c r="X184" s="916"/>
      <c r="Y184" s="916"/>
      <c r="Z184" s="916"/>
      <c r="AA184" s="916"/>
      <c r="AB184" s="916"/>
      <c r="AC184" s="916"/>
      <c r="AD184" s="916"/>
      <c r="AE184" s="916"/>
      <c r="AF184" s="916"/>
      <c r="AG184" s="916"/>
      <c r="AH184" s="916"/>
      <c r="AI184" s="916"/>
      <c r="AJ184" s="916"/>
      <c r="AK184" s="916"/>
      <c r="AL184" s="916"/>
      <c r="AM184" s="916"/>
      <c r="AN184" s="916"/>
      <c r="AO184" s="916"/>
      <c r="AP184" s="916"/>
      <c r="AQ184" s="916"/>
      <c r="AR184" s="916"/>
      <c r="AS184" s="916"/>
      <c r="AT184" s="916"/>
      <c r="AU184" s="916"/>
      <c r="AV184" s="916"/>
    </row>
    <row r="185" ht="14.25" customHeight="1">
      <c r="A185" s="916"/>
      <c r="B185" s="917"/>
      <c r="C185" s="916"/>
      <c r="D185" s="932" t="s">
        <v>89</v>
      </c>
      <c r="E185" s="916"/>
      <c r="F185" s="916"/>
      <c r="G185" s="926"/>
      <c r="I185" s="916"/>
      <c r="J185" s="916"/>
      <c r="K185" s="916"/>
      <c r="L185" s="916"/>
      <c r="M185" s="916"/>
      <c r="N185" s="916"/>
      <c r="O185" s="916"/>
      <c r="P185" s="916"/>
      <c r="Q185" s="916"/>
      <c r="R185" s="916"/>
      <c r="S185" s="916"/>
      <c r="T185" s="916"/>
      <c r="U185" s="916"/>
      <c r="V185" s="916"/>
      <c r="W185" s="916"/>
      <c r="X185" s="916"/>
      <c r="Y185" s="916"/>
      <c r="Z185" s="916"/>
      <c r="AA185" s="916"/>
      <c r="AB185" s="916"/>
      <c r="AC185" s="916"/>
      <c r="AD185" s="916"/>
      <c r="AE185" s="916"/>
      <c r="AF185" s="916"/>
      <c r="AG185" s="916"/>
      <c r="AH185" s="916"/>
      <c r="AI185" s="916"/>
      <c r="AJ185" s="916"/>
      <c r="AK185" s="916"/>
      <c r="AL185" s="916"/>
      <c r="AM185" s="916"/>
      <c r="AN185" s="916"/>
      <c r="AO185" s="916"/>
      <c r="AP185" s="916"/>
      <c r="AQ185" s="916"/>
      <c r="AR185" s="916"/>
      <c r="AS185" s="916"/>
      <c r="AT185" s="916"/>
      <c r="AU185" s="916"/>
      <c r="AV185" s="916"/>
    </row>
    <row r="186" ht="14.25" customHeight="1">
      <c r="A186" s="916"/>
      <c r="B186" s="946" t="s">
        <v>786</v>
      </c>
      <c r="C186" s="916"/>
      <c r="D186" s="724" t="s">
        <v>843</v>
      </c>
      <c r="E186" s="916"/>
      <c r="F186" s="916"/>
      <c r="G186" s="926"/>
      <c r="I186" s="950" t="s">
        <v>785</v>
      </c>
      <c r="J186" s="950" t="s">
        <v>788</v>
      </c>
      <c r="K186" s="953"/>
      <c r="L186" s="953"/>
      <c r="M186" s="953"/>
      <c r="N186" s="953"/>
      <c r="O186" s="953"/>
      <c r="P186" s="916"/>
      <c r="Q186" s="916"/>
      <c r="R186" s="916"/>
      <c r="S186" s="916"/>
      <c r="T186" s="916"/>
      <c r="U186" s="916"/>
      <c r="V186" s="916"/>
      <c r="W186" s="916"/>
      <c r="X186" s="916"/>
      <c r="Y186" s="916"/>
      <c r="Z186" s="916"/>
      <c r="AA186" s="916"/>
      <c r="AB186" s="916"/>
      <c r="AC186" s="916"/>
      <c r="AD186" s="916"/>
      <c r="AE186" s="916"/>
      <c r="AF186" s="916"/>
      <c r="AG186" s="916"/>
      <c r="AH186" s="916"/>
      <c r="AI186" s="916"/>
      <c r="AJ186" s="916"/>
      <c r="AK186" s="916"/>
      <c r="AL186" s="916"/>
      <c r="AM186" s="916"/>
      <c r="AN186" s="916"/>
      <c r="AO186" s="916"/>
      <c r="AP186" s="916"/>
      <c r="AQ186" s="916"/>
      <c r="AR186" s="916"/>
      <c r="AS186" s="916"/>
      <c r="AT186" s="916"/>
      <c r="AU186" s="916"/>
      <c r="AV186" s="916"/>
    </row>
    <row r="187" ht="14.25" customHeight="1">
      <c r="A187" s="916"/>
      <c r="B187" s="946"/>
      <c r="C187" s="916"/>
      <c r="D187" s="724" t="s">
        <v>851</v>
      </c>
      <c r="E187" s="916"/>
      <c r="F187" s="916"/>
      <c r="G187" s="926"/>
      <c r="I187" s="950" t="s">
        <v>785</v>
      </c>
      <c r="J187" s="950" t="s">
        <v>788</v>
      </c>
      <c r="K187" s="953"/>
      <c r="L187" s="953"/>
      <c r="M187" s="953"/>
      <c r="N187" s="953"/>
      <c r="O187" s="953"/>
      <c r="P187" s="916"/>
      <c r="Q187" s="916"/>
      <c r="R187" s="916"/>
      <c r="S187" s="916"/>
      <c r="T187" s="916"/>
      <c r="U187" s="916"/>
      <c r="V187" s="916"/>
      <c r="W187" s="916"/>
      <c r="X187" s="916"/>
      <c r="Y187" s="916"/>
      <c r="Z187" s="916"/>
      <c r="AA187" s="916"/>
      <c r="AB187" s="916"/>
      <c r="AC187" s="916"/>
      <c r="AD187" s="916"/>
      <c r="AE187" s="916"/>
      <c r="AF187" s="916"/>
      <c r="AG187" s="916"/>
      <c r="AH187" s="916"/>
      <c r="AI187" s="916"/>
      <c r="AJ187" s="916"/>
      <c r="AK187" s="916"/>
      <c r="AL187" s="916"/>
      <c r="AM187" s="916"/>
      <c r="AN187" s="916"/>
      <c r="AO187" s="916"/>
      <c r="AP187" s="916"/>
      <c r="AQ187" s="916"/>
      <c r="AR187" s="916"/>
      <c r="AS187" s="916"/>
      <c r="AT187" s="916"/>
      <c r="AU187" s="916"/>
      <c r="AV187" s="916"/>
    </row>
    <row r="188" ht="14.25" customHeight="1">
      <c r="A188" s="916"/>
      <c r="B188" s="917"/>
      <c r="C188" s="916"/>
      <c r="D188" s="724" t="s">
        <v>852</v>
      </c>
      <c r="E188" s="916"/>
      <c r="F188" s="916"/>
      <c r="G188" s="926"/>
      <c r="I188" s="950" t="s">
        <v>785</v>
      </c>
      <c r="J188" s="950" t="s">
        <v>788</v>
      </c>
      <c r="K188" s="953"/>
      <c r="L188" s="953"/>
      <c r="M188" s="953"/>
      <c r="N188" s="953"/>
      <c r="O188" s="953"/>
      <c r="P188" s="916"/>
      <c r="Q188" s="916"/>
      <c r="R188" s="916"/>
      <c r="S188" s="916"/>
      <c r="T188" s="916"/>
      <c r="U188" s="916"/>
      <c r="V188" s="916"/>
      <c r="W188" s="916"/>
      <c r="X188" s="916"/>
      <c r="Y188" s="916"/>
      <c r="Z188" s="916"/>
      <c r="AA188" s="916"/>
      <c r="AB188" s="916"/>
      <c r="AC188" s="916"/>
      <c r="AD188" s="916"/>
      <c r="AE188" s="916"/>
      <c r="AF188" s="916"/>
      <c r="AG188" s="916"/>
      <c r="AH188" s="916"/>
      <c r="AI188" s="916"/>
      <c r="AJ188" s="916"/>
      <c r="AK188" s="916"/>
      <c r="AL188" s="916"/>
      <c r="AM188" s="916"/>
      <c r="AN188" s="916"/>
      <c r="AO188" s="916"/>
      <c r="AP188" s="916"/>
      <c r="AQ188" s="916"/>
      <c r="AR188" s="916"/>
      <c r="AS188" s="916"/>
      <c r="AT188" s="916"/>
      <c r="AU188" s="916"/>
      <c r="AV188" s="916"/>
    </row>
    <row r="189" ht="14.25" customHeight="1">
      <c r="A189" s="916"/>
      <c r="B189" s="917"/>
      <c r="C189" s="916"/>
      <c r="D189" s="724" t="s">
        <v>853</v>
      </c>
      <c r="E189" s="916"/>
      <c r="F189" s="916"/>
      <c r="G189" s="926"/>
      <c r="I189" s="950" t="s">
        <v>785</v>
      </c>
      <c r="J189" s="950" t="s">
        <v>788</v>
      </c>
      <c r="K189" s="953"/>
      <c r="L189" s="953"/>
      <c r="M189" s="953"/>
      <c r="N189" s="953"/>
      <c r="O189" s="953"/>
      <c r="P189" s="916"/>
      <c r="Q189" s="916"/>
      <c r="R189" s="916"/>
      <c r="S189" s="916"/>
      <c r="T189" s="916"/>
      <c r="U189" s="916"/>
      <c r="V189" s="916"/>
      <c r="W189" s="916"/>
      <c r="X189" s="916"/>
      <c r="Y189" s="916"/>
      <c r="Z189" s="916"/>
      <c r="AA189" s="916"/>
      <c r="AB189" s="916"/>
      <c r="AC189" s="916"/>
      <c r="AD189" s="916"/>
      <c r="AE189" s="916"/>
      <c r="AF189" s="916"/>
      <c r="AG189" s="916"/>
      <c r="AH189" s="916"/>
      <c r="AI189" s="916"/>
      <c r="AJ189" s="916"/>
      <c r="AK189" s="916"/>
      <c r="AL189" s="916"/>
      <c r="AM189" s="916"/>
      <c r="AN189" s="916"/>
      <c r="AO189" s="916"/>
      <c r="AP189" s="916"/>
      <c r="AQ189" s="916"/>
      <c r="AR189" s="916"/>
      <c r="AS189" s="916"/>
      <c r="AT189" s="916"/>
      <c r="AU189" s="916"/>
      <c r="AV189" s="916"/>
    </row>
    <row r="190" ht="14.25" customHeight="1">
      <c r="A190" s="916"/>
      <c r="B190" s="942"/>
      <c r="C190" s="943"/>
      <c r="D190" s="944"/>
      <c r="E190" s="945"/>
      <c r="F190" s="945"/>
      <c r="G190" s="945"/>
      <c r="H190" s="945"/>
      <c r="I190" s="945"/>
      <c r="J190" s="945"/>
      <c r="K190" s="945"/>
      <c r="L190" s="945"/>
      <c r="M190" s="945"/>
      <c r="N190" s="945"/>
      <c r="O190" s="945"/>
      <c r="P190" s="916"/>
      <c r="Q190" s="916"/>
      <c r="R190" s="916"/>
      <c r="S190" s="916"/>
      <c r="T190" s="916"/>
      <c r="U190" s="916"/>
      <c r="V190" s="916"/>
      <c r="W190" s="916"/>
      <c r="X190" s="916"/>
      <c r="Y190" s="916"/>
      <c r="Z190" s="916"/>
      <c r="AA190" s="916"/>
      <c r="AB190" s="916"/>
      <c r="AC190" s="916"/>
      <c r="AD190" s="916"/>
      <c r="AE190" s="916"/>
      <c r="AF190" s="916"/>
      <c r="AG190" s="916"/>
      <c r="AH190" s="916"/>
      <c r="AI190" s="916"/>
      <c r="AJ190" s="916"/>
      <c r="AK190" s="916"/>
      <c r="AL190" s="916"/>
      <c r="AM190" s="916"/>
      <c r="AN190" s="916"/>
      <c r="AO190" s="916"/>
      <c r="AP190" s="916"/>
      <c r="AQ190" s="916"/>
      <c r="AR190" s="916"/>
      <c r="AS190" s="916"/>
      <c r="AT190" s="916"/>
      <c r="AU190" s="916"/>
      <c r="AV190" s="916"/>
    </row>
    <row r="191" ht="14.25" customHeight="1">
      <c r="A191" s="916"/>
      <c r="B191" s="946"/>
      <c r="C191" s="941"/>
      <c r="D191" s="947"/>
      <c r="E191" s="916"/>
      <c r="F191" s="916"/>
      <c r="G191" s="916"/>
      <c r="H191" s="916"/>
      <c r="I191" s="916"/>
      <c r="J191" s="916"/>
      <c r="K191" s="916"/>
      <c r="L191" s="916"/>
      <c r="M191" s="916"/>
      <c r="N191" s="916"/>
      <c r="O191" s="916"/>
      <c r="P191" s="916"/>
      <c r="Q191" s="916"/>
      <c r="R191" s="916"/>
      <c r="S191" s="916"/>
      <c r="T191" s="916"/>
      <c r="U191" s="916"/>
      <c r="V191" s="916"/>
      <c r="W191" s="916"/>
      <c r="X191" s="916"/>
      <c r="Y191" s="916"/>
      <c r="Z191" s="916"/>
      <c r="AA191" s="916"/>
      <c r="AB191" s="916"/>
      <c r="AC191" s="916"/>
      <c r="AD191" s="916"/>
      <c r="AE191" s="916"/>
      <c r="AF191" s="916"/>
      <c r="AG191" s="916"/>
      <c r="AH191" s="916"/>
      <c r="AI191" s="916"/>
      <c r="AJ191" s="916"/>
      <c r="AK191" s="916"/>
      <c r="AL191" s="916"/>
      <c r="AM191" s="916"/>
      <c r="AN191" s="916"/>
      <c r="AO191" s="916"/>
      <c r="AP191" s="916"/>
      <c r="AQ191" s="916"/>
      <c r="AR191" s="916"/>
      <c r="AS191" s="916"/>
      <c r="AT191" s="916"/>
      <c r="AU191" s="916"/>
      <c r="AV191" s="916"/>
    </row>
    <row r="192" ht="14.25" customHeight="1">
      <c r="A192" s="916"/>
      <c r="B192" s="946"/>
      <c r="C192" s="931" t="s">
        <v>101</v>
      </c>
      <c r="D192" s="932" t="s">
        <v>757</v>
      </c>
      <c r="E192" s="916"/>
      <c r="F192" s="916"/>
      <c r="G192" s="916"/>
      <c r="H192" s="916"/>
      <c r="I192" s="916"/>
      <c r="J192" s="916"/>
      <c r="K192" s="916"/>
      <c r="L192" s="916"/>
      <c r="M192" s="916"/>
      <c r="N192" s="916"/>
      <c r="O192" s="916"/>
      <c r="P192" s="916"/>
      <c r="Q192" s="916"/>
      <c r="R192" s="916"/>
      <c r="S192" s="916"/>
      <c r="T192" s="916"/>
      <c r="U192" s="916"/>
      <c r="V192" s="916"/>
      <c r="W192" s="916"/>
      <c r="X192" s="916"/>
      <c r="Y192" s="916"/>
      <c r="Z192" s="916"/>
      <c r="AA192" s="916"/>
      <c r="AB192" s="916"/>
      <c r="AC192" s="916"/>
      <c r="AD192" s="916"/>
      <c r="AE192" s="916"/>
      <c r="AF192" s="916"/>
      <c r="AG192" s="916"/>
      <c r="AH192" s="916"/>
      <c r="AI192" s="916"/>
      <c r="AJ192" s="916"/>
      <c r="AK192" s="916"/>
      <c r="AL192" s="916"/>
      <c r="AM192" s="916"/>
      <c r="AN192" s="916"/>
      <c r="AO192" s="916"/>
      <c r="AP192" s="916"/>
      <c r="AQ192" s="916"/>
      <c r="AR192" s="916"/>
      <c r="AS192" s="916"/>
      <c r="AT192" s="916"/>
      <c r="AU192" s="916"/>
      <c r="AV192" s="916"/>
    </row>
    <row r="193" ht="14.25" customHeight="1">
      <c r="A193" s="916"/>
      <c r="B193" s="946"/>
      <c r="C193" s="941"/>
      <c r="D193" s="947"/>
      <c r="E193" s="916"/>
      <c r="F193" s="916"/>
      <c r="G193" s="916"/>
      <c r="H193" s="916"/>
      <c r="I193" s="916"/>
      <c r="J193" s="916"/>
      <c r="K193" s="916"/>
      <c r="L193" s="916"/>
      <c r="M193" s="916"/>
      <c r="N193" s="916"/>
      <c r="O193" s="916"/>
      <c r="P193" s="916"/>
      <c r="Q193" s="916"/>
      <c r="R193" s="916"/>
      <c r="S193" s="916"/>
      <c r="T193" s="916"/>
      <c r="U193" s="916"/>
      <c r="V193" s="916"/>
      <c r="W193" s="916"/>
      <c r="X193" s="916"/>
      <c r="Y193" s="916"/>
      <c r="Z193" s="916"/>
      <c r="AA193" s="916"/>
      <c r="AB193" s="916"/>
      <c r="AC193" s="916"/>
      <c r="AD193" s="916"/>
      <c r="AE193" s="916"/>
      <c r="AF193" s="916"/>
      <c r="AG193" s="916"/>
      <c r="AH193" s="916"/>
      <c r="AI193" s="916"/>
      <c r="AJ193" s="916"/>
      <c r="AK193" s="916"/>
      <c r="AL193" s="916"/>
      <c r="AM193" s="916"/>
      <c r="AN193" s="916"/>
      <c r="AO193" s="916"/>
      <c r="AP193" s="916"/>
      <c r="AQ193" s="916"/>
      <c r="AR193" s="916"/>
      <c r="AS193" s="916"/>
      <c r="AT193" s="916"/>
      <c r="AU193" s="916"/>
      <c r="AV193" s="916"/>
    </row>
    <row r="194" ht="14.25" customHeight="1">
      <c r="A194" s="916"/>
      <c r="B194" s="946"/>
      <c r="C194" s="941"/>
      <c r="D194" s="962" t="s">
        <v>854</v>
      </c>
      <c r="E194" s="916"/>
      <c r="F194" s="916"/>
      <c r="G194" s="916"/>
      <c r="H194" s="916"/>
      <c r="I194" s="916"/>
      <c r="J194" s="916"/>
      <c r="K194" s="916"/>
      <c r="Q194" s="963" t="s">
        <v>855</v>
      </c>
      <c r="AD194" s="916"/>
      <c r="AE194" s="916"/>
      <c r="AF194" s="916"/>
      <c r="AG194" s="916"/>
      <c r="AH194" s="916"/>
      <c r="AI194" s="916"/>
      <c r="AJ194" s="916"/>
      <c r="AK194" s="916"/>
      <c r="AL194" s="916"/>
      <c r="AM194" s="916"/>
      <c r="AN194" s="916"/>
      <c r="AO194" s="916"/>
      <c r="AP194" s="916"/>
      <c r="AQ194" s="916"/>
      <c r="AR194" s="916"/>
      <c r="AS194" s="916"/>
      <c r="AT194" s="916"/>
      <c r="AU194" s="916"/>
      <c r="AV194" s="916"/>
    </row>
    <row r="195" ht="14.25" customHeight="1">
      <c r="A195" s="916"/>
      <c r="B195" s="946"/>
      <c r="C195" s="948" t="s">
        <v>769</v>
      </c>
      <c r="D195" s="916" t="s">
        <v>55</v>
      </c>
      <c r="E195" s="916"/>
      <c r="F195" s="916"/>
      <c r="G195" s="916"/>
      <c r="K195" s="916"/>
      <c r="AD195" s="916"/>
      <c r="AE195" s="916"/>
      <c r="AF195" s="916"/>
      <c r="AG195" s="916"/>
      <c r="AH195" s="916"/>
      <c r="AI195" s="916"/>
      <c r="AJ195" s="916"/>
      <c r="AK195" s="916"/>
      <c r="AL195" s="916"/>
      <c r="AM195" s="916"/>
      <c r="AN195" s="916"/>
      <c r="AO195" s="916"/>
      <c r="AP195" s="916"/>
      <c r="AQ195" s="916"/>
      <c r="AR195" s="916"/>
      <c r="AS195" s="916"/>
      <c r="AT195" s="916"/>
      <c r="AU195" s="916"/>
      <c r="AV195" s="916"/>
    </row>
    <row r="196" ht="14.25" customHeight="1">
      <c r="A196" s="916"/>
      <c r="B196" s="946"/>
      <c r="C196" s="948" t="s">
        <v>769</v>
      </c>
      <c r="D196" s="916" t="s">
        <v>60</v>
      </c>
      <c r="E196" s="916"/>
      <c r="F196" s="916"/>
      <c r="G196" s="916"/>
      <c r="K196" s="916"/>
      <c r="AD196" s="916"/>
      <c r="AE196" s="916"/>
      <c r="AF196" s="916"/>
      <c r="AG196" s="916"/>
      <c r="AH196" s="916"/>
      <c r="AI196" s="916"/>
      <c r="AJ196" s="916"/>
      <c r="AK196" s="916"/>
      <c r="AL196" s="916"/>
      <c r="AM196" s="916"/>
      <c r="AN196" s="916"/>
      <c r="AO196" s="916"/>
      <c r="AP196" s="916"/>
      <c r="AQ196" s="916"/>
      <c r="AR196" s="916"/>
      <c r="AS196" s="916"/>
      <c r="AT196" s="916"/>
      <c r="AU196" s="916"/>
      <c r="AV196" s="916"/>
    </row>
    <row r="197" ht="14.25" customHeight="1">
      <c r="A197" s="916"/>
      <c r="B197" s="917"/>
      <c r="C197" s="916"/>
      <c r="D197" s="916"/>
      <c r="E197" s="916"/>
      <c r="F197" s="916"/>
      <c r="G197" s="926"/>
      <c r="H197" s="926"/>
      <c r="I197" s="926"/>
      <c r="J197" s="926"/>
      <c r="K197" s="926"/>
      <c r="L197" s="926"/>
      <c r="M197" s="926"/>
      <c r="N197" s="926"/>
      <c r="O197" s="916"/>
      <c r="P197" s="916"/>
      <c r="Q197" s="916"/>
      <c r="R197" s="916"/>
      <c r="S197" s="916"/>
      <c r="T197" s="916"/>
      <c r="U197" s="916"/>
      <c r="V197" s="916"/>
      <c r="W197" s="916"/>
      <c r="X197" s="916"/>
      <c r="Y197" s="916"/>
      <c r="Z197" s="916"/>
      <c r="AA197" s="916"/>
      <c r="AB197" s="916"/>
      <c r="AC197" s="916"/>
      <c r="AD197" s="916"/>
      <c r="AE197" s="916"/>
      <c r="AF197" s="916"/>
      <c r="AG197" s="916"/>
      <c r="AH197" s="916"/>
      <c r="AI197" s="916"/>
      <c r="AJ197" s="916"/>
      <c r="AK197" s="916"/>
      <c r="AL197" s="916"/>
      <c r="AM197" s="916"/>
      <c r="AN197" s="916"/>
      <c r="AO197" s="916"/>
      <c r="AP197" s="916"/>
      <c r="AQ197" s="916"/>
      <c r="AR197" s="916"/>
      <c r="AS197" s="916"/>
      <c r="AT197" s="916"/>
      <c r="AU197" s="916"/>
      <c r="AV197" s="916"/>
    </row>
    <row r="198" ht="14.25" customHeight="1">
      <c r="A198" s="916"/>
      <c r="B198" s="917"/>
      <c r="C198" s="916"/>
      <c r="D198" s="921" t="s">
        <v>856</v>
      </c>
      <c r="F198" s="916"/>
      <c r="G198" s="926"/>
      <c r="H198" s="926"/>
      <c r="I198" s="926"/>
      <c r="J198" s="926"/>
      <c r="K198" s="926"/>
      <c r="M198" s="926"/>
      <c r="N198" s="926"/>
      <c r="O198" s="916"/>
      <c r="P198" s="916"/>
      <c r="Q198" s="916"/>
      <c r="R198" s="916"/>
      <c r="S198" s="916"/>
      <c r="T198" s="916"/>
      <c r="U198" s="916"/>
      <c r="V198" s="916"/>
      <c r="W198" s="916"/>
      <c r="X198" s="916"/>
      <c r="Y198" s="916"/>
      <c r="Z198" s="916"/>
      <c r="AA198" s="916"/>
      <c r="AB198" s="916"/>
      <c r="AC198" s="916"/>
      <c r="AD198" s="916"/>
      <c r="AE198" s="916"/>
      <c r="AF198" s="916"/>
      <c r="AG198" s="916"/>
      <c r="AH198" s="916"/>
      <c r="AI198" s="916"/>
      <c r="AJ198" s="916"/>
      <c r="AK198" s="916"/>
      <c r="AL198" s="916"/>
      <c r="AM198" s="916"/>
      <c r="AN198" s="916"/>
      <c r="AO198" s="916"/>
      <c r="AP198" s="916"/>
      <c r="AQ198" s="916"/>
      <c r="AR198" s="916"/>
      <c r="AS198" s="916"/>
      <c r="AT198" s="916"/>
      <c r="AU198" s="916"/>
      <c r="AV198" s="916"/>
    </row>
    <row r="199" ht="14.25" customHeight="1">
      <c r="A199" s="916"/>
      <c r="B199" s="964" t="s">
        <v>857</v>
      </c>
      <c r="C199" s="948" t="s">
        <v>769</v>
      </c>
      <c r="D199" s="965" t="s">
        <v>135</v>
      </c>
      <c r="F199" s="966" t="s">
        <v>858</v>
      </c>
      <c r="G199" s="926"/>
      <c r="H199" s="916"/>
      <c r="I199" s="916"/>
      <c r="J199" s="916"/>
      <c r="K199" s="916"/>
      <c r="M199" s="926"/>
      <c r="N199" s="926"/>
      <c r="O199" s="916"/>
      <c r="P199" s="916"/>
      <c r="Q199" s="916" t="s">
        <v>859</v>
      </c>
      <c r="R199" s="916"/>
      <c r="S199" s="916"/>
      <c r="T199" s="916"/>
      <c r="U199" s="916"/>
      <c r="V199" s="916"/>
      <c r="W199" s="916"/>
      <c r="X199" s="916"/>
      <c r="Y199" s="916"/>
      <c r="Z199" s="916"/>
      <c r="AA199" s="916"/>
      <c r="AB199" s="916"/>
      <c r="AC199" s="916"/>
      <c r="AD199" s="916"/>
      <c r="AE199" s="916"/>
      <c r="AF199" s="916"/>
      <c r="AG199" s="916"/>
      <c r="AH199" s="916"/>
      <c r="AI199" s="916"/>
      <c r="AJ199" s="916"/>
      <c r="AK199" s="916"/>
      <c r="AL199" s="916"/>
      <c r="AM199" s="916"/>
      <c r="AN199" s="916"/>
      <c r="AO199" s="916"/>
      <c r="AP199" s="916"/>
      <c r="AQ199" s="916"/>
      <c r="AR199" s="916"/>
      <c r="AS199" s="916"/>
      <c r="AT199" s="916"/>
      <c r="AU199" s="916"/>
      <c r="AV199" s="916"/>
    </row>
    <row r="200" ht="14.25" customHeight="1">
      <c r="A200" s="916"/>
      <c r="B200" s="917"/>
      <c r="C200" s="941"/>
      <c r="D200" s="941"/>
      <c r="F200" s="916"/>
      <c r="G200" s="926"/>
      <c r="H200" s="916"/>
      <c r="I200" s="916"/>
      <c r="J200" s="916"/>
      <c r="K200" s="916"/>
      <c r="L200" s="916"/>
      <c r="M200" s="916"/>
      <c r="N200" s="916"/>
      <c r="O200" s="916"/>
      <c r="P200" s="916"/>
      <c r="Q200" s="916"/>
      <c r="R200" s="916"/>
      <c r="S200" s="916"/>
      <c r="T200" s="916"/>
      <c r="U200" s="916"/>
      <c r="V200" s="916"/>
      <c r="W200" s="916"/>
      <c r="X200" s="916"/>
      <c r="Y200" s="916"/>
      <c r="Z200" s="916"/>
      <c r="AA200" s="916"/>
      <c r="AB200" s="916"/>
      <c r="AC200" s="916"/>
      <c r="AD200" s="916"/>
      <c r="AE200" s="916"/>
      <c r="AF200" s="916"/>
      <c r="AG200" s="916"/>
      <c r="AH200" s="916"/>
      <c r="AI200" s="916"/>
      <c r="AJ200" s="916"/>
      <c r="AK200" s="916"/>
      <c r="AL200" s="916"/>
      <c r="AM200" s="916"/>
      <c r="AN200" s="916"/>
      <c r="AO200" s="916"/>
      <c r="AP200" s="916"/>
      <c r="AQ200" s="916"/>
      <c r="AR200" s="916"/>
      <c r="AS200" s="916"/>
      <c r="AT200" s="916"/>
      <c r="AU200" s="916"/>
      <c r="AV200" s="916"/>
    </row>
    <row r="201" ht="14.25" customHeight="1">
      <c r="A201" s="916"/>
      <c r="B201" s="917"/>
      <c r="C201" s="941"/>
      <c r="D201" s="916" t="s">
        <v>860</v>
      </c>
      <c r="E201" s="916"/>
      <c r="F201" s="916"/>
      <c r="G201" s="916"/>
      <c r="H201" s="916"/>
      <c r="I201" s="916"/>
      <c r="J201" s="916"/>
      <c r="K201" s="916"/>
      <c r="L201" s="916"/>
      <c r="M201" s="916"/>
      <c r="N201" s="916"/>
      <c r="O201" s="916"/>
      <c r="P201" s="916"/>
      <c r="Q201" s="916"/>
      <c r="R201" s="916"/>
      <c r="S201" s="916"/>
      <c r="T201" s="916"/>
      <c r="U201" s="916"/>
      <c r="V201" s="916"/>
      <c r="W201" s="916"/>
      <c r="X201" s="916"/>
      <c r="Y201" s="916"/>
      <c r="Z201" s="916"/>
      <c r="AA201" s="916"/>
      <c r="AB201" s="916"/>
      <c r="AC201" s="916"/>
      <c r="AD201" s="916"/>
      <c r="AE201" s="916"/>
      <c r="AF201" s="916"/>
      <c r="AG201" s="916"/>
      <c r="AH201" s="916"/>
      <c r="AI201" s="916"/>
      <c r="AJ201" s="916"/>
      <c r="AK201" s="916"/>
      <c r="AL201" s="916"/>
      <c r="AM201" s="916"/>
      <c r="AN201" s="916"/>
      <c r="AO201" s="916"/>
      <c r="AP201" s="916"/>
      <c r="AQ201" s="916"/>
      <c r="AR201" s="916"/>
      <c r="AS201" s="916"/>
      <c r="AT201" s="916"/>
      <c r="AU201" s="916"/>
      <c r="AV201" s="916"/>
    </row>
    <row r="202" ht="14.25" customHeight="1">
      <c r="A202" s="916"/>
      <c r="B202" s="917" t="s">
        <v>861</v>
      </c>
      <c r="C202" s="941"/>
      <c r="D202" s="967" t="s">
        <v>862</v>
      </c>
      <c r="E202" s="968"/>
      <c r="F202" s="968"/>
      <c r="G202" s="968"/>
      <c r="H202" s="968"/>
      <c r="I202" s="968"/>
      <c r="J202" s="969"/>
      <c r="K202" s="916"/>
      <c r="Q202" s="916"/>
      <c r="R202" s="916"/>
      <c r="S202" s="916"/>
      <c r="T202" s="916"/>
      <c r="U202" s="916"/>
      <c r="V202" s="916"/>
      <c r="W202" s="916"/>
      <c r="X202" s="916"/>
      <c r="Y202" s="916"/>
      <c r="Z202" s="916"/>
      <c r="AA202" s="916"/>
      <c r="AB202" s="916"/>
      <c r="AC202" s="916"/>
      <c r="AD202" s="916"/>
      <c r="AE202" s="916"/>
      <c r="AF202" s="916"/>
      <c r="AG202" s="916"/>
      <c r="AH202" s="916"/>
      <c r="AI202" s="916"/>
      <c r="AJ202" s="916"/>
      <c r="AK202" s="916"/>
      <c r="AL202" s="916"/>
      <c r="AM202" s="916"/>
      <c r="AN202" s="916"/>
      <c r="AO202" s="916"/>
      <c r="AP202" s="916"/>
      <c r="AQ202" s="916"/>
      <c r="AR202" s="916"/>
      <c r="AS202" s="916"/>
      <c r="AT202" s="916"/>
      <c r="AU202" s="916"/>
      <c r="AV202" s="916"/>
    </row>
    <row r="203" ht="14.25" customHeight="1">
      <c r="A203" s="916"/>
      <c r="B203" s="917"/>
      <c r="C203" s="941"/>
      <c r="D203" s="970"/>
      <c r="E203" s="920"/>
      <c r="F203" s="920"/>
      <c r="G203" s="920"/>
      <c r="H203" s="920"/>
      <c r="I203" s="920"/>
      <c r="J203" s="971"/>
      <c r="K203" s="916"/>
      <c r="Q203" s="916"/>
      <c r="R203" s="916"/>
      <c r="S203" s="916"/>
      <c r="T203" s="916"/>
      <c r="U203" s="916"/>
      <c r="V203" s="916"/>
      <c r="W203" s="916"/>
      <c r="X203" s="916"/>
      <c r="Y203" s="916"/>
      <c r="Z203" s="916"/>
      <c r="AA203" s="916"/>
      <c r="AB203" s="916"/>
      <c r="AC203" s="916"/>
      <c r="AD203" s="916"/>
      <c r="AE203" s="916"/>
      <c r="AF203" s="916"/>
      <c r="AG203" s="916"/>
      <c r="AH203" s="916"/>
      <c r="AI203" s="916"/>
      <c r="AJ203" s="916"/>
      <c r="AK203" s="916"/>
      <c r="AL203" s="916"/>
      <c r="AM203" s="916"/>
      <c r="AN203" s="916"/>
      <c r="AO203" s="916"/>
      <c r="AP203" s="916"/>
      <c r="AQ203" s="916"/>
      <c r="AR203" s="916"/>
      <c r="AS203" s="916"/>
      <c r="AT203" s="916"/>
      <c r="AU203" s="916"/>
      <c r="AV203" s="916"/>
    </row>
    <row r="204" ht="14.25" customHeight="1">
      <c r="A204" s="916"/>
      <c r="B204" s="917"/>
      <c r="C204" s="941"/>
      <c r="D204" s="916"/>
      <c r="E204" s="916"/>
      <c r="F204" s="916"/>
      <c r="G204" s="916"/>
      <c r="H204" s="916"/>
      <c r="I204" s="916"/>
      <c r="J204" s="916"/>
      <c r="K204" s="916"/>
      <c r="Q204" s="916"/>
      <c r="R204" s="916"/>
      <c r="S204" s="916"/>
      <c r="T204" s="916"/>
      <c r="U204" s="916"/>
      <c r="V204" s="916"/>
      <c r="W204" s="916"/>
      <c r="X204" s="916"/>
      <c r="Y204" s="916"/>
      <c r="Z204" s="916"/>
      <c r="AA204" s="916"/>
      <c r="AB204" s="916"/>
      <c r="AC204" s="916"/>
      <c r="AD204" s="916"/>
      <c r="AE204" s="916"/>
      <c r="AF204" s="916"/>
      <c r="AG204" s="916"/>
      <c r="AH204" s="916"/>
      <c r="AI204" s="916"/>
      <c r="AJ204" s="916"/>
      <c r="AK204" s="916"/>
      <c r="AL204" s="916"/>
      <c r="AM204" s="916"/>
      <c r="AN204" s="916"/>
      <c r="AO204" s="916"/>
      <c r="AP204" s="916"/>
      <c r="AQ204" s="916"/>
      <c r="AR204" s="916"/>
      <c r="AS204" s="916"/>
      <c r="AT204" s="916"/>
      <c r="AU204" s="916"/>
      <c r="AV204" s="916"/>
    </row>
    <row r="205" ht="14.25" customHeight="1">
      <c r="A205" s="916"/>
      <c r="B205" s="917"/>
      <c r="C205" s="941"/>
      <c r="D205" s="921" t="s">
        <v>863</v>
      </c>
      <c r="E205" s="916"/>
      <c r="F205" s="916"/>
      <c r="G205" s="916"/>
      <c r="H205" s="916"/>
      <c r="I205" s="916"/>
      <c r="J205" s="916"/>
      <c r="K205" s="916"/>
      <c r="Q205" s="916"/>
      <c r="R205" s="916"/>
      <c r="S205" s="916"/>
      <c r="T205" s="916"/>
      <c r="U205" s="916"/>
      <c r="V205" s="916"/>
      <c r="W205" s="916"/>
      <c r="X205" s="916"/>
      <c r="Y205" s="916"/>
      <c r="Z205" s="916"/>
      <c r="AA205" s="916"/>
      <c r="AB205" s="916"/>
      <c r="AC205" s="916"/>
      <c r="AD205" s="916"/>
      <c r="AE205" s="916"/>
      <c r="AF205" s="916"/>
      <c r="AG205" s="916"/>
      <c r="AH205" s="916"/>
      <c r="AI205" s="916"/>
      <c r="AJ205" s="916"/>
      <c r="AK205" s="916"/>
      <c r="AL205" s="916"/>
      <c r="AM205" s="916"/>
      <c r="AN205" s="916"/>
      <c r="AO205" s="916"/>
      <c r="AP205" s="916"/>
      <c r="AQ205" s="916"/>
      <c r="AR205" s="916"/>
      <c r="AS205" s="916"/>
      <c r="AT205" s="916"/>
      <c r="AU205" s="916"/>
      <c r="AV205" s="916"/>
    </row>
    <row r="206" ht="14.25" customHeight="1">
      <c r="A206" s="916"/>
      <c r="B206" s="917" t="s">
        <v>861</v>
      </c>
      <c r="C206" s="941">
        <v>1.0</v>
      </c>
      <c r="D206" s="972" t="s">
        <v>864</v>
      </c>
      <c r="E206" s="973"/>
      <c r="F206" s="973"/>
      <c r="G206" s="973"/>
      <c r="H206" s="973"/>
      <c r="I206" s="974"/>
      <c r="J206" s="930"/>
      <c r="K206" s="916"/>
      <c r="Q206" s="916"/>
      <c r="R206" s="916"/>
      <c r="S206" s="916"/>
      <c r="T206" s="916"/>
      <c r="U206" s="916"/>
      <c r="V206" s="916"/>
      <c r="W206" s="916"/>
      <c r="X206" s="916"/>
      <c r="Y206" s="916"/>
      <c r="Z206" s="916"/>
      <c r="AA206" s="916"/>
      <c r="AB206" s="916"/>
      <c r="AC206" s="916"/>
      <c r="AD206" s="916"/>
      <c r="AE206" s="916"/>
      <c r="AF206" s="916"/>
      <c r="AG206" s="916"/>
      <c r="AH206" s="916"/>
      <c r="AI206" s="916"/>
      <c r="AJ206" s="916"/>
      <c r="AK206" s="916"/>
      <c r="AL206" s="916"/>
      <c r="AM206" s="916"/>
      <c r="AN206" s="916"/>
      <c r="AO206" s="916"/>
      <c r="AP206" s="916"/>
      <c r="AQ206" s="916"/>
      <c r="AR206" s="916"/>
      <c r="AS206" s="916"/>
      <c r="AT206" s="916"/>
      <c r="AU206" s="916"/>
      <c r="AV206" s="916"/>
    </row>
    <row r="207" ht="14.25" customHeight="1">
      <c r="A207" s="916"/>
      <c r="B207" s="917" t="s">
        <v>861</v>
      </c>
      <c r="C207" s="941">
        <v>2.0</v>
      </c>
      <c r="D207" s="970" t="s">
        <v>865</v>
      </c>
      <c r="E207" s="920"/>
      <c r="F207" s="920"/>
      <c r="G207" s="920"/>
      <c r="H207" s="920"/>
      <c r="I207" s="920"/>
      <c r="J207" s="971"/>
      <c r="K207" s="916"/>
      <c r="Q207" s="916"/>
      <c r="R207" s="916"/>
      <c r="S207" s="916"/>
      <c r="T207" s="916"/>
      <c r="U207" s="916"/>
      <c r="V207" s="916"/>
      <c r="W207" s="916"/>
      <c r="X207" s="916"/>
      <c r="Y207" s="916"/>
      <c r="Z207" s="916"/>
      <c r="AA207" s="916"/>
      <c r="AB207" s="916"/>
      <c r="AC207" s="916"/>
      <c r="AD207" s="916"/>
      <c r="AE207" s="916"/>
      <c r="AF207" s="916"/>
      <c r="AG207" s="916"/>
      <c r="AH207" s="916"/>
      <c r="AI207" s="916"/>
      <c r="AJ207" s="916"/>
      <c r="AK207" s="916"/>
      <c r="AL207" s="916"/>
      <c r="AM207" s="916"/>
      <c r="AN207" s="916"/>
      <c r="AO207" s="916"/>
      <c r="AP207" s="916"/>
      <c r="AQ207" s="916"/>
      <c r="AR207" s="916"/>
      <c r="AS207" s="916"/>
      <c r="AT207" s="916"/>
      <c r="AU207" s="916"/>
      <c r="AV207" s="916"/>
    </row>
    <row r="208" ht="14.25" customHeight="1">
      <c r="A208" s="916"/>
      <c r="B208" s="917" t="s">
        <v>861</v>
      </c>
      <c r="C208" s="941">
        <v>3.0</v>
      </c>
      <c r="D208" s="972" t="s">
        <v>866</v>
      </c>
      <c r="E208" s="974"/>
      <c r="F208" s="974"/>
      <c r="G208" s="974"/>
      <c r="H208" s="974"/>
      <c r="I208" s="974"/>
      <c r="J208" s="930"/>
      <c r="K208" s="916"/>
      <c r="Q208" s="916"/>
      <c r="R208" s="916"/>
      <c r="S208" s="916"/>
      <c r="T208" s="916"/>
      <c r="U208" s="916"/>
      <c r="V208" s="916"/>
      <c r="W208" s="916"/>
      <c r="X208" s="916"/>
      <c r="Y208" s="916"/>
      <c r="Z208" s="916"/>
      <c r="AA208" s="916"/>
      <c r="AB208" s="916"/>
      <c r="AC208" s="916"/>
      <c r="AD208" s="916"/>
      <c r="AE208" s="916"/>
      <c r="AF208" s="916"/>
      <c r="AG208" s="916"/>
      <c r="AH208" s="916"/>
      <c r="AI208" s="916"/>
      <c r="AJ208" s="916"/>
      <c r="AK208" s="916"/>
      <c r="AL208" s="916"/>
      <c r="AM208" s="916"/>
      <c r="AN208" s="916"/>
      <c r="AO208" s="916"/>
      <c r="AP208" s="916"/>
      <c r="AQ208" s="916"/>
      <c r="AR208" s="916"/>
      <c r="AS208" s="916"/>
      <c r="AT208" s="916"/>
      <c r="AU208" s="916"/>
      <c r="AV208" s="916"/>
    </row>
    <row r="209" ht="14.25" customHeight="1">
      <c r="A209" s="916"/>
      <c r="B209" s="917" t="s">
        <v>750</v>
      </c>
      <c r="C209" s="941">
        <v>4.0</v>
      </c>
      <c r="D209" s="972"/>
      <c r="E209" s="916"/>
      <c r="F209" s="916"/>
      <c r="G209" s="916"/>
      <c r="H209" s="916"/>
      <c r="I209" s="916"/>
      <c r="J209" s="969"/>
      <c r="K209" s="916"/>
      <c r="Q209" s="916"/>
      <c r="R209" s="916"/>
      <c r="S209" s="916"/>
      <c r="T209" s="916"/>
      <c r="U209" s="916"/>
      <c r="V209" s="916"/>
      <c r="W209" s="916"/>
      <c r="X209" s="916"/>
      <c r="Y209" s="916"/>
      <c r="Z209" s="916"/>
      <c r="AA209" s="916"/>
      <c r="AB209" s="916"/>
      <c r="AC209" s="916"/>
      <c r="AD209" s="916"/>
      <c r="AE209" s="916"/>
      <c r="AF209" s="916"/>
      <c r="AG209" s="916"/>
      <c r="AH209" s="916"/>
      <c r="AI209" s="916"/>
      <c r="AJ209" s="916"/>
      <c r="AK209" s="916"/>
      <c r="AL209" s="916"/>
      <c r="AM209" s="916"/>
      <c r="AN209" s="916"/>
      <c r="AO209" s="916"/>
      <c r="AP209" s="916"/>
      <c r="AQ209" s="916"/>
      <c r="AR209" s="916"/>
      <c r="AS209" s="916"/>
      <c r="AT209" s="916"/>
      <c r="AU209" s="916"/>
      <c r="AV209" s="916"/>
    </row>
    <row r="210" ht="14.25" customHeight="1">
      <c r="A210" s="916"/>
      <c r="B210" s="917" t="s">
        <v>750</v>
      </c>
      <c r="C210" s="941">
        <v>5.0</v>
      </c>
      <c r="D210" s="975"/>
      <c r="E210" s="974"/>
      <c r="F210" s="974"/>
      <c r="G210" s="974"/>
      <c r="H210" s="974"/>
      <c r="I210" s="974"/>
      <c r="J210" s="930"/>
      <c r="K210" s="916"/>
      <c r="Q210" s="916"/>
      <c r="R210" s="916"/>
      <c r="S210" s="916"/>
      <c r="T210" s="916"/>
      <c r="U210" s="916"/>
      <c r="V210" s="916"/>
      <c r="W210" s="916"/>
      <c r="X210" s="916"/>
      <c r="Y210" s="916"/>
      <c r="Z210" s="916"/>
      <c r="AA210" s="916"/>
      <c r="AB210" s="916"/>
      <c r="AC210" s="916"/>
      <c r="AD210" s="916"/>
      <c r="AE210" s="916"/>
      <c r="AF210" s="916"/>
      <c r="AG210" s="916"/>
      <c r="AH210" s="916"/>
      <c r="AI210" s="916"/>
      <c r="AJ210" s="916"/>
      <c r="AK210" s="916"/>
      <c r="AL210" s="916"/>
      <c r="AM210" s="916"/>
      <c r="AN210" s="916"/>
      <c r="AO210" s="916"/>
      <c r="AP210" s="916"/>
      <c r="AQ210" s="916"/>
      <c r="AR210" s="916"/>
      <c r="AS210" s="916"/>
      <c r="AT210" s="916"/>
      <c r="AU210" s="916"/>
      <c r="AV210" s="916"/>
    </row>
    <row r="211" ht="14.25" customHeight="1">
      <c r="A211" s="916"/>
      <c r="B211" s="917" t="s">
        <v>750</v>
      </c>
      <c r="C211" s="941">
        <v>6.0</v>
      </c>
      <c r="D211" s="975"/>
      <c r="E211" s="974"/>
      <c r="F211" s="974"/>
      <c r="G211" s="974"/>
      <c r="H211" s="974"/>
      <c r="I211" s="974"/>
      <c r="J211" s="930"/>
      <c r="K211" s="916"/>
      <c r="P211" s="916"/>
      <c r="Q211" s="916"/>
      <c r="R211" s="916"/>
      <c r="S211" s="916"/>
      <c r="T211" s="916"/>
      <c r="U211" s="916"/>
      <c r="V211" s="916"/>
      <c r="W211" s="916"/>
      <c r="X211" s="916"/>
      <c r="Y211" s="916"/>
      <c r="Z211" s="916"/>
      <c r="AA211" s="916"/>
      <c r="AB211" s="916"/>
      <c r="AC211" s="916"/>
      <c r="AD211" s="916"/>
      <c r="AE211" s="916"/>
      <c r="AF211" s="916"/>
      <c r="AG211" s="916"/>
      <c r="AH211" s="916"/>
      <c r="AI211" s="916"/>
      <c r="AJ211" s="916"/>
      <c r="AK211" s="916"/>
      <c r="AL211" s="916"/>
      <c r="AM211" s="916"/>
      <c r="AN211" s="916"/>
      <c r="AO211" s="916"/>
      <c r="AP211" s="916"/>
      <c r="AQ211" s="916"/>
      <c r="AR211" s="916"/>
      <c r="AS211" s="916"/>
      <c r="AT211" s="916"/>
      <c r="AU211" s="916"/>
      <c r="AV211" s="916"/>
    </row>
    <row r="212" ht="14.25" customHeight="1">
      <c r="A212" s="916"/>
      <c r="B212" s="917" t="s">
        <v>750</v>
      </c>
      <c r="C212" s="941">
        <v>7.0</v>
      </c>
      <c r="D212" s="975"/>
      <c r="E212" s="974"/>
      <c r="F212" s="974"/>
      <c r="G212" s="974"/>
      <c r="H212" s="974"/>
      <c r="I212" s="974"/>
      <c r="J212" s="930"/>
      <c r="K212" s="916"/>
      <c r="L212" s="916"/>
      <c r="M212" s="916"/>
      <c r="N212" s="916"/>
      <c r="O212" s="916"/>
      <c r="P212" s="916"/>
      <c r="Q212" s="916"/>
      <c r="R212" s="916"/>
      <c r="S212" s="916"/>
      <c r="T212" s="916"/>
      <c r="U212" s="916"/>
      <c r="V212" s="916"/>
      <c r="W212" s="916"/>
      <c r="X212" s="916"/>
      <c r="Y212" s="916"/>
      <c r="Z212" s="916"/>
      <c r="AA212" s="916"/>
      <c r="AB212" s="916"/>
      <c r="AC212" s="916"/>
      <c r="AD212" s="916"/>
      <c r="AE212" s="916"/>
      <c r="AF212" s="916"/>
      <c r="AG212" s="916"/>
      <c r="AH212" s="916"/>
      <c r="AI212" s="916"/>
      <c r="AJ212" s="916"/>
      <c r="AK212" s="916"/>
      <c r="AL212" s="916"/>
      <c r="AM212" s="916"/>
      <c r="AN212" s="916"/>
      <c r="AO212" s="916"/>
      <c r="AP212" s="916"/>
      <c r="AQ212" s="916"/>
      <c r="AR212" s="916"/>
      <c r="AS212" s="916"/>
      <c r="AT212" s="916"/>
      <c r="AU212" s="916"/>
      <c r="AV212" s="916"/>
      <c r="AW212" s="916"/>
      <c r="AX212" s="916"/>
      <c r="AY212" s="916"/>
      <c r="AZ212" s="916"/>
      <c r="BA212" s="916"/>
      <c r="BB212" s="916"/>
      <c r="BC212" s="916"/>
      <c r="BD212" s="916"/>
      <c r="BE212" s="916"/>
      <c r="BF212" s="916"/>
    </row>
    <row r="213" ht="14.25" customHeight="1">
      <c r="A213" s="916"/>
      <c r="B213" s="917" t="s">
        <v>750</v>
      </c>
      <c r="C213" s="941">
        <v>8.0</v>
      </c>
      <c r="D213" s="975"/>
      <c r="E213" s="974"/>
      <c r="F213" s="974"/>
      <c r="G213" s="974"/>
      <c r="H213" s="974"/>
      <c r="I213" s="974"/>
      <c r="J213" s="930"/>
      <c r="K213" s="916"/>
      <c r="L213" s="916"/>
      <c r="M213" s="916"/>
      <c r="N213" s="916"/>
      <c r="O213" s="916"/>
      <c r="P213" s="916"/>
      <c r="Q213" s="916"/>
      <c r="R213" s="916"/>
      <c r="S213" s="916"/>
      <c r="T213" s="916"/>
      <c r="U213" s="916"/>
      <c r="V213" s="916"/>
      <c r="W213" s="916"/>
      <c r="X213" s="916"/>
      <c r="Y213" s="916"/>
      <c r="Z213" s="916"/>
      <c r="AA213" s="916"/>
      <c r="AB213" s="916"/>
      <c r="AC213" s="916"/>
      <c r="AD213" s="916"/>
      <c r="AE213" s="916"/>
      <c r="AF213" s="916"/>
      <c r="AG213" s="916"/>
      <c r="AH213" s="916"/>
      <c r="AI213" s="916"/>
      <c r="AJ213" s="916"/>
      <c r="AK213" s="916"/>
      <c r="AL213" s="916"/>
      <c r="AM213" s="916"/>
      <c r="AN213" s="916"/>
      <c r="AO213" s="916"/>
      <c r="AP213" s="916"/>
      <c r="AQ213" s="916"/>
      <c r="AR213" s="916"/>
      <c r="AS213" s="916"/>
      <c r="AT213" s="916"/>
      <c r="AU213" s="916"/>
      <c r="AV213" s="916"/>
      <c r="AW213" s="916"/>
      <c r="AX213" s="916"/>
      <c r="AY213" s="916"/>
      <c r="AZ213" s="916"/>
      <c r="BA213" s="916"/>
      <c r="BB213" s="916"/>
      <c r="BC213" s="916"/>
      <c r="BD213" s="916"/>
      <c r="BE213" s="916"/>
      <c r="BF213" s="916"/>
    </row>
    <row r="214" ht="14.25" customHeight="1">
      <c r="A214" s="916"/>
      <c r="B214" s="917" t="s">
        <v>750</v>
      </c>
      <c r="C214" s="941">
        <v>9.0</v>
      </c>
      <c r="D214" s="975"/>
      <c r="E214" s="974"/>
      <c r="F214" s="974"/>
      <c r="G214" s="974"/>
      <c r="H214" s="974"/>
      <c r="I214" s="974"/>
      <c r="J214" s="930"/>
      <c r="K214" s="916"/>
      <c r="L214" s="916"/>
      <c r="M214" s="916"/>
      <c r="N214" s="916"/>
      <c r="O214" s="916"/>
      <c r="P214" s="916"/>
      <c r="Q214" s="916"/>
      <c r="R214" s="916"/>
      <c r="S214" s="916"/>
      <c r="T214" s="916"/>
      <c r="U214" s="916"/>
      <c r="V214" s="916"/>
      <c r="W214" s="916"/>
      <c r="X214" s="916"/>
      <c r="Y214" s="916"/>
      <c r="Z214" s="916"/>
      <c r="AA214" s="916"/>
      <c r="AB214" s="916"/>
      <c r="AC214" s="916"/>
      <c r="AD214" s="916"/>
      <c r="AE214" s="916"/>
      <c r="AF214" s="916"/>
      <c r="AG214" s="916"/>
      <c r="AH214" s="916"/>
      <c r="AI214" s="916"/>
      <c r="AJ214" s="916"/>
      <c r="AK214" s="916"/>
      <c r="AL214" s="916"/>
      <c r="AM214" s="916"/>
      <c r="AN214" s="916"/>
      <c r="AO214" s="916"/>
      <c r="AP214" s="916"/>
      <c r="AQ214" s="916"/>
      <c r="AR214" s="916"/>
      <c r="AS214" s="916"/>
      <c r="AT214" s="916"/>
      <c r="AU214" s="916"/>
      <c r="AV214" s="916"/>
      <c r="AW214" s="916"/>
      <c r="AX214" s="916"/>
      <c r="AY214" s="916"/>
      <c r="AZ214" s="916"/>
      <c r="BA214" s="916"/>
      <c r="BB214" s="916"/>
      <c r="BC214" s="916"/>
      <c r="BD214" s="916"/>
      <c r="BE214" s="916"/>
      <c r="BF214" s="916"/>
    </row>
    <row r="215" ht="14.25" customHeight="1">
      <c r="A215" s="916"/>
      <c r="B215" s="917" t="s">
        <v>750</v>
      </c>
      <c r="C215" s="941">
        <v>10.0</v>
      </c>
      <c r="D215" s="975"/>
      <c r="E215" s="974"/>
      <c r="F215" s="974"/>
      <c r="G215" s="974"/>
      <c r="H215" s="974"/>
      <c r="I215" s="974"/>
      <c r="J215" s="930"/>
      <c r="K215" s="916"/>
      <c r="L215" s="916"/>
      <c r="M215" s="916"/>
      <c r="N215" s="916"/>
      <c r="O215" s="916"/>
      <c r="P215" s="916"/>
      <c r="Q215" s="916"/>
      <c r="R215" s="916"/>
      <c r="S215" s="916"/>
      <c r="T215" s="916"/>
      <c r="U215" s="916"/>
      <c r="V215" s="916"/>
      <c r="W215" s="916"/>
      <c r="X215" s="916"/>
      <c r="Y215" s="916"/>
      <c r="Z215" s="916"/>
      <c r="AA215" s="916"/>
      <c r="AB215" s="916"/>
      <c r="AC215" s="916"/>
      <c r="AD215" s="916"/>
      <c r="AE215" s="916"/>
      <c r="AF215" s="916"/>
      <c r="AG215" s="916"/>
      <c r="AH215" s="916"/>
      <c r="AI215" s="916"/>
      <c r="AJ215" s="916"/>
      <c r="AK215" s="916"/>
      <c r="AL215" s="916"/>
      <c r="AM215" s="916"/>
      <c r="AN215" s="916"/>
      <c r="AO215" s="916"/>
      <c r="AP215" s="916"/>
      <c r="AQ215" s="916"/>
      <c r="AR215" s="916"/>
      <c r="AS215" s="916"/>
      <c r="AT215" s="916"/>
      <c r="AU215" s="916"/>
      <c r="AV215" s="916"/>
      <c r="AW215" s="916"/>
      <c r="AX215" s="916"/>
      <c r="AY215" s="916"/>
      <c r="AZ215" s="916"/>
      <c r="BA215" s="916"/>
      <c r="BB215" s="916"/>
      <c r="BC215" s="916"/>
      <c r="BD215" s="916"/>
      <c r="BE215" s="916"/>
      <c r="BF215" s="916"/>
    </row>
    <row r="216" ht="14.25" customHeight="1">
      <c r="A216" s="916"/>
      <c r="B216" s="917" t="s">
        <v>750</v>
      </c>
      <c r="C216" s="941">
        <v>11.0</v>
      </c>
      <c r="D216" s="975"/>
      <c r="E216" s="974"/>
      <c r="F216" s="974"/>
      <c r="G216" s="974"/>
      <c r="H216" s="974"/>
      <c r="I216" s="974"/>
      <c r="J216" s="930"/>
      <c r="K216" s="916"/>
      <c r="L216" s="916"/>
      <c r="M216" s="916"/>
      <c r="N216" s="916"/>
      <c r="O216" s="916"/>
      <c r="P216" s="916"/>
      <c r="Q216" s="916"/>
      <c r="R216" s="916"/>
      <c r="S216" s="916"/>
      <c r="T216" s="916"/>
      <c r="U216" s="916"/>
      <c r="V216" s="916"/>
      <c r="W216" s="916"/>
      <c r="X216" s="916"/>
      <c r="Y216" s="916"/>
      <c r="Z216" s="916"/>
      <c r="AA216" s="916"/>
      <c r="AB216" s="916"/>
      <c r="AC216" s="916"/>
      <c r="AD216" s="916"/>
      <c r="AE216" s="916"/>
      <c r="AF216" s="916"/>
      <c r="AG216" s="916"/>
      <c r="AH216" s="916"/>
      <c r="AI216" s="916"/>
      <c r="AJ216" s="916"/>
      <c r="AK216" s="916"/>
      <c r="AL216" s="916"/>
      <c r="AM216" s="916"/>
      <c r="AN216" s="916"/>
      <c r="AO216" s="916"/>
      <c r="AP216" s="916"/>
      <c r="AQ216" s="916"/>
      <c r="AR216" s="916"/>
      <c r="AS216" s="916"/>
      <c r="AT216" s="916"/>
      <c r="AU216" s="916"/>
      <c r="AV216" s="916"/>
      <c r="AW216" s="916"/>
      <c r="AX216" s="916"/>
      <c r="AY216" s="916"/>
      <c r="AZ216" s="916"/>
      <c r="BA216" s="916"/>
      <c r="BB216" s="916"/>
      <c r="BC216" s="916"/>
      <c r="BD216" s="916"/>
      <c r="BE216" s="916"/>
      <c r="BF216" s="916"/>
    </row>
    <row r="217" ht="14.25" customHeight="1">
      <c r="A217" s="916"/>
      <c r="B217" s="917" t="s">
        <v>750</v>
      </c>
      <c r="C217" s="941">
        <v>12.0</v>
      </c>
      <c r="D217" s="975"/>
      <c r="E217" s="974"/>
      <c r="F217" s="974"/>
      <c r="G217" s="974"/>
      <c r="H217" s="974"/>
      <c r="I217" s="974"/>
      <c r="J217" s="930"/>
      <c r="K217" s="916"/>
      <c r="L217" s="916"/>
      <c r="M217" s="916"/>
      <c r="N217" s="916"/>
      <c r="O217" s="916"/>
      <c r="P217" s="916"/>
      <c r="Q217" s="916"/>
      <c r="R217" s="916"/>
      <c r="S217" s="916"/>
      <c r="T217" s="916"/>
      <c r="U217" s="916"/>
      <c r="V217" s="916"/>
      <c r="W217" s="916"/>
      <c r="X217" s="916"/>
      <c r="Y217" s="916"/>
      <c r="Z217" s="916"/>
      <c r="AA217" s="916"/>
      <c r="AB217" s="916"/>
      <c r="AC217" s="916"/>
      <c r="AD217" s="916"/>
      <c r="AE217" s="916"/>
      <c r="AF217" s="916"/>
      <c r="AG217" s="916"/>
      <c r="AH217" s="916"/>
      <c r="AI217" s="916"/>
      <c r="AJ217" s="916"/>
      <c r="AK217" s="916"/>
      <c r="AL217" s="916"/>
      <c r="AM217" s="916"/>
      <c r="AN217" s="916"/>
      <c r="AO217" s="916"/>
      <c r="AP217" s="916"/>
      <c r="AQ217" s="916"/>
      <c r="AR217" s="916"/>
      <c r="AS217" s="916"/>
      <c r="AT217" s="916"/>
      <c r="AU217" s="916"/>
      <c r="AV217" s="916"/>
      <c r="AW217" s="916"/>
      <c r="AX217" s="916"/>
      <c r="AY217" s="916"/>
      <c r="AZ217" s="916"/>
      <c r="BA217" s="916"/>
      <c r="BB217" s="916"/>
      <c r="BC217" s="916"/>
      <c r="BD217" s="916"/>
      <c r="BE217" s="916"/>
      <c r="BF217" s="916"/>
    </row>
    <row r="218" ht="14.25" customHeight="1">
      <c r="A218" s="916"/>
      <c r="B218" s="942"/>
      <c r="C218" s="943"/>
      <c r="D218" s="944"/>
      <c r="E218" s="945"/>
      <c r="F218" s="945"/>
      <c r="G218" s="945"/>
      <c r="H218" s="945"/>
      <c r="I218" s="945"/>
      <c r="J218" s="945"/>
      <c r="K218" s="945"/>
      <c r="L218" s="945"/>
      <c r="M218" s="945"/>
      <c r="N218" s="945"/>
      <c r="O218" s="945"/>
      <c r="P218" s="916"/>
      <c r="Q218" s="916"/>
      <c r="R218" s="916"/>
      <c r="S218" s="916"/>
      <c r="T218" s="916"/>
      <c r="U218" s="916"/>
      <c r="V218" s="916"/>
      <c r="W218" s="916"/>
      <c r="X218" s="916"/>
      <c r="Y218" s="916"/>
      <c r="Z218" s="916"/>
      <c r="AA218" s="916"/>
      <c r="AB218" s="916"/>
      <c r="AC218" s="916"/>
      <c r="AD218" s="916"/>
      <c r="AE218" s="916"/>
      <c r="AF218" s="916"/>
      <c r="AG218" s="916"/>
      <c r="AH218" s="916"/>
      <c r="AI218" s="916"/>
      <c r="AJ218" s="916"/>
      <c r="AK218" s="916"/>
      <c r="AL218" s="916"/>
      <c r="AM218" s="916"/>
      <c r="AN218" s="916"/>
      <c r="AO218" s="916"/>
      <c r="AP218" s="916"/>
      <c r="AQ218" s="916"/>
      <c r="AR218" s="916"/>
      <c r="AS218" s="916"/>
      <c r="AT218" s="916"/>
      <c r="AU218" s="916"/>
      <c r="AV218" s="916"/>
    </row>
    <row r="219" ht="14.25" customHeight="1">
      <c r="A219" s="916"/>
      <c r="B219" s="946"/>
      <c r="C219" s="941"/>
      <c r="D219" s="947"/>
      <c r="E219" s="916"/>
      <c r="F219" s="916"/>
      <c r="G219" s="916"/>
      <c r="H219" s="916"/>
      <c r="I219" s="916"/>
      <c r="J219" s="916"/>
      <c r="K219" s="916"/>
      <c r="L219" s="916"/>
      <c r="M219" s="916"/>
      <c r="N219" s="916"/>
      <c r="O219" s="916"/>
      <c r="P219" s="916"/>
      <c r="Q219" s="916"/>
      <c r="R219" s="916"/>
      <c r="S219" s="916"/>
      <c r="T219" s="916"/>
      <c r="U219" s="916"/>
      <c r="V219" s="916"/>
      <c r="W219" s="916"/>
      <c r="X219" s="916"/>
      <c r="Y219" s="916"/>
      <c r="Z219" s="916"/>
      <c r="AA219" s="916"/>
      <c r="AB219" s="916"/>
      <c r="AC219" s="916"/>
      <c r="AD219" s="916"/>
      <c r="AE219" s="916"/>
      <c r="AF219" s="916"/>
      <c r="AG219" s="916"/>
      <c r="AH219" s="916"/>
      <c r="AI219" s="916"/>
      <c r="AJ219" s="916"/>
      <c r="AK219" s="916"/>
      <c r="AL219" s="916"/>
      <c r="AM219" s="916"/>
      <c r="AN219" s="916"/>
      <c r="AO219" s="916"/>
      <c r="AP219" s="916"/>
      <c r="AQ219" s="916"/>
      <c r="AR219" s="916"/>
      <c r="AS219" s="916"/>
      <c r="AT219" s="916"/>
      <c r="AU219" s="916"/>
      <c r="AV219" s="916"/>
    </row>
    <row r="220" ht="14.25" customHeight="1">
      <c r="A220" s="916"/>
      <c r="B220" s="946" t="s">
        <v>867</v>
      </c>
      <c r="C220" s="935" t="s">
        <v>758</v>
      </c>
      <c r="D220" s="921" t="s">
        <v>270</v>
      </c>
      <c r="E220" s="916"/>
      <c r="F220" s="916"/>
      <c r="G220" s="916"/>
      <c r="H220" s="916"/>
      <c r="I220" s="916"/>
      <c r="J220" s="916"/>
      <c r="K220" s="916"/>
      <c r="L220" s="916"/>
      <c r="M220" s="916"/>
      <c r="N220" s="916"/>
      <c r="O220" s="916"/>
      <c r="P220" s="916"/>
      <c r="Q220" s="916"/>
      <c r="R220" s="916"/>
      <c r="S220" s="916"/>
      <c r="T220" s="916"/>
      <c r="U220" s="916"/>
      <c r="V220" s="916"/>
      <c r="W220" s="916"/>
      <c r="X220" s="916"/>
      <c r="Y220" s="916"/>
      <c r="Z220" s="916"/>
      <c r="AA220" s="916"/>
      <c r="AB220" s="916"/>
      <c r="AC220" s="916"/>
      <c r="AD220" s="916"/>
      <c r="AE220" s="916"/>
      <c r="AF220" s="916"/>
      <c r="AG220" s="916"/>
      <c r="AH220" s="916"/>
      <c r="AI220" s="916"/>
      <c r="AJ220" s="916"/>
      <c r="AK220" s="916"/>
      <c r="AL220" s="916"/>
      <c r="AM220" s="916"/>
      <c r="AN220" s="916"/>
      <c r="AO220" s="916"/>
      <c r="AP220" s="916"/>
      <c r="AQ220" s="916"/>
      <c r="AR220" s="916"/>
      <c r="AS220" s="916"/>
      <c r="AT220" s="916"/>
      <c r="AU220" s="916"/>
      <c r="AV220" s="916"/>
      <c r="AW220" s="916"/>
      <c r="AX220" s="916"/>
      <c r="AY220" s="916"/>
      <c r="AZ220" s="916"/>
      <c r="BA220" s="916"/>
      <c r="BB220" s="916"/>
      <c r="BC220" s="916"/>
      <c r="BD220" s="916"/>
      <c r="BE220" s="916"/>
      <c r="BF220" s="916"/>
    </row>
    <row r="221" ht="14.25" customHeight="1">
      <c r="A221" s="916"/>
      <c r="B221" s="917"/>
      <c r="C221" s="941"/>
      <c r="D221" s="916"/>
      <c r="E221" s="916"/>
      <c r="F221" s="916"/>
      <c r="G221" s="916"/>
      <c r="H221" s="916"/>
      <c r="I221" s="916"/>
      <c r="J221" s="916"/>
      <c r="K221" s="916"/>
      <c r="L221" s="916"/>
      <c r="M221" s="916"/>
      <c r="N221" s="916"/>
      <c r="O221" s="916"/>
      <c r="P221" s="916"/>
      <c r="Q221" s="916"/>
      <c r="R221" s="916"/>
      <c r="S221" s="916"/>
      <c r="T221" s="916"/>
      <c r="U221" s="916"/>
      <c r="V221" s="916"/>
      <c r="W221" s="916"/>
      <c r="X221" s="916"/>
      <c r="Y221" s="916"/>
      <c r="Z221" s="916"/>
      <c r="AA221" s="916"/>
      <c r="AB221" s="916"/>
      <c r="AC221" s="916"/>
      <c r="AD221" s="916"/>
      <c r="AE221" s="916"/>
      <c r="AF221" s="916"/>
      <c r="AG221" s="916"/>
      <c r="AH221" s="916"/>
      <c r="AI221" s="916"/>
      <c r="AJ221" s="916"/>
      <c r="AK221" s="916"/>
      <c r="AL221" s="916"/>
      <c r="AM221" s="916"/>
      <c r="AN221" s="916"/>
      <c r="AO221" s="916"/>
      <c r="AP221" s="916"/>
      <c r="AQ221" s="916"/>
      <c r="AR221" s="916"/>
      <c r="AS221" s="916"/>
      <c r="AT221" s="916"/>
      <c r="AU221" s="916"/>
      <c r="AV221" s="916"/>
      <c r="AW221" s="916"/>
      <c r="AX221" s="916"/>
      <c r="AY221" s="916"/>
      <c r="AZ221" s="916"/>
      <c r="BA221" s="916"/>
      <c r="BB221" s="916"/>
      <c r="BC221" s="916"/>
      <c r="BD221" s="916"/>
      <c r="BE221" s="916"/>
      <c r="BF221" s="916"/>
    </row>
    <row r="222" ht="14.25" customHeight="1">
      <c r="A222" s="916"/>
      <c r="B222" s="917"/>
      <c r="C222" s="941"/>
      <c r="D222" s="954" t="s">
        <v>868</v>
      </c>
      <c r="E222" s="916"/>
      <c r="F222" s="916"/>
      <c r="G222" s="916"/>
      <c r="H222" s="916"/>
      <c r="I222" s="916"/>
      <c r="J222" s="916"/>
      <c r="K222" s="916"/>
      <c r="L222" s="916"/>
      <c r="M222" s="916"/>
      <c r="N222" s="916"/>
      <c r="O222" s="916"/>
      <c r="P222" s="916"/>
      <c r="Q222" s="916"/>
      <c r="R222" s="916"/>
      <c r="S222" s="916"/>
      <c r="T222" s="916"/>
      <c r="U222" s="916"/>
      <c r="V222" s="916"/>
      <c r="W222" s="916"/>
      <c r="X222" s="916"/>
      <c r="Y222" s="916"/>
      <c r="Z222" s="916"/>
      <c r="AA222" s="916"/>
      <c r="AB222" s="916"/>
      <c r="AC222" s="916"/>
      <c r="AD222" s="916"/>
      <c r="AE222" s="916"/>
      <c r="AF222" s="916"/>
      <c r="AG222" s="916"/>
      <c r="AH222" s="916"/>
      <c r="AI222" s="916"/>
      <c r="AJ222" s="916"/>
      <c r="AK222" s="916"/>
      <c r="AL222" s="916"/>
      <c r="AM222" s="916"/>
      <c r="AN222" s="916"/>
      <c r="AO222" s="916"/>
      <c r="AP222" s="916"/>
      <c r="AQ222" s="916"/>
      <c r="AR222" s="916"/>
      <c r="AS222" s="916"/>
      <c r="AT222" s="916"/>
      <c r="AU222" s="916"/>
      <c r="AV222" s="916"/>
      <c r="AW222" s="916"/>
      <c r="AX222" s="916"/>
      <c r="AY222" s="916"/>
      <c r="AZ222" s="916"/>
      <c r="BA222" s="916"/>
      <c r="BB222" s="916"/>
      <c r="BC222" s="916"/>
      <c r="BD222" s="916"/>
      <c r="BE222" s="916"/>
      <c r="BF222" s="916"/>
    </row>
    <row r="223" ht="14.25" customHeight="1">
      <c r="A223" s="916"/>
      <c r="B223" s="946" t="s">
        <v>868</v>
      </c>
      <c r="C223" s="941" t="s">
        <v>869</v>
      </c>
      <c r="D223" s="936" t="s">
        <v>870</v>
      </c>
      <c r="E223" s="936"/>
      <c r="F223" s="916"/>
      <c r="G223" s="936"/>
      <c r="M223" s="916"/>
      <c r="N223" s="916"/>
      <c r="O223" s="916"/>
      <c r="P223" s="916"/>
      <c r="Q223" s="916"/>
      <c r="R223" s="916"/>
      <c r="S223" s="916"/>
      <c r="T223" s="916"/>
      <c r="U223" s="916"/>
      <c r="V223" s="916"/>
      <c r="W223" s="916"/>
      <c r="X223" s="916"/>
      <c r="Y223" s="916"/>
      <c r="Z223" s="916"/>
      <c r="AA223" s="916"/>
      <c r="AB223" s="916"/>
      <c r="AC223" s="916"/>
      <c r="AD223" s="916"/>
      <c r="AE223" s="916"/>
      <c r="AF223" s="916"/>
      <c r="AG223" s="916"/>
      <c r="AH223" s="916"/>
      <c r="AI223" s="916"/>
      <c r="AJ223" s="916"/>
      <c r="AK223" s="916"/>
      <c r="AL223" s="916"/>
      <c r="AM223" s="916"/>
      <c r="AN223" s="916"/>
      <c r="AO223" s="916"/>
      <c r="AP223" s="916"/>
      <c r="AQ223" s="916"/>
      <c r="AR223" s="916"/>
      <c r="AS223" s="916"/>
      <c r="AT223" s="916"/>
      <c r="AU223" s="916"/>
      <c r="AV223" s="916"/>
      <c r="AW223" s="916"/>
      <c r="AX223" s="916"/>
      <c r="AY223" s="916"/>
      <c r="AZ223" s="916"/>
      <c r="BA223" s="916"/>
      <c r="BB223" s="916"/>
      <c r="BC223" s="916"/>
      <c r="BD223" s="916"/>
      <c r="BE223" s="916"/>
      <c r="BF223" s="916"/>
    </row>
    <row r="224" ht="14.25" customHeight="1">
      <c r="A224" s="916"/>
      <c r="B224" s="917"/>
      <c r="C224" s="941" t="s">
        <v>869</v>
      </c>
      <c r="D224" s="936" t="s">
        <v>871</v>
      </c>
      <c r="E224" s="936"/>
      <c r="F224" s="936"/>
      <c r="G224" s="936"/>
      <c r="M224" s="916"/>
      <c r="N224" s="916"/>
      <c r="O224" s="916"/>
      <c r="P224" s="916"/>
      <c r="Q224" s="916"/>
      <c r="R224" s="916"/>
      <c r="S224" s="916"/>
      <c r="T224" s="916"/>
      <c r="U224" s="916"/>
      <c r="V224" s="916"/>
      <c r="W224" s="916"/>
      <c r="X224" s="916"/>
      <c r="Y224" s="916"/>
      <c r="Z224" s="916"/>
      <c r="AA224" s="916"/>
      <c r="AB224" s="916"/>
      <c r="AC224" s="916"/>
      <c r="AD224" s="916"/>
      <c r="AE224" s="916"/>
      <c r="AF224" s="916"/>
      <c r="AG224" s="916"/>
      <c r="AH224" s="916"/>
      <c r="AI224" s="916"/>
      <c r="AJ224" s="916"/>
      <c r="AK224" s="916"/>
      <c r="AL224" s="916"/>
      <c r="AM224" s="916"/>
      <c r="AN224" s="916"/>
      <c r="AO224" s="916"/>
      <c r="AP224" s="916"/>
      <c r="AQ224" s="916"/>
      <c r="AR224" s="916"/>
      <c r="AS224" s="916"/>
      <c r="AT224" s="916"/>
      <c r="AU224" s="916"/>
      <c r="AV224" s="916"/>
      <c r="AW224" s="916"/>
      <c r="AX224" s="916"/>
      <c r="AY224" s="916"/>
      <c r="AZ224" s="916"/>
      <c r="BA224" s="916"/>
      <c r="BB224" s="916"/>
      <c r="BC224" s="916"/>
      <c r="BD224" s="916"/>
      <c r="BE224" s="916"/>
      <c r="BF224" s="916"/>
    </row>
    <row r="225" ht="14.25" customHeight="1">
      <c r="A225" s="916"/>
      <c r="B225" s="946"/>
      <c r="C225" s="941" t="s">
        <v>869</v>
      </c>
      <c r="D225" s="916" t="s">
        <v>106</v>
      </c>
      <c r="E225" s="916"/>
      <c r="F225" s="916"/>
      <c r="G225" s="916"/>
      <c r="I225" s="916"/>
      <c r="J225" s="916"/>
      <c r="K225" s="916"/>
      <c r="L225" s="916"/>
      <c r="M225" s="916"/>
      <c r="N225" s="916"/>
      <c r="O225" s="916"/>
      <c r="P225" s="916"/>
      <c r="Q225" s="916"/>
      <c r="R225" s="916"/>
      <c r="S225" s="916"/>
      <c r="T225" s="916"/>
      <c r="U225" s="916"/>
      <c r="V225" s="916"/>
      <c r="W225" s="916"/>
      <c r="X225" s="916"/>
      <c r="Y225" s="916"/>
      <c r="Z225" s="916"/>
      <c r="AA225" s="916"/>
      <c r="AB225" s="916"/>
      <c r="AC225" s="916"/>
      <c r="AD225" s="916"/>
      <c r="AE225" s="916"/>
      <c r="AF225" s="916"/>
      <c r="AG225" s="916"/>
      <c r="AH225" s="916"/>
      <c r="AI225" s="916"/>
      <c r="AJ225" s="916"/>
      <c r="AK225" s="916"/>
      <c r="AL225" s="916"/>
      <c r="AM225" s="916"/>
      <c r="AN225" s="916"/>
      <c r="AO225" s="916"/>
      <c r="AP225" s="916"/>
      <c r="AQ225" s="916"/>
      <c r="AR225" s="916"/>
      <c r="AS225" s="916"/>
      <c r="AT225" s="916"/>
      <c r="AU225" s="916"/>
      <c r="AV225" s="916"/>
      <c r="AW225" s="916"/>
      <c r="AX225" s="916"/>
      <c r="AY225" s="916"/>
      <c r="AZ225" s="916"/>
      <c r="BA225" s="916"/>
      <c r="BB225" s="916"/>
      <c r="BC225" s="916"/>
      <c r="BD225" s="916"/>
      <c r="BE225" s="916"/>
      <c r="BF225" s="916"/>
    </row>
    <row r="226" ht="14.25" customHeight="1">
      <c r="A226" s="916"/>
      <c r="B226" s="976"/>
      <c r="C226" s="916"/>
      <c r="D226" s="916"/>
      <c r="E226" s="936"/>
      <c r="F226" s="936"/>
      <c r="G226" s="936"/>
      <c r="M226" s="916"/>
      <c r="N226" s="916"/>
      <c r="O226" s="916"/>
      <c r="P226" s="916"/>
      <c r="Q226" s="916"/>
      <c r="R226" s="916"/>
      <c r="S226" s="916"/>
      <c r="T226" s="916"/>
      <c r="U226" s="916"/>
      <c r="V226" s="916"/>
      <c r="W226" s="916"/>
      <c r="X226" s="916"/>
      <c r="Y226" s="916"/>
      <c r="Z226" s="916"/>
      <c r="AA226" s="916"/>
      <c r="AB226" s="916"/>
      <c r="AC226" s="916"/>
      <c r="AD226" s="916"/>
      <c r="AE226" s="916"/>
      <c r="AF226" s="916"/>
      <c r="AG226" s="916"/>
      <c r="AH226" s="916"/>
      <c r="AI226" s="916"/>
      <c r="AJ226" s="916"/>
      <c r="AK226" s="916"/>
      <c r="AL226" s="916"/>
      <c r="AM226" s="916"/>
      <c r="AN226" s="916"/>
      <c r="AO226" s="916"/>
      <c r="AP226" s="916"/>
      <c r="AQ226" s="916"/>
      <c r="AR226" s="916"/>
      <c r="AS226" s="916"/>
      <c r="AT226" s="916"/>
      <c r="AU226" s="916"/>
      <c r="AV226" s="916"/>
      <c r="AW226" s="916"/>
      <c r="AX226" s="916"/>
      <c r="AY226" s="916"/>
      <c r="AZ226" s="916"/>
      <c r="BA226" s="916"/>
      <c r="BB226" s="916"/>
      <c r="BC226" s="916"/>
      <c r="BD226" s="916"/>
      <c r="BE226" s="916"/>
      <c r="BF226" s="916"/>
    </row>
    <row r="227" ht="14.25" customHeight="1">
      <c r="A227" s="916"/>
      <c r="B227" s="976"/>
      <c r="C227" s="916"/>
      <c r="D227" s="954" t="s">
        <v>75</v>
      </c>
      <c r="E227" s="936"/>
      <c r="F227" s="936"/>
      <c r="G227" s="936"/>
      <c r="H227" s="916"/>
      <c r="I227" s="916"/>
      <c r="J227" s="916"/>
      <c r="K227" s="916"/>
      <c r="L227" s="916"/>
      <c r="M227" s="916"/>
      <c r="N227" s="916"/>
      <c r="O227" s="916"/>
      <c r="P227" s="916"/>
      <c r="Q227" s="916"/>
      <c r="R227" s="916"/>
      <c r="S227" s="916"/>
      <c r="T227" s="916"/>
      <c r="U227" s="916"/>
      <c r="V227" s="916"/>
      <c r="W227" s="916"/>
      <c r="X227" s="916"/>
      <c r="Y227" s="916"/>
      <c r="Z227" s="916"/>
      <c r="AA227" s="916"/>
      <c r="AB227" s="916"/>
      <c r="AC227" s="916"/>
      <c r="AD227" s="916"/>
      <c r="AE227" s="916"/>
      <c r="AF227" s="916"/>
      <c r="AG227" s="916"/>
      <c r="AH227" s="916"/>
      <c r="AI227" s="916"/>
      <c r="AJ227" s="916"/>
      <c r="AK227" s="916"/>
      <c r="AL227" s="916"/>
      <c r="AM227" s="916"/>
      <c r="AN227" s="916"/>
      <c r="AO227" s="916"/>
      <c r="AP227" s="916"/>
      <c r="AQ227" s="916"/>
      <c r="AR227" s="916"/>
      <c r="AS227" s="916"/>
      <c r="AT227" s="916"/>
      <c r="AU227" s="916"/>
      <c r="AV227" s="916"/>
      <c r="AW227" s="916"/>
      <c r="AX227" s="916"/>
      <c r="AY227" s="916"/>
      <c r="AZ227" s="916"/>
      <c r="BA227" s="916"/>
      <c r="BB227" s="916"/>
      <c r="BC227" s="916"/>
      <c r="BD227" s="916"/>
      <c r="BE227" s="916"/>
      <c r="BF227" s="916"/>
    </row>
    <row r="228" ht="14.25" customHeight="1">
      <c r="A228" s="916"/>
      <c r="B228" s="952" t="s">
        <v>872</v>
      </c>
      <c r="C228" s="941" t="s">
        <v>869</v>
      </c>
      <c r="D228" s="936" t="s">
        <v>271</v>
      </c>
      <c r="E228" s="936"/>
      <c r="F228" s="936"/>
      <c r="G228" s="936"/>
      <c r="M228" s="916"/>
      <c r="N228" s="916"/>
      <c r="O228" s="916"/>
      <c r="P228" s="916"/>
      <c r="Q228" s="916"/>
      <c r="R228" s="916"/>
      <c r="S228" s="916"/>
      <c r="T228" s="916"/>
      <c r="U228" s="916"/>
      <c r="V228" s="916"/>
      <c r="W228" s="916"/>
      <c r="X228" s="916"/>
      <c r="Y228" s="916"/>
      <c r="Z228" s="916"/>
      <c r="AA228" s="916"/>
      <c r="AB228" s="916"/>
      <c r="AC228" s="916"/>
      <c r="AD228" s="916"/>
      <c r="AE228" s="916"/>
      <c r="AF228" s="916"/>
      <c r="AG228" s="916"/>
      <c r="AH228" s="916"/>
      <c r="AI228" s="916"/>
      <c r="AJ228" s="916"/>
      <c r="AK228" s="916"/>
      <c r="AL228" s="916"/>
      <c r="AM228" s="916"/>
      <c r="AN228" s="916"/>
      <c r="AO228" s="916"/>
      <c r="AP228" s="916"/>
      <c r="AQ228" s="916"/>
      <c r="AR228" s="916"/>
      <c r="AS228" s="916"/>
      <c r="AT228" s="916"/>
      <c r="AU228" s="916"/>
      <c r="AV228" s="916"/>
      <c r="AW228" s="916"/>
      <c r="AX228" s="916"/>
      <c r="AY228" s="916"/>
      <c r="AZ228" s="916"/>
      <c r="BA228" s="916"/>
      <c r="BB228" s="916"/>
      <c r="BC228" s="916"/>
      <c r="BD228" s="916"/>
      <c r="BE228" s="916"/>
      <c r="BF228" s="916"/>
    </row>
    <row r="229" ht="14.25" customHeight="1">
      <c r="A229" s="916"/>
      <c r="C229" s="941"/>
      <c r="D229" s="936"/>
      <c r="E229" s="936"/>
      <c r="F229" s="936"/>
      <c r="G229" s="936"/>
      <c r="M229" s="916"/>
      <c r="N229" s="916"/>
      <c r="O229" s="916"/>
      <c r="P229" s="916"/>
      <c r="Q229" s="916"/>
      <c r="R229" s="916"/>
      <c r="S229" s="916"/>
      <c r="T229" s="916"/>
      <c r="U229" s="916"/>
      <c r="V229" s="916"/>
      <c r="W229" s="916"/>
      <c r="X229" s="916"/>
      <c r="Y229" s="916"/>
      <c r="Z229" s="916"/>
      <c r="AA229" s="916"/>
      <c r="AB229" s="916"/>
      <c r="AC229" s="916"/>
      <c r="AD229" s="916"/>
      <c r="AE229" s="916"/>
      <c r="AF229" s="916"/>
      <c r="AG229" s="916"/>
      <c r="AH229" s="916"/>
      <c r="AI229" s="916"/>
      <c r="AJ229" s="916"/>
      <c r="AK229" s="916"/>
      <c r="AL229" s="916"/>
      <c r="AM229" s="916"/>
      <c r="AN229" s="916"/>
      <c r="AO229" s="916"/>
      <c r="AP229" s="916"/>
      <c r="AQ229" s="916"/>
      <c r="AR229" s="916"/>
      <c r="AS229" s="916"/>
      <c r="AT229" s="916"/>
      <c r="AU229" s="916"/>
      <c r="AV229" s="916"/>
      <c r="AW229" s="916"/>
      <c r="AX229" s="916"/>
      <c r="AY229" s="916"/>
      <c r="AZ229" s="916"/>
      <c r="BA229" s="916"/>
      <c r="BB229" s="916"/>
      <c r="BC229" s="916"/>
      <c r="BD229" s="916"/>
      <c r="BE229" s="916"/>
      <c r="BF229" s="916"/>
    </row>
    <row r="230" ht="14.25" customHeight="1">
      <c r="A230" s="916"/>
      <c r="B230" s="946"/>
      <c r="C230" s="941"/>
      <c r="D230" s="977" t="s">
        <v>873</v>
      </c>
      <c r="E230" s="936"/>
      <c r="F230" s="936"/>
      <c r="G230" s="936"/>
      <c r="M230" s="916"/>
      <c r="N230" s="916"/>
      <c r="O230" s="916"/>
      <c r="P230" s="916"/>
      <c r="Q230" s="916"/>
      <c r="R230" s="916"/>
      <c r="S230" s="916"/>
      <c r="T230" s="916"/>
      <c r="U230" s="916"/>
      <c r="V230" s="916"/>
      <c r="W230" s="916"/>
      <c r="X230" s="916"/>
      <c r="Y230" s="916"/>
      <c r="Z230" s="916"/>
      <c r="AA230" s="916"/>
      <c r="AB230" s="916"/>
      <c r="AC230" s="916"/>
      <c r="AD230" s="916"/>
      <c r="AE230" s="916"/>
      <c r="AF230" s="916"/>
      <c r="AG230" s="916"/>
      <c r="AH230" s="916"/>
      <c r="AI230" s="916"/>
      <c r="AJ230" s="916"/>
      <c r="AK230" s="916"/>
      <c r="AL230" s="916"/>
      <c r="AM230" s="916"/>
      <c r="AN230" s="916"/>
      <c r="AO230" s="916"/>
      <c r="AP230" s="916"/>
      <c r="AQ230" s="916"/>
      <c r="AR230" s="916"/>
      <c r="AS230" s="916"/>
      <c r="AT230" s="916"/>
      <c r="AU230" s="916"/>
      <c r="AV230" s="916"/>
      <c r="AW230" s="916"/>
      <c r="AX230" s="916"/>
      <c r="AY230" s="916"/>
      <c r="AZ230" s="916"/>
      <c r="BA230" s="916"/>
      <c r="BB230" s="916"/>
      <c r="BC230" s="916"/>
      <c r="BD230" s="916"/>
      <c r="BE230" s="916"/>
      <c r="BF230" s="916"/>
    </row>
    <row r="231" ht="14.25" customHeight="1">
      <c r="A231" s="916"/>
      <c r="B231" s="952" t="s">
        <v>874</v>
      </c>
      <c r="C231" s="941" t="s">
        <v>869</v>
      </c>
      <c r="D231" s="936" t="s">
        <v>875</v>
      </c>
      <c r="E231" s="936"/>
      <c r="F231" s="936"/>
      <c r="G231" s="936"/>
      <c r="M231" s="916"/>
      <c r="N231" s="916"/>
      <c r="O231" s="916"/>
      <c r="P231" s="916"/>
      <c r="Q231" s="916"/>
      <c r="R231" s="916"/>
      <c r="S231" s="916"/>
      <c r="T231" s="916"/>
      <c r="U231" s="916"/>
      <c r="V231" s="916"/>
      <c r="W231" s="916"/>
      <c r="X231" s="916"/>
      <c r="Y231" s="916"/>
      <c r="Z231" s="916"/>
      <c r="AA231" s="916"/>
      <c r="AB231" s="916"/>
      <c r="AC231" s="916"/>
      <c r="AD231" s="916"/>
      <c r="AE231" s="916"/>
      <c r="AF231" s="916"/>
      <c r="AG231" s="916"/>
      <c r="AH231" s="916"/>
      <c r="AI231" s="916"/>
      <c r="AJ231" s="916"/>
      <c r="AK231" s="916"/>
      <c r="AL231" s="916"/>
      <c r="AM231" s="916"/>
      <c r="AN231" s="916"/>
      <c r="AO231" s="916"/>
      <c r="AP231" s="916"/>
      <c r="AQ231" s="916"/>
      <c r="AR231" s="916"/>
      <c r="AS231" s="916"/>
      <c r="AT231" s="916"/>
      <c r="AU231" s="916"/>
      <c r="AV231" s="916"/>
      <c r="AW231" s="916"/>
      <c r="AX231" s="916"/>
      <c r="AY231" s="916"/>
      <c r="AZ231" s="916"/>
      <c r="BA231" s="916"/>
      <c r="BB231" s="916"/>
      <c r="BC231" s="916"/>
      <c r="BD231" s="916"/>
      <c r="BE231" s="916"/>
      <c r="BF231" s="916"/>
    </row>
    <row r="232" ht="14.25" customHeight="1">
      <c r="A232" s="916"/>
      <c r="C232" s="916"/>
      <c r="D232" s="916"/>
      <c r="E232" s="936"/>
      <c r="F232" s="936"/>
      <c r="G232" s="936"/>
      <c r="M232" s="916"/>
      <c r="N232" s="916"/>
      <c r="O232" s="916"/>
      <c r="P232" s="916"/>
      <c r="Q232" s="916"/>
      <c r="R232" s="916"/>
      <c r="S232" s="916"/>
      <c r="T232" s="916"/>
      <c r="U232" s="916"/>
      <c r="V232" s="916"/>
      <c r="W232" s="916"/>
      <c r="X232" s="916"/>
      <c r="Y232" s="916"/>
      <c r="Z232" s="916"/>
      <c r="AA232" s="916"/>
      <c r="AB232" s="916"/>
      <c r="AC232" s="916"/>
      <c r="AD232" s="916"/>
      <c r="AE232" s="916"/>
      <c r="AF232" s="916"/>
      <c r="AG232" s="916"/>
      <c r="AH232" s="916"/>
      <c r="AI232" s="916"/>
      <c r="AJ232" s="916"/>
      <c r="AK232" s="916"/>
      <c r="AL232" s="916"/>
      <c r="AM232" s="916"/>
      <c r="AN232" s="916"/>
      <c r="AO232" s="916"/>
      <c r="AP232" s="916"/>
      <c r="AQ232" s="916"/>
      <c r="AR232" s="916"/>
      <c r="AS232" s="916"/>
      <c r="AT232" s="916"/>
      <c r="AU232" s="916"/>
      <c r="AV232" s="916"/>
      <c r="AW232" s="916"/>
      <c r="AX232" s="916"/>
      <c r="AY232" s="916"/>
      <c r="AZ232" s="916"/>
      <c r="BA232" s="916"/>
      <c r="BB232" s="916"/>
      <c r="BC232" s="916"/>
      <c r="BD232" s="916"/>
      <c r="BE232" s="916"/>
      <c r="BF232" s="916"/>
    </row>
    <row r="233" ht="14.25" customHeight="1">
      <c r="A233" s="916"/>
      <c r="B233" s="917"/>
      <c r="C233" s="941"/>
      <c r="D233" s="954" t="s">
        <v>492</v>
      </c>
      <c r="E233" s="936"/>
      <c r="F233" s="936"/>
      <c r="G233" s="936"/>
      <c r="M233" s="916"/>
      <c r="N233" s="916"/>
      <c r="O233" s="916"/>
      <c r="P233" s="916"/>
      <c r="Q233" s="916"/>
      <c r="R233" s="916"/>
      <c r="S233" s="916"/>
      <c r="T233" s="916"/>
      <c r="U233" s="916"/>
      <c r="V233" s="916"/>
      <c r="W233" s="916"/>
      <c r="X233" s="916"/>
      <c r="Y233" s="916"/>
      <c r="Z233" s="916"/>
      <c r="AA233" s="916"/>
      <c r="AB233" s="916"/>
      <c r="AC233" s="916"/>
      <c r="AD233" s="916"/>
      <c r="AE233" s="916"/>
      <c r="AF233" s="916"/>
      <c r="AG233" s="916"/>
      <c r="AH233" s="916"/>
      <c r="AI233" s="916"/>
      <c r="AJ233" s="916"/>
      <c r="AK233" s="916"/>
      <c r="AL233" s="916"/>
      <c r="AM233" s="916"/>
      <c r="AN233" s="916"/>
      <c r="AO233" s="916"/>
      <c r="AP233" s="916"/>
      <c r="AQ233" s="916"/>
      <c r="AR233" s="916"/>
      <c r="AS233" s="916"/>
      <c r="AT233" s="916"/>
      <c r="AU233" s="916"/>
      <c r="AV233" s="916"/>
      <c r="AW233" s="916"/>
      <c r="AX233" s="916"/>
      <c r="AY233" s="916"/>
      <c r="AZ233" s="916"/>
      <c r="BA233" s="916"/>
      <c r="BB233" s="916"/>
      <c r="BC233" s="916"/>
      <c r="BD233" s="916"/>
      <c r="BE233" s="916"/>
      <c r="BF233" s="916"/>
    </row>
    <row r="234" ht="14.25" customHeight="1">
      <c r="A234" s="916"/>
      <c r="B234" s="952" t="s">
        <v>876</v>
      </c>
      <c r="C234" s="941" t="s">
        <v>869</v>
      </c>
      <c r="D234" s="916" t="s">
        <v>877</v>
      </c>
      <c r="E234" s="936"/>
      <c r="F234" s="916"/>
      <c r="G234" s="916"/>
      <c r="M234" s="916"/>
      <c r="N234" s="916"/>
      <c r="O234" s="916"/>
      <c r="P234" s="916"/>
      <c r="Q234" s="916"/>
      <c r="R234" s="916"/>
      <c r="S234" s="916"/>
      <c r="T234" s="916"/>
      <c r="U234" s="916"/>
      <c r="V234" s="916"/>
      <c r="W234" s="916"/>
      <c r="X234" s="916"/>
      <c r="Y234" s="916"/>
      <c r="Z234" s="916"/>
      <c r="AA234" s="916"/>
      <c r="AB234" s="916"/>
      <c r="AC234" s="916"/>
      <c r="AD234" s="916"/>
      <c r="AE234" s="916"/>
      <c r="AF234" s="916"/>
      <c r="AG234" s="916"/>
      <c r="AH234" s="916"/>
      <c r="AI234" s="916"/>
      <c r="AJ234" s="916"/>
      <c r="AK234" s="916"/>
      <c r="AL234" s="916"/>
      <c r="AM234" s="916"/>
      <c r="AN234" s="916"/>
      <c r="AO234" s="916"/>
      <c r="AP234" s="916"/>
      <c r="AQ234" s="916"/>
      <c r="AR234" s="916"/>
      <c r="AS234" s="916"/>
      <c r="AT234" s="916"/>
      <c r="AU234" s="916"/>
      <c r="AV234" s="916"/>
      <c r="AW234" s="916"/>
      <c r="AX234" s="916"/>
      <c r="AY234" s="916"/>
      <c r="AZ234" s="916"/>
      <c r="BA234" s="916"/>
      <c r="BB234" s="916"/>
      <c r="BC234" s="916"/>
      <c r="BD234" s="916"/>
      <c r="BE234" s="916"/>
      <c r="BF234" s="916"/>
    </row>
    <row r="235" ht="14.25" customHeight="1">
      <c r="A235" s="916"/>
      <c r="C235" s="916"/>
      <c r="D235" s="916"/>
      <c r="E235" s="916"/>
      <c r="F235" s="936"/>
      <c r="G235" s="936"/>
      <c r="H235" s="936"/>
      <c r="I235" s="916"/>
      <c r="J235" s="916"/>
      <c r="K235" s="916"/>
      <c r="L235" s="916"/>
      <c r="M235" s="916"/>
      <c r="N235" s="916"/>
      <c r="O235" s="916"/>
      <c r="P235" s="916"/>
      <c r="Q235" s="916"/>
      <c r="R235" s="916"/>
      <c r="S235" s="916"/>
      <c r="T235" s="916"/>
      <c r="U235" s="916"/>
      <c r="V235" s="916"/>
      <c r="W235" s="916"/>
      <c r="X235" s="916"/>
      <c r="Y235" s="916"/>
      <c r="Z235" s="916"/>
      <c r="AA235" s="916"/>
      <c r="AB235" s="916"/>
      <c r="AC235" s="916"/>
      <c r="AD235" s="916"/>
      <c r="AE235" s="916"/>
      <c r="AF235" s="916"/>
      <c r="AG235" s="916"/>
      <c r="AH235" s="916"/>
      <c r="AI235" s="916"/>
      <c r="AJ235" s="916"/>
      <c r="AK235" s="916"/>
      <c r="AL235" s="916"/>
      <c r="AM235" s="916"/>
      <c r="AN235" s="916"/>
      <c r="AO235" s="916"/>
      <c r="AP235" s="916"/>
      <c r="AQ235" s="916"/>
      <c r="AR235" s="916"/>
      <c r="AS235" s="916"/>
      <c r="AT235" s="916"/>
      <c r="AU235" s="916"/>
      <c r="AV235" s="916"/>
      <c r="AW235" s="916"/>
      <c r="AX235" s="916"/>
      <c r="AY235" s="916"/>
      <c r="AZ235" s="916"/>
      <c r="BA235" s="916"/>
      <c r="BB235" s="916"/>
      <c r="BC235" s="916"/>
      <c r="BD235" s="916"/>
      <c r="BE235" s="916"/>
      <c r="BF235" s="916"/>
    </row>
    <row r="236" ht="14.25" customHeight="1">
      <c r="A236" s="916"/>
      <c r="B236" s="942"/>
      <c r="C236" s="943"/>
      <c r="D236" s="944"/>
      <c r="E236" s="945"/>
      <c r="F236" s="945"/>
      <c r="G236" s="945"/>
      <c r="H236" s="945"/>
      <c r="I236" s="945"/>
      <c r="J236" s="945"/>
      <c r="K236" s="945"/>
      <c r="L236" s="945"/>
      <c r="M236" s="945"/>
      <c r="N236" s="945"/>
      <c r="O236" s="945"/>
      <c r="P236" s="916"/>
      <c r="Q236" s="916"/>
      <c r="R236" s="916"/>
      <c r="S236" s="916"/>
      <c r="T236" s="916"/>
      <c r="U236" s="916"/>
      <c r="V236" s="916"/>
      <c r="W236" s="916"/>
      <c r="X236" s="916"/>
      <c r="Y236" s="916"/>
      <c r="Z236" s="916"/>
      <c r="AA236" s="916"/>
      <c r="AB236" s="916"/>
      <c r="AC236" s="916"/>
      <c r="AD236" s="916"/>
      <c r="AE236" s="916"/>
      <c r="AF236" s="916"/>
      <c r="AG236" s="916"/>
      <c r="AH236" s="916"/>
      <c r="AI236" s="916"/>
      <c r="AJ236" s="916"/>
      <c r="AK236" s="916"/>
      <c r="AL236" s="916"/>
      <c r="AM236" s="916"/>
      <c r="AN236" s="916"/>
      <c r="AO236" s="916"/>
      <c r="AP236" s="916"/>
      <c r="AQ236" s="916"/>
      <c r="AR236" s="916"/>
      <c r="AS236" s="916"/>
      <c r="AT236" s="916"/>
      <c r="AU236" s="916"/>
      <c r="AV236" s="916"/>
    </row>
    <row r="237" ht="14.25" customHeight="1">
      <c r="A237" s="916"/>
      <c r="B237" s="946"/>
      <c r="C237" s="941"/>
      <c r="D237" s="947"/>
      <c r="E237" s="916"/>
      <c r="F237" s="916"/>
      <c r="G237" s="916"/>
      <c r="H237" s="916"/>
      <c r="I237" s="916"/>
      <c r="J237" s="916"/>
      <c r="K237" s="916"/>
      <c r="L237" s="916"/>
      <c r="M237" s="916"/>
      <c r="N237" s="916"/>
      <c r="O237" s="916"/>
      <c r="P237" s="916"/>
      <c r="Q237" s="916"/>
      <c r="R237" s="916"/>
      <c r="S237" s="916"/>
      <c r="T237" s="916"/>
      <c r="U237" s="916"/>
      <c r="V237" s="916"/>
      <c r="W237" s="916"/>
      <c r="X237" s="916"/>
      <c r="Y237" s="916"/>
      <c r="Z237" s="916"/>
      <c r="AA237" s="916"/>
      <c r="AB237" s="916"/>
      <c r="AC237" s="916"/>
      <c r="AD237" s="916"/>
      <c r="AE237" s="916"/>
      <c r="AF237" s="916"/>
      <c r="AG237" s="916"/>
      <c r="AH237" s="916"/>
      <c r="AI237" s="916"/>
      <c r="AJ237" s="916"/>
      <c r="AK237" s="916"/>
      <c r="AL237" s="916"/>
      <c r="AM237" s="916"/>
      <c r="AN237" s="916"/>
      <c r="AO237" s="916"/>
      <c r="AP237" s="916"/>
      <c r="AQ237" s="916"/>
      <c r="AR237" s="916"/>
      <c r="AS237" s="916"/>
      <c r="AT237" s="916"/>
      <c r="AU237" s="916"/>
      <c r="AV237" s="916"/>
    </row>
    <row r="238" ht="14.25" customHeight="1">
      <c r="A238" s="916"/>
      <c r="B238" s="917"/>
      <c r="C238" s="935" t="s">
        <v>759</v>
      </c>
      <c r="D238" s="921" t="s">
        <v>274</v>
      </c>
      <c r="E238" s="916"/>
      <c r="F238" s="916"/>
      <c r="G238" s="916"/>
      <c r="H238" s="916"/>
      <c r="I238" s="916"/>
      <c r="J238" s="916"/>
      <c r="K238" s="916"/>
      <c r="L238" s="916"/>
      <c r="M238" s="916"/>
      <c r="N238" s="916"/>
      <c r="O238" s="916"/>
      <c r="P238" s="916"/>
      <c r="Q238" s="916"/>
      <c r="R238" s="916"/>
      <c r="S238" s="916"/>
      <c r="T238" s="916"/>
      <c r="U238" s="916"/>
      <c r="V238" s="916"/>
      <c r="W238" s="916"/>
      <c r="X238" s="916"/>
      <c r="Y238" s="916"/>
      <c r="Z238" s="916"/>
      <c r="AA238" s="916"/>
      <c r="AB238" s="916"/>
      <c r="AC238" s="916"/>
      <c r="AD238" s="916"/>
      <c r="AE238" s="916"/>
      <c r="AF238" s="916"/>
      <c r="AG238" s="916"/>
      <c r="AH238" s="916"/>
      <c r="AI238" s="916"/>
      <c r="AJ238" s="916"/>
      <c r="AK238" s="916"/>
      <c r="AL238" s="916"/>
      <c r="AM238" s="916"/>
      <c r="AN238" s="916"/>
      <c r="AO238" s="916"/>
      <c r="AP238" s="916"/>
      <c r="AQ238" s="916"/>
      <c r="AR238" s="916"/>
      <c r="AS238" s="916"/>
      <c r="AT238" s="916"/>
      <c r="AU238" s="916"/>
      <c r="AV238" s="916"/>
      <c r="AW238" s="916"/>
      <c r="AX238" s="916"/>
      <c r="AY238" s="916"/>
      <c r="AZ238" s="916"/>
      <c r="BA238" s="916"/>
      <c r="BB238" s="916"/>
      <c r="BC238" s="916"/>
      <c r="BD238" s="916"/>
      <c r="BE238" s="916"/>
      <c r="BF238" s="916"/>
    </row>
    <row r="239" ht="14.25" customHeight="1">
      <c r="A239" s="916"/>
      <c r="B239" s="917"/>
      <c r="C239" s="935"/>
      <c r="D239" s="921"/>
      <c r="E239" s="916"/>
      <c r="F239" s="916"/>
      <c r="G239" s="916"/>
      <c r="H239" s="916"/>
      <c r="I239" s="916"/>
      <c r="J239" s="916"/>
      <c r="K239" s="916"/>
      <c r="L239" s="916"/>
      <c r="M239" s="916"/>
      <c r="N239" s="916"/>
      <c r="O239" s="916"/>
      <c r="P239" s="916"/>
      <c r="Q239" s="916"/>
      <c r="R239" s="916"/>
      <c r="S239" s="916"/>
      <c r="T239" s="916"/>
      <c r="U239" s="916"/>
      <c r="V239" s="916"/>
      <c r="W239" s="916"/>
      <c r="X239" s="916"/>
      <c r="Y239" s="916"/>
      <c r="Z239" s="916"/>
      <c r="AA239" s="916"/>
      <c r="AB239" s="916"/>
      <c r="AC239" s="916"/>
      <c r="AD239" s="916"/>
      <c r="AE239" s="916"/>
      <c r="AF239" s="916"/>
      <c r="AG239" s="916"/>
      <c r="AH239" s="916"/>
      <c r="AI239" s="916"/>
      <c r="AJ239" s="916"/>
      <c r="AK239" s="916"/>
      <c r="AL239" s="916"/>
      <c r="AM239" s="916"/>
      <c r="AN239" s="916"/>
      <c r="AO239" s="916"/>
      <c r="AP239" s="916"/>
      <c r="AQ239" s="916"/>
      <c r="AR239" s="916"/>
      <c r="AS239" s="916"/>
      <c r="AT239" s="916"/>
      <c r="AU239" s="916"/>
      <c r="AV239" s="916"/>
      <c r="AW239" s="916"/>
      <c r="AX239" s="916"/>
      <c r="AY239" s="916"/>
      <c r="AZ239" s="916"/>
      <c r="BA239" s="916"/>
      <c r="BB239" s="916"/>
      <c r="BC239" s="916"/>
      <c r="BD239" s="916"/>
      <c r="BE239" s="916"/>
      <c r="BF239" s="916"/>
    </row>
    <row r="240" ht="14.25" customHeight="1">
      <c r="A240" s="916"/>
      <c r="B240" s="917"/>
      <c r="C240" s="935"/>
      <c r="D240" s="921" t="s">
        <v>878</v>
      </c>
      <c r="E240" s="916"/>
      <c r="F240" s="916"/>
      <c r="G240" s="916"/>
      <c r="H240" s="916"/>
      <c r="I240" s="916"/>
      <c r="J240" s="916"/>
      <c r="K240" s="916"/>
      <c r="L240" s="916"/>
      <c r="M240" s="916"/>
      <c r="N240" s="916"/>
      <c r="O240" s="916"/>
      <c r="P240" s="916"/>
      <c r="Q240" s="916"/>
      <c r="R240" s="916"/>
      <c r="S240" s="916"/>
      <c r="T240" s="916"/>
      <c r="U240" s="916"/>
      <c r="V240" s="916"/>
      <c r="W240" s="916"/>
      <c r="X240" s="916"/>
      <c r="Y240" s="916"/>
      <c r="Z240" s="916"/>
      <c r="AA240" s="916"/>
      <c r="AB240" s="916"/>
      <c r="AC240" s="916"/>
      <c r="AD240" s="916"/>
      <c r="AE240" s="916"/>
      <c r="AF240" s="916"/>
      <c r="AG240" s="916"/>
      <c r="AH240" s="916"/>
      <c r="AI240" s="916"/>
      <c r="AJ240" s="916"/>
      <c r="AK240" s="916"/>
      <c r="AL240" s="916"/>
      <c r="AM240" s="916"/>
      <c r="AN240" s="916"/>
      <c r="AO240" s="916"/>
      <c r="AP240" s="916"/>
      <c r="AQ240" s="916"/>
      <c r="AR240" s="916"/>
      <c r="AS240" s="916"/>
      <c r="AT240" s="916"/>
      <c r="AU240" s="916"/>
      <c r="AV240" s="916"/>
      <c r="AW240" s="916"/>
      <c r="AX240" s="916"/>
      <c r="AY240" s="916"/>
      <c r="AZ240" s="916"/>
      <c r="BA240" s="916"/>
      <c r="BB240" s="916"/>
      <c r="BC240" s="916"/>
      <c r="BD240" s="916"/>
      <c r="BE240" s="916"/>
      <c r="BF240" s="916"/>
    </row>
    <row r="241" ht="14.25" customHeight="1">
      <c r="A241" s="916"/>
      <c r="B241" s="917" t="s">
        <v>879</v>
      </c>
      <c r="C241" s="948" t="s">
        <v>769</v>
      </c>
      <c r="D241" s="724" t="s">
        <v>129</v>
      </c>
      <c r="E241" s="724"/>
      <c r="F241" s="724"/>
      <c r="G241" s="724"/>
      <c r="K241" s="916"/>
      <c r="L241" s="916"/>
      <c r="M241" s="916"/>
      <c r="N241" s="916"/>
      <c r="O241" s="916"/>
      <c r="P241" s="916"/>
      <c r="Q241" s="916"/>
      <c r="R241" s="916"/>
      <c r="S241" s="916"/>
      <c r="T241" s="916"/>
      <c r="U241" s="916"/>
      <c r="V241" s="916"/>
      <c r="W241" s="916"/>
      <c r="X241" s="916"/>
      <c r="Y241" s="916"/>
      <c r="Z241" s="916"/>
      <c r="AA241" s="916"/>
      <c r="AB241" s="916"/>
      <c r="AC241" s="916"/>
      <c r="AD241" s="916"/>
      <c r="AE241" s="916"/>
      <c r="AF241" s="916"/>
      <c r="AG241" s="916"/>
      <c r="AH241" s="916"/>
      <c r="AI241" s="916"/>
      <c r="AJ241" s="916"/>
      <c r="AK241" s="916"/>
      <c r="AL241" s="916"/>
      <c r="AM241" s="916"/>
      <c r="AN241" s="916"/>
      <c r="AO241" s="916"/>
      <c r="AP241" s="916"/>
      <c r="AQ241" s="916"/>
      <c r="AR241" s="916"/>
      <c r="AS241" s="916"/>
      <c r="AT241" s="916"/>
      <c r="AU241" s="916"/>
      <c r="AV241" s="916"/>
      <c r="AW241" s="916"/>
      <c r="AX241" s="916"/>
      <c r="AY241" s="916"/>
      <c r="AZ241" s="916"/>
      <c r="BA241" s="916"/>
      <c r="BB241" s="916"/>
      <c r="BC241" s="916"/>
      <c r="BD241" s="916"/>
      <c r="BE241" s="916"/>
      <c r="BF241" s="916"/>
    </row>
    <row r="242" ht="14.25" customHeight="1">
      <c r="A242" s="916"/>
      <c r="B242" s="917"/>
      <c r="C242" s="948" t="s">
        <v>769</v>
      </c>
      <c r="D242" s="724" t="s">
        <v>131</v>
      </c>
      <c r="E242" s="724"/>
      <c r="F242" s="724"/>
      <c r="G242" s="724"/>
      <c r="K242" s="916"/>
      <c r="L242" s="916"/>
      <c r="M242" s="916"/>
      <c r="N242" s="916"/>
      <c r="O242" s="916"/>
      <c r="P242" s="916"/>
      <c r="Q242" s="916"/>
      <c r="R242" s="916"/>
      <c r="S242" s="916"/>
      <c r="T242" s="916"/>
      <c r="U242" s="916"/>
      <c r="V242" s="916"/>
      <c r="W242" s="916"/>
      <c r="X242" s="916"/>
      <c r="Y242" s="916"/>
      <c r="Z242" s="916"/>
      <c r="AA242" s="916"/>
      <c r="AB242" s="916"/>
      <c r="AC242" s="916"/>
      <c r="AD242" s="916"/>
      <c r="AE242" s="916"/>
      <c r="AF242" s="916"/>
      <c r="AG242" s="916"/>
      <c r="AH242" s="916"/>
      <c r="AI242" s="916"/>
      <c r="AJ242" s="916"/>
      <c r="AK242" s="916"/>
      <c r="AL242" s="916"/>
      <c r="AM242" s="916"/>
      <c r="AN242" s="916"/>
      <c r="AO242" s="916"/>
      <c r="AP242" s="916"/>
      <c r="AQ242" s="916"/>
      <c r="AR242" s="916"/>
      <c r="AS242" s="916"/>
      <c r="AT242" s="916"/>
      <c r="AU242" s="916"/>
      <c r="AV242" s="916"/>
      <c r="AW242" s="916"/>
      <c r="AX242" s="916"/>
      <c r="AY242" s="916"/>
      <c r="AZ242" s="916"/>
      <c r="BA242" s="916"/>
      <c r="BB242" s="916"/>
      <c r="BC242" s="916"/>
      <c r="BD242" s="916"/>
      <c r="BE242" s="916"/>
      <c r="BF242" s="916"/>
    </row>
    <row r="243" ht="14.25" customHeight="1">
      <c r="A243" s="916"/>
      <c r="B243" s="917"/>
      <c r="C243" s="948" t="s">
        <v>769</v>
      </c>
      <c r="D243" s="724" t="s">
        <v>132</v>
      </c>
      <c r="E243" s="724"/>
      <c r="F243" s="724"/>
      <c r="G243" s="724"/>
      <c r="K243" s="916"/>
      <c r="L243" s="916"/>
      <c r="M243" s="916"/>
      <c r="N243" s="916"/>
      <c r="O243" s="916"/>
      <c r="P243" s="916"/>
      <c r="Q243" s="916"/>
      <c r="R243" s="916"/>
      <c r="S243" s="916"/>
      <c r="T243" s="916"/>
      <c r="U243" s="916"/>
      <c r="V243" s="916"/>
      <c r="W243" s="916"/>
      <c r="X243" s="916"/>
      <c r="Y243" s="916"/>
      <c r="Z243" s="916"/>
      <c r="AA243" s="916"/>
      <c r="AB243" s="916"/>
      <c r="AC243" s="916"/>
      <c r="AD243" s="916"/>
      <c r="AE243" s="916"/>
      <c r="AF243" s="916"/>
      <c r="AG243" s="916"/>
      <c r="AH243" s="916"/>
      <c r="AI243" s="916"/>
      <c r="AJ243" s="916"/>
      <c r="AK243" s="916"/>
      <c r="AL243" s="916"/>
      <c r="AM243" s="916"/>
      <c r="AN243" s="916"/>
      <c r="AO243" s="916"/>
      <c r="AP243" s="916"/>
      <c r="AQ243" s="916"/>
      <c r="AR243" s="916"/>
      <c r="AS243" s="916"/>
      <c r="AT243" s="916"/>
      <c r="AU243" s="916"/>
      <c r="AV243" s="916"/>
      <c r="AW243" s="916"/>
      <c r="AX243" s="916"/>
      <c r="AY243" s="916"/>
      <c r="AZ243" s="916"/>
      <c r="BA243" s="916"/>
      <c r="BB243" s="916"/>
      <c r="BC243" s="916"/>
      <c r="BD243" s="916"/>
      <c r="BE243" s="916"/>
      <c r="BF243" s="916"/>
    </row>
    <row r="244" ht="14.25" customHeight="1">
      <c r="A244" s="916"/>
      <c r="B244" s="917"/>
      <c r="C244" s="948" t="s">
        <v>769</v>
      </c>
      <c r="D244" s="916" t="s">
        <v>880</v>
      </c>
      <c r="K244" s="916"/>
      <c r="L244" s="916"/>
      <c r="M244" s="916"/>
      <c r="N244" s="916"/>
      <c r="O244" s="916"/>
      <c r="P244" s="916"/>
      <c r="Q244" s="916"/>
      <c r="R244" s="916"/>
      <c r="S244" s="916"/>
      <c r="T244" s="916"/>
      <c r="U244" s="916"/>
      <c r="V244" s="916"/>
      <c r="W244" s="916"/>
      <c r="X244" s="916"/>
      <c r="Y244" s="916"/>
      <c r="Z244" s="916"/>
      <c r="AA244" s="916"/>
      <c r="AB244" s="916"/>
      <c r="AC244" s="916"/>
      <c r="AD244" s="916"/>
      <c r="AE244" s="916"/>
      <c r="AF244" s="916"/>
      <c r="AG244" s="916"/>
      <c r="AH244" s="916"/>
      <c r="AI244" s="916"/>
      <c r="AJ244" s="916"/>
      <c r="AK244" s="916"/>
      <c r="AL244" s="916"/>
      <c r="AM244" s="916"/>
      <c r="AN244" s="916"/>
      <c r="AO244" s="916"/>
      <c r="AP244" s="916"/>
      <c r="AQ244" s="916"/>
      <c r="AR244" s="916"/>
      <c r="AS244" s="916"/>
      <c r="AT244" s="916"/>
      <c r="AU244" s="916"/>
      <c r="AV244" s="916"/>
      <c r="AW244" s="916"/>
      <c r="AX244" s="916"/>
      <c r="AY244" s="916"/>
      <c r="AZ244" s="916"/>
      <c r="BA244" s="916"/>
      <c r="BB244" s="916"/>
      <c r="BC244" s="916"/>
      <c r="BD244" s="916"/>
      <c r="BE244" s="916"/>
      <c r="BF244" s="916"/>
    </row>
    <row r="245" ht="14.25" customHeight="1">
      <c r="A245" s="916"/>
      <c r="B245" s="917"/>
      <c r="C245" s="948" t="s">
        <v>769</v>
      </c>
      <c r="D245" s="916" t="s">
        <v>881</v>
      </c>
      <c r="E245" s="932"/>
      <c r="F245" s="932"/>
      <c r="G245" s="932"/>
      <c r="H245" s="916"/>
      <c r="I245" s="916"/>
      <c r="J245" s="916"/>
      <c r="K245" s="916"/>
      <c r="L245" s="916"/>
      <c r="M245" s="916"/>
      <c r="N245" s="916"/>
      <c r="O245" s="916"/>
      <c r="P245" s="916"/>
      <c r="Q245" s="916"/>
      <c r="R245" s="916"/>
      <c r="S245" s="916"/>
      <c r="T245" s="916"/>
      <c r="U245" s="916"/>
      <c r="V245" s="916"/>
      <c r="W245" s="916"/>
      <c r="X245" s="916"/>
      <c r="Y245" s="916"/>
      <c r="Z245" s="916"/>
      <c r="AA245" s="916"/>
      <c r="AB245" s="916"/>
      <c r="AC245" s="916"/>
      <c r="AD245" s="916"/>
      <c r="AE245" s="916"/>
      <c r="AF245" s="916"/>
      <c r="AG245" s="916"/>
      <c r="AH245" s="916"/>
      <c r="AI245" s="916"/>
      <c r="AJ245" s="916"/>
      <c r="AK245" s="916"/>
      <c r="AL245" s="916"/>
      <c r="AM245" s="916"/>
      <c r="AN245" s="916"/>
      <c r="AO245" s="916"/>
      <c r="AP245" s="916"/>
      <c r="AQ245" s="916"/>
      <c r="AR245" s="916"/>
      <c r="AS245" s="916"/>
      <c r="AT245" s="916"/>
      <c r="AU245" s="916"/>
      <c r="AV245" s="916"/>
      <c r="AW245" s="916"/>
      <c r="AX245" s="916"/>
      <c r="AY245" s="916"/>
      <c r="AZ245" s="916"/>
      <c r="BA245" s="916"/>
      <c r="BB245" s="916"/>
      <c r="BC245" s="916"/>
      <c r="BD245" s="916"/>
      <c r="BE245" s="916"/>
      <c r="BF245" s="916"/>
    </row>
    <row r="246" ht="14.25" customHeight="1">
      <c r="A246" s="916"/>
      <c r="B246" s="917"/>
      <c r="C246" s="935"/>
      <c r="D246" s="916"/>
      <c r="E246" s="916"/>
      <c r="F246" s="916"/>
      <c r="G246" s="916"/>
      <c r="K246" s="916"/>
      <c r="L246" s="916"/>
      <c r="M246" s="916"/>
      <c r="N246" s="916"/>
      <c r="O246" s="916"/>
      <c r="P246" s="916"/>
      <c r="Q246" s="916"/>
      <c r="R246" s="916"/>
      <c r="S246" s="916"/>
      <c r="T246" s="916"/>
      <c r="U246" s="916"/>
      <c r="V246" s="916"/>
      <c r="W246" s="916"/>
      <c r="X246" s="916"/>
      <c r="Y246" s="916"/>
      <c r="Z246" s="916"/>
      <c r="AA246" s="916"/>
      <c r="AB246" s="916"/>
      <c r="AC246" s="916"/>
      <c r="AD246" s="916"/>
      <c r="AE246" s="916"/>
      <c r="AF246" s="916"/>
      <c r="AG246" s="916"/>
      <c r="AH246" s="916"/>
      <c r="AI246" s="916"/>
      <c r="AJ246" s="916"/>
      <c r="AK246" s="916"/>
      <c r="AL246" s="916"/>
      <c r="AM246" s="916"/>
      <c r="AN246" s="916"/>
      <c r="AO246" s="916"/>
      <c r="AP246" s="916"/>
      <c r="AQ246" s="916"/>
      <c r="AR246" s="916"/>
      <c r="AS246" s="916"/>
      <c r="AT246" s="916"/>
      <c r="AU246" s="916"/>
      <c r="AV246" s="916"/>
      <c r="AW246" s="916"/>
      <c r="AX246" s="916"/>
      <c r="AY246" s="916"/>
      <c r="AZ246" s="916"/>
      <c r="BA246" s="916"/>
      <c r="BB246" s="916"/>
      <c r="BC246" s="916"/>
      <c r="BD246" s="916"/>
      <c r="BE246" s="916"/>
      <c r="BF246" s="916"/>
    </row>
    <row r="247" ht="14.25" customHeight="1">
      <c r="A247" s="916"/>
      <c r="B247" s="917"/>
      <c r="C247" s="941"/>
      <c r="D247" s="939" t="s">
        <v>882</v>
      </c>
      <c r="E247" s="916"/>
      <c r="F247" s="916"/>
      <c r="G247" s="916"/>
      <c r="K247" s="916"/>
      <c r="L247" s="916"/>
      <c r="M247" s="916"/>
      <c r="N247" s="916"/>
      <c r="O247" s="916"/>
      <c r="P247" s="916"/>
      <c r="Q247" s="916"/>
      <c r="R247" s="916"/>
      <c r="S247" s="916"/>
      <c r="T247" s="916"/>
      <c r="U247" s="916"/>
      <c r="V247" s="916"/>
      <c r="W247" s="916"/>
      <c r="X247" s="916"/>
      <c r="Y247" s="916"/>
      <c r="Z247" s="916"/>
      <c r="AA247" s="916"/>
      <c r="AB247" s="916"/>
      <c r="AC247" s="916"/>
      <c r="AD247" s="916"/>
      <c r="AE247" s="916"/>
      <c r="AF247" s="916"/>
      <c r="AG247" s="916"/>
      <c r="AH247" s="916"/>
      <c r="AI247" s="916"/>
      <c r="AJ247" s="916"/>
      <c r="AK247" s="916"/>
      <c r="AL247" s="916"/>
      <c r="AM247" s="916"/>
      <c r="AN247" s="916"/>
      <c r="AO247" s="916"/>
      <c r="AP247" s="916"/>
      <c r="AQ247" s="916"/>
      <c r="AR247" s="916"/>
      <c r="AS247" s="916"/>
      <c r="AT247" s="916"/>
      <c r="AU247" s="916"/>
      <c r="AV247" s="916"/>
      <c r="AW247" s="916"/>
      <c r="AX247" s="916"/>
      <c r="AY247" s="916"/>
      <c r="AZ247" s="916"/>
      <c r="BA247" s="916"/>
      <c r="BB247" s="916"/>
      <c r="BC247" s="916"/>
      <c r="BD247" s="916"/>
      <c r="BE247" s="916"/>
      <c r="BF247" s="916"/>
    </row>
    <row r="248" ht="14.25" customHeight="1">
      <c r="A248" s="916"/>
      <c r="B248" s="917" t="s">
        <v>879</v>
      </c>
      <c r="C248" s="948" t="s">
        <v>769</v>
      </c>
      <c r="D248" s="936" t="s">
        <v>883</v>
      </c>
      <c r="E248" s="916"/>
      <c r="F248" s="916"/>
      <c r="G248" s="916"/>
      <c r="K248" s="916"/>
      <c r="L248" s="916"/>
      <c r="M248" s="916"/>
      <c r="N248" s="916"/>
      <c r="O248" s="916"/>
      <c r="P248" s="916"/>
      <c r="Q248" s="916"/>
      <c r="R248" s="916"/>
      <c r="S248" s="916"/>
      <c r="T248" s="916"/>
      <c r="U248" s="916"/>
      <c r="V248" s="916"/>
      <c r="W248" s="916"/>
      <c r="X248" s="916"/>
      <c r="Y248" s="916"/>
      <c r="Z248" s="916"/>
      <c r="AA248" s="916"/>
      <c r="AB248" s="916"/>
      <c r="AC248" s="916"/>
      <c r="AD248" s="916"/>
      <c r="AE248" s="916"/>
      <c r="AF248" s="916"/>
      <c r="AG248" s="916"/>
      <c r="AH248" s="916"/>
      <c r="AI248" s="916"/>
      <c r="AJ248" s="916"/>
      <c r="AK248" s="916"/>
      <c r="AL248" s="916"/>
      <c r="AM248" s="916"/>
      <c r="AN248" s="916"/>
      <c r="AO248" s="916"/>
      <c r="AP248" s="916"/>
      <c r="AQ248" s="916"/>
      <c r="AR248" s="916"/>
      <c r="AS248" s="916"/>
      <c r="AT248" s="916"/>
      <c r="AU248" s="916"/>
      <c r="AV248" s="916"/>
      <c r="AW248" s="916"/>
      <c r="AX248" s="916"/>
      <c r="AY248" s="916"/>
      <c r="AZ248" s="916"/>
      <c r="BA248" s="916"/>
      <c r="BB248" s="916"/>
      <c r="BC248" s="916"/>
      <c r="BD248" s="916"/>
      <c r="BE248" s="916"/>
      <c r="BF248" s="916"/>
    </row>
    <row r="249" ht="14.25" customHeight="1">
      <c r="A249" s="916"/>
      <c r="B249" s="917"/>
      <c r="C249" s="948" t="s">
        <v>769</v>
      </c>
      <c r="D249" s="936" t="s">
        <v>884</v>
      </c>
      <c r="E249" s="916"/>
      <c r="F249" s="916"/>
      <c r="G249" s="916"/>
      <c r="K249" s="916"/>
      <c r="L249" s="916"/>
      <c r="M249" s="916"/>
      <c r="N249" s="916"/>
      <c r="O249" s="916"/>
      <c r="P249" s="916"/>
      <c r="Q249" s="916"/>
      <c r="R249" s="916"/>
      <c r="S249" s="916"/>
      <c r="T249" s="916"/>
      <c r="U249" s="916"/>
      <c r="V249" s="916"/>
      <c r="W249" s="916"/>
      <c r="X249" s="916"/>
      <c r="Y249" s="916"/>
      <c r="Z249" s="916"/>
      <c r="AA249" s="916"/>
      <c r="AB249" s="916"/>
      <c r="AC249" s="916"/>
      <c r="AD249" s="916"/>
      <c r="AE249" s="916"/>
      <c r="AF249" s="916"/>
      <c r="AG249" s="916"/>
      <c r="AH249" s="916"/>
      <c r="AI249" s="916"/>
      <c r="AJ249" s="916"/>
      <c r="AK249" s="916"/>
      <c r="AL249" s="916"/>
      <c r="AM249" s="916"/>
      <c r="AN249" s="916"/>
      <c r="AO249" s="916"/>
      <c r="AP249" s="916"/>
      <c r="AQ249" s="916"/>
      <c r="AR249" s="916"/>
      <c r="AS249" s="916"/>
      <c r="AT249" s="916"/>
      <c r="AU249" s="916"/>
      <c r="AV249" s="916"/>
      <c r="AW249" s="916"/>
      <c r="AX249" s="916"/>
      <c r="AY249" s="916"/>
      <c r="AZ249" s="916"/>
      <c r="BA249" s="916"/>
      <c r="BB249" s="916"/>
      <c r="BC249" s="916"/>
      <c r="BD249" s="916"/>
      <c r="BE249" s="916"/>
      <c r="BF249" s="916"/>
    </row>
    <row r="250" ht="14.25" customHeight="1">
      <c r="A250" s="916"/>
      <c r="B250" s="917"/>
      <c r="C250" s="948" t="s">
        <v>769</v>
      </c>
      <c r="D250" s="936" t="s">
        <v>885</v>
      </c>
      <c r="E250" s="916"/>
      <c r="F250" s="916"/>
      <c r="G250" s="916"/>
      <c r="K250" s="916"/>
      <c r="L250" s="916"/>
      <c r="M250" s="916"/>
      <c r="N250" s="916"/>
      <c r="O250" s="916"/>
      <c r="P250" s="916"/>
      <c r="Q250" s="916"/>
      <c r="R250" s="916"/>
      <c r="S250" s="916"/>
      <c r="T250" s="916"/>
      <c r="U250" s="916"/>
      <c r="V250" s="916"/>
      <c r="W250" s="916"/>
      <c r="X250" s="916"/>
      <c r="Y250" s="916"/>
      <c r="Z250" s="916"/>
      <c r="AA250" s="916"/>
      <c r="AB250" s="916"/>
      <c r="AC250" s="916"/>
      <c r="AD250" s="916"/>
      <c r="AE250" s="916"/>
      <c r="AF250" s="916"/>
      <c r="AG250" s="916"/>
      <c r="AH250" s="916"/>
      <c r="AI250" s="916"/>
      <c r="AJ250" s="916"/>
      <c r="AK250" s="916"/>
      <c r="AL250" s="916"/>
      <c r="AM250" s="916"/>
      <c r="AN250" s="916"/>
      <c r="AO250" s="916"/>
      <c r="AP250" s="916"/>
      <c r="AQ250" s="916"/>
      <c r="AR250" s="916"/>
      <c r="AS250" s="916"/>
      <c r="AT250" s="916"/>
      <c r="AU250" s="916"/>
      <c r="AV250" s="916"/>
      <c r="AW250" s="916"/>
      <c r="AX250" s="916"/>
      <c r="AY250" s="916"/>
      <c r="AZ250" s="916"/>
      <c r="BA250" s="916"/>
      <c r="BB250" s="916"/>
      <c r="BC250" s="916"/>
      <c r="BD250" s="916"/>
      <c r="BE250" s="916"/>
      <c r="BF250" s="916"/>
    </row>
    <row r="251" ht="14.25" customHeight="1">
      <c r="A251" s="916"/>
      <c r="B251" s="917"/>
      <c r="C251" s="948" t="s">
        <v>769</v>
      </c>
      <c r="D251" s="936" t="s">
        <v>886</v>
      </c>
      <c r="E251" s="916"/>
      <c r="F251" s="916"/>
      <c r="G251" s="916"/>
      <c r="K251" s="916"/>
      <c r="L251" s="916"/>
      <c r="M251" s="916"/>
      <c r="N251" s="916"/>
      <c r="O251" s="916"/>
      <c r="P251" s="916"/>
      <c r="Q251" s="916"/>
      <c r="R251" s="916"/>
      <c r="S251" s="916"/>
      <c r="T251" s="916"/>
      <c r="U251" s="916"/>
      <c r="V251" s="916"/>
      <c r="W251" s="916"/>
      <c r="X251" s="916"/>
      <c r="Y251" s="916"/>
      <c r="Z251" s="916"/>
      <c r="AA251" s="916"/>
      <c r="AB251" s="916"/>
      <c r="AC251" s="916"/>
      <c r="AD251" s="916"/>
      <c r="AE251" s="916"/>
      <c r="AF251" s="916"/>
      <c r="AG251" s="916"/>
      <c r="AH251" s="916"/>
      <c r="AI251" s="916"/>
      <c r="AJ251" s="916"/>
      <c r="AK251" s="916"/>
      <c r="AL251" s="916"/>
      <c r="AM251" s="916"/>
      <c r="AN251" s="916"/>
      <c r="AO251" s="916"/>
      <c r="AP251" s="916"/>
      <c r="AQ251" s="916"/>
      <c r="AR251" s="916"/>
      <c r="AS251" s="916"/>
      <c r="AT251" s="916"/>
      <c r="AU251" s="916"/>
      <c r="AV251" s="916"/>
      <c r="AW251" s="916"/>
      <c r="AX251" s="916"/>
      <c r="AY251" s="916"/>
      <c r="AZ251" s="916"/>
      <c r="BA251" s="916"/>
      <c r="BB251" s="916"/>
      <c r="BC251" s="916"/>
      <c r="BD251" s="916"/>
      <c r="BE251" s="916"/>
      <c r="BF251" s="916"/>
    </row>
    <row r="252" ht="14.25" customHeight="1">
      <c r="A252" s="916"/>
      <c r="B252" s="917"/>
      <c r="C252" s="948" t="s">
        <v>769</v>
      </c>
      <c r="D252" s="936" t="s">
        <v>887</v>
      </c>
      <c r="E252" s="916"/>
      <c r="F252" s="916"/>
      <c r="G252" s="916"/>
      <c r="P252" s="916"/>
      <c r="Q252" s="916"/>
      <c r="R252" s="916"/>
      <c r="S252" s="916"/>
      <c r="T252" s="916"/>
      <c r="U252" s="916"/>
      <c r="V252" s="916"/>
      <c r="W252" s="916"/>
      <c r="X252" s="916"/>
      <c r="Y252" s="916"/>
      <c r="Z252" s="916"/>
      <c r="AA252" s="916"/>
      <c r="AB252" s="916"/>
      <c r="AC252" s="916"/>
      <c r="AD252" s="916"/>
      <c r="AE252" s="916"/>
      <c r="AF252" s="916"/>
      <c r="AG252" s="916"/>
      <c r="AH252" s="916"/>
      <c r="AI252" s="916"/>
      <c r="AJ252" s="916"/>
      <c r="AK252" s="916"/>
      <c r="AL252" s="916"/>
      <c r="AM252" s="916"/>
      <c r="AN252" s="916"/>
      <c r="AO252" s="916"/>
      <c r="AP252" s="916"/>
      <c r="AQ252" s="916"/>
      <c r="AR252" s="916"/>
      <c r="AS252" s="916"/>
      <c r="AT252" s="916"/>
      <c r="AU252" s="916"/>
      <c r="AV252" s="916"/>
      <c r="AW252" s="916"/>
      <c r="AX252" s="916"/>
      <c r="AY252" s="916"/>
      <c r="AZ252" s="916"/>
      <c r="BA252" s="916"/>
      <c r="BB252" s="916"/>
      <c r="BC252" s="916"/>
      <c r="BD252" s="916"/>
      <c r="BE252" s="916"/>
      <c r="BF252" s="916"/>
    </row>
    <row r="253" ht="14.25" customHeight="1">
      <c r="A253" s="916"/>
      <c r="B253" s="917"/>
      <c r="C253" s="948" t="s">
        <v>769</v>
      </c>
      <c r="D253" s="936" t="s">
        <v>888</v>
      </c>
      <c r="E253" s="916"/>
      <c r="F253" s="916"/>
      <c r="G253" s="916"/>
      <c r="P253" s="916"/>
      <c r="Q253" s="916"/>
      <c r="R253" s="916"/>
      <c r="S253" s="916"/>
      <c r="T253" s="916"/>
      <c r="U253" s="916"/>
      <c r="V253" s="916"/>
      <c r="W253" s="916"/>
      <c r="X253" s="916"/>
      <c r="Y253" s="916"/>
      <c r="Z253" s="916"/>
      <c r="AA253" s="916"/>
      <c r="AB253" s="916"/>
      <c r="AC253" s="916"/>
      <c r="AD253" s="916"/>
      <c r="AE253" s="916"/>
      <c r="AF253" s="916"/>
      <c r="AG253" s="916"/>
      <c r="AH253" s="916"/>
      <c r="AI253" s="916"/>
      <c r="AJ253" s="916"/>
      <c r="AK253" s="916"/>
      <c r="AL253" s="916"/>
      <c r="AM253" s="916"/>
      <c r="AN253" s="916"/>
      <c r="AO253" s="916"/>
      <c r="AP253" s="916"/>
      <c r="AQ253" s="916"/>
      <c r="AR253" s="916"/>
      <c r="AS253" s="916"/>
      <c r="AT253" s="916"/>
      <c r="AU253" s="916"/>
      <c r="AV253" s="916"/>
      <c r="AW253" s="916"/>
      <c r="AX253" s="916"/>
      <c r="AY253" s="916"/>
      <c r="AZ253" s="916"/>
      <c r="BA253" s="916"/>
      <c r="BB253" s="916"/>
      <c r="BC253" s="916"/>
      <c r="BD253" s="916"/>
      <c r="BE253" s="916"/>
      <c r="BF253" s="916"/>
    </row>
    <row r="254" ht="14.25" customHeight="1">
      <c r="A254" s="916"/>
      <c r="B254" s="917"/>
      <c r="C254" s="948" t="s">
        <v>769</v>
      </c>
      <c r="D254" s="936" t="s">
        <v>889</v>
      </c>
      <c r="E254" s="916"/>
      <c r="F254" s="916"/>
      <c r="G254" s="916"/>
      <c r="P254" s="916"/>
      <c r="Q254" s="916"/>
      <c r="R254" s="916"/>
      <c r="S254" s="916"/>
      <c r="T254" s="916"/>
      <c r="U254" s="916"/>
      <c r="V254" s="916"/>
      <c r="W254" s="916"/>
      <c r="X254" s="916"/>
      <c r="Y254" s="916"/>
      <c r="Z254" s="916"/>
      <c r="AA254" s="916"/>
      <c r="AB254" s="916"/>
      <c r="AC254" s="916"/>
      <c r="AD254" s="916"/>
      <c r="AE254" s="916"/>
      <c r="AF254" s="916"/>
      <c r="AG254" s="916"/>
      <c r="AH254" s="916"/>
      <c r="AI254" s="916"/>
      <c r="AJ254" s="916"/>
      <c r="AK254" s="916"/>
      <c r="AL254" s="916"/>
      <c r="AM254" s="916"/>
      <c r="AN254" s="916"/>
      <c r="AO254" s="916"/>
      <c r="AP254" s="916"/>
      <c r="AQ254" s="916"/>
      <c r="AR254" s="916"/>
      <c r="AS254" s="916"/>
      <c r="AT254" s="916"/>
      <c r="AU254" s="916"/>
      <c r="AV254" s="916"/>
      <c r="AW254" s="916"/>
      <c r="AX254" s="916"/>
      <c r="AY254" s="916"/>
      <c r="AZ254" s="916"/>
      <c r="BA254" s="916"/>
      <c r="BB254" s="916"/>
      <c r="BC254" s="916"/>
      <c r="BD254" s="916"/>
      <c r="BE254" s="916"/>
      <c r="BF254" s="916"/>
    </row>
    <row r="255" ht="14.25" customHeight="1">
      <c r="A255" s="916"/>
      <c r="B255" s="917"/>
      <c r="C255" s="948" t="s">
        <v>769</v>
      </c>
      <c r="D255" s="936" t="s">
        <v>890</v>
      </c>
      <c r="E255" s="916"/>
      <c r="F255" s="916"/>
      <c r="G255" s="916"/>
      <c r="P255" s="916"/>
      <c r="Q255" s="916"/>
      <c r="R255" s="916"/>
      <c r="S255" s="916"/>
      <c r="T255" s="916"/>
      <c r="U255" s="916"/>
      <c r="V255" s="916"/>
      <c r="W255" s="916"/>
      <c r="X255" s="916"/>
      <c r="Y255" s="916"/>
      <c r="Z255" s="916"/>
      <c r="AA255" s="916"/>
      <c r="AB255" s="916"/>
      <c r="AC255" s="916"/>
      <c r="AD255" s="916"/>
      <c r="AE255" s="916"/>
      <c r="AF255" s="916"/>
      <c r="AG255" s="916"/>
      <c r="AH255" s="916"/>
      <c r="AI255" s="916"/>
      <c r="AJ255" s="916"/>
      <c r="AK255" s="916"/>
      <c r="AL255" s="916"/>
      <c r="AM255" s="916"/>
      <c r="AN255" s="916"/>
      <c r="AO255" s="916"/>
      <c r="AP255" s="916"/>
      <c r="AQ255" s="916"/>
      <c r="AR255" s="916"/>
      <c r="AS255" s="916"/>
      <c r="AT255" s="916"/>
      <c r="AU255" s="916"/>
      <c r="AV255" s="916"/>
      <c r="AW255" s="916"/>
      <c r="AX255" s="916"/>
      <c r="AY255" s="916"/>
      <c r="AZ255" s="916"/>
      <c r="BA255" s="916"/>
      <c r="BB255" s="916"/>
      <c r="BC255" s="916"/>
      <c r="BD255" s="916"/>
      <c r="BE255" s="916"/>
      <c r="BF255" s="916"/>
    </row>
    <row r="256" ht="14.25" customHeight="1">
      <c r="A256" s="916"/>
      <c r="B256" s="917"/>
      <c r="C256" s="948" t="s">
        <v>769</v>
      </c>
      <c r="D256" s="936" t="s">
        <v>891</v>
      </c>
      <c r="E256" s="916"/>
      <c r="F256" s="916"/>
      <c r="G256" s="916"/>
      <c r="L256" s="916"/>
      <c r="P256" s="916"/>
      <c r="Q256" s="916"/>
      <c r="R256" s="916"/>
      <c r="S256" s="916"/>
      <c r="T256" s="916"/>
      <c r="U256" s="916"/>
      <c r="V256" s="916"/>
      <c r="W256" s="916"/>
      <c r="X256" s="916"/>
      <c r="Y256" s="916"/>
      <c r="Z256" s="916"/>
      <c r="AA256" s="916"/>
      <c r="AB256" s="916"/>
      <c r="AC256" s="916"/>
      <c r="AD256" s="916"/>
      <c r="AE256" s="916"/>
      <c r="AF256" s="916"/>
      <c r="AG256" s="916"/>
      <c r="AH256" s="916"/>
      <c r="AI256" s="916"/>
      <c r="AJ256" s="916"/>
      <c r="AK256" s="916"/>
      <c r="AL256" s="916"/>
      <c r="AM256" s="916"/>
      <c r="AN256" s="916"/>
      <c r="AO256" s="916"/>
      <c r="AP256" s="916"/>
      <c r="AQ256" s="916"/>
      <c r="AR256" s="916"/>
      <c r="AS256" s="916"/>
      <c r="AT256" s="916"/>
      <c r="AU256" s="916"/>
      <c r="AV256" s="916"/>
      <c r="AW256" s="916"/>
      <c r="AX256" s="916"/>
      <c r="AY256" s="916"/>
      <c r="AZ256" s="916"/>
      <c r="BA256" s="916"/>
      <c r="BB256" s="916"/>
      <c r="BC256" s="916"/>
      <c r="BD256" s="916"/>
      <c r="BE256" s="916"/>
      <c r="BF256" s="916"/>
    </row>
    <row r="257" ht="14.25" customHeight="1">
      <c r="A257" s="916"/>
      <c r="B257" s="917"/>
      <c r="C257" s="935"/>
      <c r="D257" s="921"/>
      <c r="E257" s="916"/>
      <c r="F257" s="916"/>
      <c r="G257" s="916"/>
      <c r="L257" s="916"/>
      <c r="P257" s="916"/>
      <c r="Q257" s="916"/>
      <c r="R257" s="916"/>
      <c r="S257" s="916"/>
      <c r="T257" s="916"/>
      <c r="U257" s="916"/>
      <c r="V257" s="916"/>
      <c r="W257" s="916"/>
      <c r="X257" s="916"/>
      <c r="Y257" s="916"/>
      <c r="Z257" s="916"/>
      <c r="AA257" s="916"/>
      <c r="AB257" s="916"/>
      <c r="AC257" s="916"/>
      <c r="AD257" s="916"/>
      <c r="AE257" s="916"/>
      <c r="AF257" s="916"/>
      <c r="AG257" s="916"/>
      <c r="AH257" s="916"/>
      <c r="AI257" s="916"/>
      <c r="AJ257" s="916"/>
      <c r="AK257" s="916"/>
      <c r="AL257" s="916"/>
      <c r="AM257" s="916"/>
      <c r="AN257" s="916"/>
      <c r="AO257" s="916"/>
      <c r="AP257" s="916"/>
      <c r="AQ257" s="916"/>
      <c r="AR257" s="916"/>
      <c r="AS257" s="916"/>
      <c r="AT257" s="916"/>
      <c r="AU257" s="916"/>
      <c r="AV257" s="916"/>
      <c r="AW257" s="916"/>
      <c r="AX257" s="916"/>
      <c r="AY257" s="916"/>
      <c r="AZ257" s="916"/>
      <c r="BA257" s="916"/>
      <c r="BB257" s="916"/>
      <c r="BC257" s="916"/>
      <c r="BD257" s="916"/>
      <c r="BE257" s="916"/>
      <c r="BF257" s="916"/>
    </row>
    <row r="258" ht="14.25" customHeight="1">
      <c r="A258" s="916"/>
      <c r="B258" s="917"/>
      <c r="C258" s="935"/>
      <c r="D258" s="921" t="s">
        <v>892</v>
      </c>
      <c r="E258" s="916"/>
      <c r="F258" s="916"/>
      <c r="G258" s="916"/>
      <c r="P258" s="916"/>
      <c r="Q258" s="916"/>
      <c r="R258" s="916"/>
      <c r="S258" s="916"/>
      <c r="T258" s="916"/>
      <c r="U258" s="916"/>
      <c r="V258" s="916"/>
      <c r="W258" s="916"/>
      <c r="X258" s="916"/>
      <c r="Y258" s="916"/>
      <c r="Z258" s="916"/>
      <c r="AA258" s="916"/>
      <c r="AB258" s="916"/>
      <c r="AC258" s="916"/>
      <c r="AD258" s="916"/>
      <c r="AE258" s="916"/>
      <c r="AF258" s="916"/>
      <c r="AG258" s="916"/>
      <c r="AH258" s="916"/>
      <c r="AI258" s="916"/>
      <c r="AJ258" s="916"/>
      <c r="AK258" s="916"/>
      <c r="AL258" s="916"/>
      <c r="AM258" s="916"/>
      <c r="AN258" s="916"/>
      <c r="AO258" s="916"/>
      <c r="AP258" s="916"/>
      <c r="AQ258" s="916"/>
      <c r="AR258" s="916"/>
      <c r="AS258" s="916"/>
      <c r="AT258" s="916"/>
      <c r="AU258" s="916"/>
      <c r="AV258" s="916"/>
      <c r="AW258" s="916"/>
      <c r="AX258" s="916"/>
      <c r="AY258" s="916"/>
      <c r="AZ258" s="916"/>
      <c r="BA258" s="916"/>
      <c r="BB258" s="916"/>
      <c r="BC258" s="916"/>
      <c r="BD258" s="916"/>
      <c r="BE258" s="916"/>
      <c r="BF258" s="916"/>
    </row>
    <row r="259" ht="14.25" customHeight="1">
      <c r="A259" s="916"/>
      <c r="B259" s="917" t="s">
        <v>879</v>
      </c>
      <c r="P259" s="916"/>
      <c r="Q259" s="916"/>
      <c r="R259" s="916"/>
      <c r="S259" s="916"/>
      <c r="T259" s="916"/>
      <c r="U259" s="916"/>
      <c r="V259" s="916"/>
      <c r="W259" s="916"/>
      <c r="X259" s="916"/>
      <c r="Y259" s="916"/>
      <c r="Z259" s="916"/>
      <c r="AA259" s="916"/>
      <c r="AB259" s="916"/>
      <c r="AC259" s="916"/>
      <c r="AD259" s="916"/>
      <c r="AE259" s="916"/>
      <c r="AF259" s="916"/>
      <c r="AG259" s="916"/>
      <c r="AH259" s="916"/>
      <c r="AI259" s="916"/>
      <c r="AJ259" s="916"/>
      <c r="AK259" s="916"/>
      <c r="AL259" s="916"/>
      <c r="AM259" s="916"/>
      <c r="AN259" s="916"/>
      <c r="AO259" s="916"/>
      <c r="AP259" s="916"/>
      <c r="AQ259" s="916"/>
      <c r="AR259" s="916"/>
      <c r="AS259" s="916"/>
      <c r="AT259" s="916"/>
      <c r="AU259" s="916"/>
      <c r="AV259" s="916"/>
      <c r="AW259" s="916"/>
      <c r="AX259" s="916"/>
      <c r="AY259" s="916"/>
      <c r="AZ259" s="916"/>
      <c r="BA259" s="916"/>
      <c r="BB259" s="916"/>
      <c r="BC259" s="916"/>
      <c r="BD259" s="916"/>
      <c r="BE259" s="916"/>
      <c r="BF259" s="916"/>
    </row>
    <row r="260" ht="14.25" customHeight="1">
      <c r="A260" s="916"/>
      <c r="B260" s="917"/>
      <c r="C260" s="948" t="s">
        <v>769</v>
      </c>
      <c r="D260" s="916" t="s">
        <v>107</v>
      </c>
      <c r="E260" s="916"/>
      <c r="F260" s="916"/>
      <c r="G260" s="916"/>
      <c r="P260" s="916"/>
      <c r="Q260" s="916"/>
      <c r="R260" s="916"/>
      <c r="S260" s="916"/>
      <c r="T260" s="916"/>
      <c r="U260" s="916"/>
      <c r="V260" s="916"/>
      <c r="W260" s="916"/>
      <c r="X260" s="916"/>
      <c r="Y260" s="916"/>
      <c r="Z260" s="916"/>
      <c r="AA260" s="916"/>
      <c r="AB260" s="916"/>
      <c r="AC260" s="916"/>
      <c r="AD260" s="916"/>
      <c r="AE260" s="916"/>
      <c r="AF260" s="916"/>
      <c r="AG260" s="916"/>
      <c r="AH260" s="916"/>
      <c r="AI260" s="916"/>
      <c r="AJ260" s="916"/>
      <c r="AK260" s="916"/>
      <c r="AL260" s="916"/>
      <c r="AM260" s="916"/>
      <c r="AN260" s="916"/>
      <c r="AO260" s="916"/>
      <c r="AP260" s="916"/>
      <c r="AQ260" s="916"/>
      <c r="AR260" s="916"/>
      <c r="AS260" s="916"/>
      <c r="AT260" s="916"/>
      <c r="AU260" s="916"/>
      <c r="AV260" s="916"/>
      <c r="AW260" s="916"/>
      <c r="AX260" s="916"/>
      <c r="AY260" s="916"/>
      <c r="AZ260" s="916"/>
      <c r="BA260" s="916"/>
      <c r="BB260" s="916"/>
      <c r="BC260" s="916"/>
      <c r="BD260" s="916"/>
      <c r="BE260" s="916"/>
      <c r="BF260" s="916"/>
    </row>
    <row r="261" ht="14.25" customHeight="1">
      <c r="A261" s="916"/>
      <c r="B261" s="917"/>
      <c r="C261" s="948" t="s">
        <v>769</v>
      </c>
      <c r="D261" s="916" t="s">
        <v>108</v>
      </c>
      <c r="E261" s="916"/>
      <c r="F261" s="916"/>
      <c r="G261" s="916"/>
      <c r="P261" s="916"/>
      <c r="Q261" s="916"/>
      <c r="R261" s="916"/>
      <c r="S261" s="916"/>
      <c r="T261" s="916"/>
      <c r="U261" s="916"/>
      <c r="V261" s="916"/>
      <c r="W261" s="916"/>
      <c r="X261" s="916"/>
      <c r="Y261" s="916"/>
      <c r="Z261" s="916"/>
      <c r="AA261" s="916"/>
      <c r="AB261" s="916"/>
      <c r="AC261" s="916"/>
      <c r="AD261" s="916"/>
      <c r="AE261" s="916"/>
      <c r="AF261" s="916"/>
      <c r="AG261" s="916"/>
      <c r="AH261" s="916"/>
      <c r="AI261" s="916"/>
      <c r="AJ261" s="916"/>
      <c r="AK261" s="916"/>
      <c r="AL261" s="916"/>
      <c r="AM261" s="916"/>
      <c r="AN261" s="916"/>
      <c r="AO261" s="916"/>
      <c r="AP261" s="916"/>
      <c r="AQ261" s="916"/>
      <c r="AR261" s="916"/>
      <c r="AS261" s="916"/>
      <c r="AT261" s="916"/>
      <c r="AU261" s="916"/>
      <c r="AV261" s="916"/>
      <c r="AW261" s="916"/>
      <c r="AX261" s="916"/>
      <c r="AY261" s="916"/>
      <c r="AZ261" s="916"/>
      <c r="BA261" s="916"/>
      <c r="BB261" s="916"/>
      <c r="BC261" s="916"/>
      <c r="BD261" s="916"/>
      <c r="BE261" s="916"/>
      <c r="BF261" s="916"/>
    </row>
    <row r="262" ht="14.25" customHeight="1">
      <c r="A262" s="916"/>
      <c r="B262" s="917"/>
      <c r="C262" s="948" t="s">
        <v>769</v>
      </c>
      <c r="D262" s="916" t="s">
        <v>109</v>
      </c>
      <c r="E262" s="916"/>
      <c r="F262" s="926"/>
      <c r="G262" s="916"/>
      <c r="P262" s="916"/>
      <c r="Q262" s="916"/>
      <c r="R262" s="916"/>
      <c r="S262" s="916"/>
      <c r="T262" s="916"/>
      <c r="U262" s="916"/>
      <c r="V262" s="916"/>
      <c r="W262" s="916"/>
      <c r="X262" s="916"/>
      <c r="Y262" s="916"/>
      <c r="Z262" s="916"/>
      <c r="AA262" s="916"/>
      <c r="AB262" s="916"/>
      <c r="AC262" s="916"/>
      <c r="AD262" s="916"/>
      <c r="AE262" s="916"/>
      <c r="AF262" s="916"/>
      <c r="AG262" s="916"/>
      <c r="AH262" s="916"/>
      <c r="AI262" s="916"/>
      <c r="AJ262" s="916"/>
      <c r="AK262" s="916"/>
      <c r="AL262" s="916"/>
      <c r="AM262" s="916"/>
      <c r="AN262" s="916"/>
      <c r="AO262" s="916"/>
      <c r="AP262" s="916"/>
      <c r="AQ262" s="916"/>
      <c r="AR262" s="916"/>
      <c r="AS262" s="916"/>
      <c r="AT262" s="916"/>
      <c r="AU262" s="916"/>
      <c r="AV262" s="916"/>
      <c r="AW262" s="916"/>
      <c r="AX262" s="916"/>
      <c r="AY262" s="916"/>
      <c r="AZ262" s="916"/>
      <c r="BA262" s="916"/>
      <c r="BB262" s="916"/>
      <c r="BC262" s="916"/>
      <c r="BD262" s="916"/>
      <c r="BE262" s="916"/>
      <c r="BF262" s="916"/>
    </row>
    <row r="263" ht="14.25" customHeight="1">
      <c r="A263" s="916"/>
      <c r="B263" s="917"/>
      <c r="C263" s="948" t="s">
        <v>769</v>
      </c>
      <c r="D263" s="916" t="s">
        <v>110</v>
      </c>
      <c r="E263" s="916"/>
      <c r="F263" s="916"/>
      <c r="G263" s="916"/>
      <c r="P263" s="916"/>
      <c r="Q263" s="916"/>
      <c r="R263" s="916"/>
      <c r="S263" s="916"/>
      <c r="T263" s="916"/>
      <c r="U263" s="916"/>
      <c r="V263" s="916"/>
      <c r="W263" s="916"/>
      <c r="X263" s="916"/>
      <c r="Y263" s="916"/>
      <c r="Z263" s="916"/>
      <c r="AA263" s="916"/>
      <c r="AB263" s="916"/>
      <c r="AC263" s="916"/>
      <c r="AD263" s="916"/>
      <c r="AE263" s="916"/>
      <c r="AF263" s="916"/>
      <c r="AG263" s="916"/>
      <c r="AH263" s="916"/>
      <c r="AI263" s="916"/>
      <c r="AJ263" s="916"/>
      <c r="AK263" s="916"/>
      <c r="AL263" s="916"/>
      <c r="AM263" s="916"/>
      <c r="AN263" s="916"/>
      <c r="AO263" s="916"/>
      <c r="AP263" s="916"/>
      <c r="AQ263" s="916"/>
      <c r="AR263" s="916"/>
      <c r="AS263" s="916"/>
      <c r="AT263" s="916"/>
      <c r="AU263" s="916"/>
      <c r="AV263" s="916"/>
      <c r="AW263" s="916"/>
      <c r="AX263" s="916"/>
      <c r="AY263" s="916"/>
      <c r="AZ263" s="916"/>
      <c r="BA263" s="916"/>
      <c r="BB263" s="916"/>
      <c r="BC263" s="916"/>
      <c r="BD263" s="916"/>
      <c r="BE263" s="916"/>
      <c r="BF263" s="916"/>
    </row>
    <row r="264" ht="14.25" customHeight="1">
      <c r="A264" s="916"/>
      <c r="B264" s="917"/>
      <c r="C264" s="948" t="s">
        <v>769</v>
      </c>
      <c r="D264" s="916" t="s">
        <v>111</v>
      </c>
      <c r="E264" s="916"/>
      <c r="F264" s="916"/>
      <c r="G264" s="916"/>
      <c r="L264" s="916"/>
      <c r="P264" s="916"/>
      <c r="Q264" s="916"/>
      <c r="R264" s="916"/>
      <c r="S264" s="916"/>
      <c r="T264" s="916"/>
      <c r="U264" s="916"/>
      <c r="V264" s="916"/>
      <c r="W264" s="916"/>
      <c r="X264" s="916"/>
      <c r="Y264" s="916"/>
      <c r="Z264" s="916"/>
      <c r="AA264" s="916"/>
      <c r="AB264" s="916"/>
      <c r="AC264" s="916"/>
      <c r="AD264" s="916"/>
      <c r="AE264" s="916"/>
      <c r="AF264" s="916"/>
      <c r="AG264" s="916"/>
      <c r="AH264" s="916"/>
      <c r="AI264" s="916"/>
      <c r="AJ264" s="916"/>
      <c r="AK264" s="916"/>
      <c r="AL264" s="916"/>
      <c r="AM264" s="916"/>
      <c r="AN264" s="916"/>
      <c r="AO264" s="916"/>
      <c r="AP264" s="916"/>
      <c r="AQ264" s="916"/>
      <c r="AR264" s="916"/>
      <c r="AS264" s="916"/>
      <c r="AT264" s="916"/>
      <c r="AU264" s="916"/>
      <c r="AV264" s="916"/>
      <c r="AW264" s="916"/>
      <c r="AX264" s="916"/>
      <c r="AY264" s="916"/>
      <c r="AZ264" s="916"/>
      <c r="BA264" s="916"/>
      <c r="BB264" s="916"/>
      <c r="BC264" s="916"/>
      <c r="BD264" s="916"/>
      <c r="BE264" s="916"/>
      <c r="BF264" s="916"/>
    </row>
    <row r="265" ht="14.25" customHeight="1">
      <c r="A265" s="916"/>
      <c r="B265" s="917"/>
      <c r="C265" s="948" t="s">
        <v>769</v>
      </c>
      <c r="D265" s="724" t="s">
        <v>136</v>
      </c>
      <c r="E265" s="916"/>
      <c r="F265" s="916"/>
      <c r="G265" s="916"/>
      <c r="L265" s="916"/>
      <c r="M265" s="916"/>
      <c r="N265" s="916"/>
      <c r="P265" s="916"/>
      <c r="Q265" s="916"/>
      <c r="R265" s="916"/>
      <c r="S265" s="916"/>
      <c r="T265" s="916"/>
      <c r="U265" s="916"/>
      <c r="V265" s="916"/>
      <c r="W265" s="916"/>
      <c r="X265" s="916"/>
      <c r="Y265" s="916"/>
      <c r="Z265" s="916"/>
      <c r="AA265" s="916"/>
      <c r="AB265" s="916"/>
      <c r="AC265" s="916"/>
      <c r="AD265" s="916"/>
      <c r="AE265" s="916"/>
      <c r="AF265" s="916"/>
      <c r="AG265" s="916"/>
      <c r="AH265" s="916"/>
      <c r="AI265" s="916"/>
      <c r="AJ265" s="916"/>
      <c r="AK265" s="916"/>
      <c r="AL265" s="916"/>
      <c r="AM265" s="916"/>
      <c r="AN265" s="916"/>
      <c r="AO265" s="916"/>
      <c r="AP265" s="916"/>
      <c r="AQ265" s="916"/>
      <c r="AR265" s="916"/>
      <c r="AS265" s="916"/>
      <c r="AT265" s="916"/>
      <c r="AU265" s="916"/>
      <c r="AV265" s="916"/>
      <c r="AW265" s="916"/>
      <c r="AX265" s="916"/>
      <c r="AY265" s="916"/>
      <c r="AZ265" s="916"/>
      <c r="BA265" s="916"/>
      <c r="BB265" s="916"/>
      <c r="BC265" s="916"/>
      <c r="BD265" s="916"/>
      <c r="BE265" s="916"/>
      <c r="BF265" s="916"/>
    </row>
    <row r="266" ht="14.25" customHeight="1">
      <c r="A266" s="916"/>
      <c r="B266" s="917"/>
      <c r="C266" s="941"/>
      <c r="D266" s="724"/>
      <c r="E266" s="916"/>
      <c r="F266" s="916"/>
      <c r="G266" s="978"/>
      <c r="P266" s="916"/>
      <c r="Q266" s="916"/>
      <c r="R266" s="916"/>
      <c r="S266" s="916"/>
      <c r="T266" s="916"/>
      <c r="U266" s="916"/>
      <c r="V266" s="916"/>
      <c r="W266" s="916"/>
      <c r="X266" s="916"/>
      <c r="Y266" s="916"/>
      <c r="Z266" s="916"/>
      <c r="AA266" s="916"/>
      <c r="AB266" s="916"/>
      <c r="AC266" s="916"/>
      <c r="AD266" s="916"/>
      <c r="AE266" s="916"/>
      <c r="AF266" s="916"/>
      <c r="AG266" s="916"/>
      <c r="AH266" s="916"/>
      <c r="AI266" s="916"/>
      <c r="AJ266" s="916"/>
      <c r="AK266" s="916"/>
      <c r="AL266" s="916"/>
      <c r="AM266" s="916"/>
      <c r="AN266" s="916"/>
      <c r="AO266" s="916"/>
      <c r="AP266" s="916"/>
      <c r="AQ266" s="916"/>
      <c r="AR266" s="916"/>
      <c r="AS266" s="916"/>
      <c r="AT266" s="916"/>
      <c r="AU266" s="916"/>
      <c r="AV266" s="916"/>
      <c r="AW266" s="916"/>
      <c r="AX266" s="916"/>
      <c r="AY266" s="916"/>
      <c r="AZ266" s="916"/>
      <c r="BA266" s="916"/>
      <c r="BB266" s="916"/>
      <c r="BC266" s="916"/>
      <c r="BD266" s="916"/>
      <c r="BE266" s="916"/>
      <c r="BF266" s="916"/>
    </row>
    <row r="267" ht="14.25" customHeight="1">
      <c r="A267" s="916"/>
      <c r="B267" s="917"/>
      <c r="C267" s="941"/>
      <c r="D267" s="921" t="s">
        <v>893</v>
      </c>
      <c r="E267" s="916"/>
      <c r="F267" s="916"/>
      <c r="G267" s="916"/>
      <c r="P267" s="916"/>
      <c r="Q267" s="916"/>
      <c r="R267" s="916"/>
      <c r="S267" s="916"/>
      <c r="T267" s="916"/>
      <c r="U267" s="916"/>
      <c r="V267" s="916"/>
      <c r="W267" s="916"/>
      <c r="X267" s="916"/>
      <c r="Y267" s="916"/>
      <c r="Z267" s="916"/>
      <c r="AA267" s="916"/>
      <c r="AB267" s="916"/>
      <c r="AC267" s="916"/>
      <c r="AD267" s="916"/>
      <c r="AE267" s="916"/>
      <c r="AF267" s="916"/>
      <c r="AG267" s="916"/>
      <c r="AH267" s="916"/>
      <c r="AI267" s="916"/>
      <c r="AJ267" s="916"/>
      <c r="AK267" s="916"/>
      <c r="AL267" s="916"/>
      <c r="AM267" s="916"/>
      <c r="AN267" s="916"/>
      <c r="AO267" s="916"/>
      <c r="AP267" s="916"/>
      <c r="AQ267" s="916"/>
      <c r="AR267" s="916"/>
      <c r="AS267" s="916"/>
      <c r="AT267" s="916"/>
      <c r="AU267" s="916"/>
      <c r="AV267" s="916"/>
      <c r="AW267" s="916"/>
      <c r="AX267" s="916"/>
      <c r="AY267" s="916"/>
      <c r="AZ267" s="916"/>
      <c r="BA267" s="916"/>
      <c r="BB267" s="916"/>
      <c r="BC267" s="916"/>
      <c r="BD267" s="916"/>
      <c r="BE267" s="916"/>
      <c r="BF267" s="916"/>
    </row>
    <row r="268" ht="14.25" customHeight="1">
      <c r="A268" s="916"/>
      <c r="B268" s="917" t="s">
        <v>894</v>
      </c>
      <c r="C268" s="948" t="s">
        <v>769</v>
      </c>
      <c r="D268" s="979" t="s">
        <v>895</v>
      </c>
      <c r="E268" s="980"/>
      <c r="F268" s="916"/>
      <c r="G268" s="916"/>
      <c r="P268" s="916"/>
      <c r="Q268" s="916"/>
      <c r="R268" s="916"/>
      <c r="S268" s="916"/>
      <c r="T268" s="916"/>
      <c r="U268" s="916"/>
      <c r="V268" s="916"/>
      <c r="W268" s="916"/>
      <c r="X268" s="916"/>
      <c r="Y268" s="916"/>
      <c r="Z268" s="916"/>
      <c r="AA268" s="916"/>
      <c r="AB268" s="916"/>
      <c r="AC268" s="916"/>
      <c r="AD268" s="916"/>
      <c r="AE268" s="916"/>
      <c r="AF268" s="916"/>
      <c r="AG268" s="916"/>
      <c r="AH268" s="916"/>
      <c r="AI268" s="916"/>
      <c r="AJ268" s="916"/>
      <c r="AK268" s="916"/>
      <c r="AL268" s="916"/>
      <c r="AM268" s="916"/>
      <c r="AN268" s="916"/>
      <c r="AO268" s="916"/>
      <c r="AP268" s="916"/>
      <c r="AQ268" s="916"/>
      <c r="AR268" s="916"/>
      <c r="AS268" s="916"/>
      <c r="AT268" s="916"/>
      <c r="AU268" s="916"/>
      <c r="AV268" s="916"/>
      <c r="AW268" s="916"/>
      <c r="AX268" s="916"/>
      <c r="AY268" s="916"/>
      <c r="AZ268" s="916"/>
      <c r="BA268" s="916"/>
      <c r="BB268" s="916"/>
      <c r="BC268" s="916"/>
      <c r="BD268" s="916"/>
      <c r="BE268" s="916"/>
      <c r="BF268" s="916"/>
    </row>
    <row r="269" ht="14.25" customHeight="1">
      <c r="A269" s="916"/>
      <c r="B269" s="952" t="s">
        <v>896</v>
      </c>
      <c r="C269" s="948" t="s">
        <v>769</v>
      </c>
      <c r="D269" s="979" t="s">
        <v>897</v>
      </c>
      <c r="E269" s="980"/>
      <c r="F269" s="916"/>
      <c r="G269" s="916"/>
      <c r="P269" s="916"/>
      <c r="Q269" s="916"/>
      <c r="R269" s="916"/>
      <c r="S269" s="916"/>
      <c r="T269" s="916"/>
      <c r="U269" s="916"/>
      <c r="V269" s="916"/>
      <c r="W269" s="916"/>
      <c r="X269" s="916"/>
      <c r="Y269" s="916"/>
      <c r="Z269" s="916"/>
      <c r="AA269" s="916"/>
      <c r="AB269" s="916"/>
      <c r="AC269" s="916"/>
      <c r="AD269" s="916"/>
      <c r="AE269" s="916"/>
      <c r="AF269" s="916"/>
      <c r="AG269" s="916"/>
      <c r="AH269" s="916"/>
      <c r="AI269" s="916"/>
      <c r="AJ269" s="916"/>
      <c r="AK269" s="916"/>
      <c r="AL269" s="916"/>
      <c r="AM269" s="916"/>
      <c r="AN269" s="916"/>
      <c r="AO269" s="916"/>
      <c r="AP269" s="916"/>
      <c r="AQ269" s="916"/>
      <c r="AR269" s="916"/>
      <c r="AS269" s="916"/>
      <c r="AT269" s="916"/>
      <c r="AU269" s="916"/>
      <c r="AV269" s="916"/>
      <c r="AW269" s="916"/>
      <c r="AX269" s="916"/>
      <c r="AY269" s="916"/>
      <c r="AZ269" s="916"/>
      <c r="BA269" s="916"/>
      <c r="BB269" s="916"/>
      <c r="BC269" s="916"/>
      <c r="BD269" s="916"/>
      <c r="BE269" s="916"/>
      <c r="BF269" s="916"/>
    </row>
    <row r="270" ht="14.25" customHeight="1">
      <c r="A270" s="916"/>
      <c r="C270" s="948" t="s">
        <v>769</v>
      </c>
      <c r="D270" s="936" t="s">
        <v>898</v>
      </c>
      <c r="E270" s="916"/>
      <c r="F270" s="916"/>
      <c r="G270" s="916"/>
      <c r="L270" s="724" t="s">
        <v>899</v>
      </c>
      <c r="M270" s="916"/>
      <c r="N270" s="916"/>
      <c r="P270" s="916"/>
      <c r="Q270" s="916"/>
      <c r="R270" s="916"/>
      <c r="S270" s="916"/>
      <c r="T270" s="916"/>
      <c r="U270" s="916"/>
      <c r="V270" s="916"/>
      <c r="W270" s="916"/>
      <c r="X270" s="916"/>
      <c r="Y270" s="916"/>
      <c r="Z270" s="916"/>
      <c r="AA270" s="916"/>
      <c r="AB270" s="916"/>
      <c r="AD270" s="916"/>
      <c r="AE270" s="916"/>
      <c r="AF270" s="916"/>
      <c r="AG270" s="916"/>
      <c r="AH270" s="916"/>
      <c r="AI270" s="916"/>
      <c r="AJ270" s="916"/>
      <c r="AK270" s="916"/>
      <c r="AL270" s="916"/>
      <c r="AM270" s="916"/>
      <c r="AN270" s="916"/>
      <c r="AO270" s="916"/>
      <c r="AP270" s="916"/>
      <c r="AQ270" s="916"/>
      <c r="AR270" s="916"/>
      <c r="AS270" s="916"/>
      <c r="AT270" s="916"/>
      <c r="AU270" s="916"/>
      <c r="AV270" s="916"/>
      <c r="AW270" s="916"/>
      <c r="AX270" s="916"/>
      <c r="AY270" s="916"/>
      <c r="AZ270" s="916"/>
      <c r="BA270" s="916"/>
      <c r="BB270" s="916"/>
      <c r="BC270" s="916"/>
      <c r="BD270" s="916"/>
      <c r="BE270" s="916"/>
      <c r="BF270" s="916"/>
    </row>
    <row r="271" ht="14.25" customHeight="1">
      <c r="A271" s="916"/>
      <c r="B271" s="946"/>
      <c r="C271" s="941"/>
      <c r="D271" s="947"/>
      <c r="E271" s="916"/>
      <c r="F271" s="916"/>
      <c r="G271" s="916"/>
      <c r="H271" s="916"/>
      <c r="I271" s="916"/>
      <c r="J271" s="916"/>
      <c r="K271" s="916"/>
      <c r="L271" s="916"/>
      <c r="M271" s="916"/>
      <c r="N271" s="916"/>
      <c r="O271" s="916"/>
      <c r="P271" s="916"/>
      <c r="Q271" s="916"/>
      <c r="R271" s="916"/>
      <c r="S271" s="916"/>
      <c r="T271" s="916"/>
      <c r="U271" s="916"/>
      <c r="V271" s="916"/>
      <c r="W271" s="916"/>
      <c r="X271" s="916"/>
      <c r="Y271" s="916"/>
      <c r="Z271" s="916"/>
      <c r="AA271" s="916"/>
      <c r="AB271" s="916"/>
      <c r="AD271" s="916"/>
      <c r="AE271" s="916"/>
      <c r="AF271" s="916"/>
      <c r="AG271" s="916"/>
      <c r="AH271" s="916"/>
      <c r="AI271" s="916"/>
      <c r="AJ271" s="916"/>
      <c r="AK271" s="916"/>
      <c r="AL271" s="916"/>
      <c r="AM271" s="916"/>
      <c r="AN271" s="916"/>
      <c r="AO271" s="916"/>
      <c r="AP271" s="916"/>
      <c r="AQ271" s="916"/>
      <c r="AR271" s="916"/>
      <c r="AS271" s="916"/>
      <c r="AT271" s="916"/>
      <c r="AU271" s="916"/>
      <c r="AV271" s="916"/>
    </row>
    <row r="272" ht="14.25" customHeight="1">
      <c r="A272" s="916"/>
      <c r="B272" s="917"/>
      <c r="C272" s="941"/>
      <c r="D272" s="936" t="s">
        <v>900</v>
      </c>
      <c r="E272" s="916"/>
      <c r="F272" s="916"/>
      <c r="G272" s="916"/>
      <c r="H272" s="916"/>
      <c r="I272" s="916"/>
      <c r="J272" s="936"/>
      <c r="K272" s="916"/>
      <c r="L272" s="916"/>
      <c r="M272" s="916"/>
      <c r="N272" s="916"/>
      <c r="O272" s="916"/>
      <c r="P272" s="916"/>
      <c r="Q272" s="916"/>
      <c r="R272" s="916"/>
      <c r="S272" s="916"/>
      <c r="T272" s="916"/>
      <c r="U272" s="916"/>
      <c r="V272" s="916"/>
      <c r="W272" s="916"/>
      <c r="X272" s="916"/>
      <c r="Y272" s="916"/>
      <c r="Z272" s="916"/>
      <c r="AA272" s="916"/>
      <c r="AB272" s="916"/>
      <c r="AD272" s="916"/>
      <c r="AE272" s="916"/>
      <c r="AF272" s="916"/>
      <c r="AG272" s="916"/>
      <c r="AH272" s="916"/>
      <c r="AI272" s="916"/>
      <c r="AJ272" s="916"/>
      <c r="AK272" s="916"/>
      <c r="AL272" s="916"/>
      <c r="AM272" s="916"/>
      <c r="AN272" s="916"/>
      <c r="AO272" s="916"/>
      <c r="AP272" s="916"/>
      <c r="AQ272" s="916"/>
      <c r="AR272" s="916"/>
      <c r="AS272" s="916"/>
      <c r="AT272" s="916"/>
      <c r="AU272" s="916"/>
      <c r="AV272" s="916"/>
    </row>
    <row r="273" ht="14.25" customHeight="1">
      <c r="A273" s="916"/>
      <c r="B273" s="917" t="s">
        <v>750</v>
      </c>
      <c r="C273" s="941"/>
      <c r="D273" s="981"/>
      <c r="E273" s="968"/>
      <c r="F273" s="968"/>
      <c r="G273" s="968"/>
      <c r="H273" s="968"/>
      <c r="I273" s="968"/>
      <c r="J273" s="982"/>
      <c r="K273" s="916"/>
      <c r="L273" s="916"/>
      <c r="M273" s="916"/>
      <c r="N273" s="916"/>
      <c r="O273" s="916"/>
      <c r="P273" s="916"/>
      <c r="Q273" s="916"/>
      <c r="R273" s="916"/>
      <c r="S273" s="916"/>
      <c r="T273" s="916"/>
      <c r="U273" s="916"/>
      <c r="V273" s="916"/>
      <c r="W273" s="916"/>
      <c r="X273" s="916"/>
      <c r="Y273" s="916"/>
      <c r="Z273" s="916"/>
      <c r="AA273" s="916"/>
      <c r="AB273" s="916"/>
      <c r="AD273" s="916"/>
      <c r="AE273" s="916"/>
      <c r="AF273" s="916"/>
      <c r="AG273" s="916"/>
      <c r="AH273" s="916"/>
      <c r="AI273" s="916"/>
      <c r="AJ273" s="916"/>
      <c r="AK273" s="916"/>
      <c r="AL273" s="916"/>
      <c r="AM273" s="916"/>
      <c r="AN273" s="916"/>
      <c r="AO273" s="916"/>
      <c r="AP273" s="916"/>
      <c r="AQ273" s="916"/>
      <c r="AR273" s="916"/>
      <c r="AS273" s="916"/>
      <c r="AT273" s="916"/>
      <c r="AU273" s="916"/>
      <c r="AV273" s="916"/>
    </row>
    <row r="274" ht="14.25" customHeight="1">
      <c r="A274" s="916"/>
      <c r="B274" s="917"/>
      <c r="C274" s="941"/>
      <c r="D274" s="983"/>
      <c r="E274" s="920"/>
      <c r="F274" s="920"/>
      <c r="G274" s="920"/>
      <c r="H274" s="920"/>
      <c r="I274" s="920"/>
      <c r="J274" s="984"/>
      <c r="K274" s="916"/>
      <c r="L274" s="916"/>
      <c r="M274" s="916"/>
      <c r="N274" s="916"/>
      <c r="O274" s="916"/>
      <c r="P274" s="916"/>
      <c r="Q274" s="916"/>
      <c r="R274" s="916"/>
      <c r="S274" s="916"/>
      <c r="T274" s="916"/>
      <c r="U274" s="916"/>
      <c r="V274" s="916"/>
      <c r="W274" s="916"/>
      <c r="X274" s="916"/>
      <c r="Y274" s="916"/>
      <c r="Z274" s="916"/>
      <c r="AA274" s="916"/>
      <c r="AB274" s="916"/>
      <c r="AD274" s="916"/>
      <c r="AE274" s="916"/>
      <c r="AF274" s="916"/>
      <c r="AG274" s="916"/>
      <c r="AH274" s="916"/>
      <c r="AI274" s="916"/>
      <c r="AJ274" s="916"/>
      <c r="AK274" s="916"/>
      <c r="AL274" s="916"/>
      <c r="AM274" s="916"/>
      <c r="AN274" s="916"/>
      <c r="AO274" s="916"/>
      <c r="AP274" s="916"/>
      <c r="AQ274" s="916"/>
      <c r="AR274" s="916"/>
      <c r="AS274" s="916"/>
      <c r="AT274" s="916"/>
      <c r="AU274" s="916"/>
      <c r="AV274" s="916"/>
    </row>
    <row r="275" ht="14.25" customHeight="1">
      <c r="A275" s="916"/>
      <c r="B275" s="942"/>
      <c r="C275" s="943"/>
      <c r="D275" s="944"/>
      <c r="E275" s="945"/>
      <c r="F275" s="945"/>
      <c r="G275" s="945"/>
      <c r="H275" s="945"/>
      <c r="I275" s="945"/>
      <c r="J275" s="945"/>
      <c r="K275" s="945"/>
      <c r="L275" s="945"/>
      <c r="M275" s="945"/>
      <c r="N275" s="945"/>
      <c r="O275" s="945"/>
      <c r="P275" s="916"/>
      <c r="Q275" s="916"/>
      <c r="R275" s="916"/>
      <c r="S275" s="916"/>
      <c r="T275" s="916"/>
      <c r="U275" s="916"/>
      <c r="V275" s="916"/>
      <c r="W275" s="916"/>
      <c r="X275" s="916"/>
      <c r="Y275" s="916"/>
      <c r="Z275" s="916"/>
      <c r="AA275" s="916"/>
      <c r="AB275" s="916"/>
      <c r="AD275" s="916"/>
      <c r="AE275" s="916"/>
      <c r="AF275" s="916"/>
      <c r="AG275" s="916"/>
      <c r="AH275" s="916"/>
      <c r="AI275" s="916"/>
      <c r="AJ275" s="916"/>
      <c r="AK275" s="916"/>
      <c r="AL275" s="916"/>
      <c r="AM275" s="916"/>
      <c r="AN275" s="916"/>
      <c r="AO275" s="916"/>
      <c r="AP275" s="916"/>
      <c r="AQ275" s="916"/>
      <c r="AR275" s="916"/>
      <c r="AS275" s="916"/>
      <c r="AT275" s="916"/>
      <c r="AU275" s="916"/>
      <c r="AV275" s="916"/>
    </row>
    <row r="276" ht="14.25" customHeight="1">
      <c r="A276" s="916"/>
      <c r="B276" s="946"/>
      <c r="C276" s="941"/>
      <c r="D276" s="947"/>
      <c r="E276" s="916"/>
      <c r="F276" s="916"/>
      <c r="G276" s="916"/>
      <c r="H276" s="916"/>
      <c r="I276" s="916"/>
      <c r="J276" s="916"/>
      <c r="K276" s="916"/>
      <c r="L276" s="916"/>
      <c r="M276" s="916"/>
      <c r="N276" s="916"/>
      <c r="O276" s="916"/>
      <c r="P276" s="916"/>
      <c r="Q276" s="916"/>
      <c r="R276" s="916"/>
      <c r="S276" s="916"/>
      <c r="T276" s="916"/>
      <c r="U276" s="916"/>
      <c r="V276" s="916"/>
      <c r="W276" s="916"/>
      <c r="X276" s="916"/>
      <c r="Y276" s="916"/>
      <c r="Z276" s="916"/>
      <c r="AA276" s="916"/>
      <c r="AB276" s="916"/>
      <c r="AD276" s="916"/>
      <c r="AE276" s="916"/>
      <c r="AF276" s="916"/>
      <c r="AG276" s="916"/>
      <c r="AH276" s="916"/>
      <c r="AI276" s="916"/>
      <c r="AJ276" s="916"/>
      <c r="AK276" s="916"/>
      <c r="AL276" s="916"/>
      <c r="AM276" s="916"/>
      <c r="AN276" s="916"/>
      <c r="AO276" s="916"/>
      <c r="AP276" s="916"/>
      <c r="AQ276" s="916"/>
      <c r="AR276" s="916"/>
      <c r="AS276" s="916"/>
      <c r="AT276" s="916"/>
      <c r="AU276" s="916"/>
      <c r="AV276" s="916"/>
    </row>
    <row r="277" ht="14.25" customHeight="1">
      <c r="A277" s="916"/>
      <c r="B277" s="917"/>
      <c r="C277" s="935" t="s">
        <v>760</v>
      </c>
      <c r="D277" s="921" t="s">
        <v>761</v>
      </c>
      <c r="E277" s="916"/>
      <c r="F277" s="916"/>
      <c r="G277" s="916"/>
      <c r="H277" s="916"/>
      <c r="I277" s="916"/>
      <c r="J277" s="916"/>
      <c r="L277" s="916"/>
      <c r="M277" s="916"/>
      <c r="P277" s="916"/>
      <c r="Q277" s="916"/>
      <c r="R277" s="916"/>
      <c r="S277" s="916"/>
      <c r="T277" s="916"/>
      <c r="U277" s="916"/>
      <c r="V277" s="916"/>
      <c r="W277" s="916"/>
      <c r="X277" s="916"/>
      <c r="Y277" s="916"/>
      <c r="Z277" s="916"/>
      <c r="AA277" s="916"/>
      <c r="AB277" s="916"/>
      <c r="AD277" s="916"/>
      <c r="AE277" s="916"/>
      <c r="AF277" s="916"/>
      <c r="AG277" s="916"/>
      <c r="AH277" s="916"/>
      <c r="AI277" s="916"/>
      <c r="AJ277" s="916"/>
      <c r="AK277" s="916"/>
      <c r="AL277" s="916"/>
      <c r="AM277" s="916"/>
      <c r="AN277" s="916"/>
      <c r="AO277" s="916"/>
      <c r="AP277" s="916"/>
      <c r="AQ277" s="916"/>
      <c r="AR277" s="916"/>
      <c r="AS277" s="916"/>
      <c r="AT277" s="916"/>
      <c r="AU277" s="916"/>
      <c r="AV277" s="916"/>
      <c r="AW277" s="916"/>
      <c r="AX277" s="916"/>
      <c r="AY277" s="916"/>
      <c r="AZ277" s="916"/>
      <c r="BA277" s="916"/>
      <c r="BB277" s="916"/>
      <c r="BC277" s="916"/>
      <c r="BD277" s="916"/>
      <c r="BE277" s="916"/>
      <c r="BF277" s="916"/>
    </row>
    <row r="278" ht="14.25" customHeight="1">
      <c r="A278" s="916"/>
      <c r="B278" s="917"/>
      <c r="C278" s="935"/>
      <c r="D278" s="921"/>
      <c r="E278" s="916"/>
      <c r="F278" s="916"/>
      <c r="G278" s="916"/>
      <c r="H278" s="916"/>
      <c r="I278" s="916"/>
      <c r="J278" s="916"/>
      <c r="L278" s="916"/>
      <c r="M278" s="916"/>
      <c r="P278" s="916"/>
      <c r="Q278" s="916"/>
      <c r="R278" s="916"/>
      <c r="S278" s="916"/>
      <c r="T278" s="916"/>
      <c r="U278" s="916"/>
      <c r="V278" s="916"/>
      <c r="W278" s="916"/>
      <c r="X278" s="916"/>
      <c r="Y278" s="916"/>
      <c r="Z278" s="916"/>
      <c r="AA278" s="916"/>
      <c r="AB278" s="916"/>
      <c r="AD278" s="916"/>
      <c r="AE278" s="916"/>
      <c r="AF278" s="916"/>
      <c r="AG278" s="916"/>
      <c r="AH278" s="916"/>
      <c r="AI278" s="916"/>
      <c r="AJ278" s="916"/>
      <c r="AK278" s="916"/>
      <c r="AL278" s="916"/>
      <c r="AM278" s="916"/>
      <c r="AN278" s="916"/>
      <c r="AO278" s="916"/>
      <c r="AP278" s="916"/>
      <c r="AQ278" s="916"/>
      <c r="AR278" s="916"/>
      <c r="AS278" s="916"/>
      <c r="AT278" s="916"/>
      <c r="AU278" s="916"/>
      <c r="AV278" s="916"/>
      <c r="AW278" s="916"/>
      <c r="AX278" s="916"/>
      <c r="AY278" s="916"/>
      <c r="AZ278" s="916"/>
      <c r="BA278" s="916"/>
      <c r="BB278" s="916"/>
      <c r="BC278" s="916"/>
      <c r="BD278" s="916"/>
      <c r="BE278" s="916"/>
      <c r="BF278" s="916"/>
    </row>
    <row r="279" ht="14.25" customHeight="1">
      <c r="A279" s="916"/>
      <c r="B279" s="917"/>
      <c r="C279" s="935"/>
      <c r="D279" s="921" t="s">
        <v>147</v>
      </c>
      <c r="E279" s="916"/>
      <c r="F279" s="916"/>
      <c r="G279" s="916"/>
      <c r="H279" s="916"/>
      <c r="I279" s="916"/>
      <c r="J279" s="916"/>
      <c r="L279" s="916"/>
      <c r="M279" s="916"/>
      <c r="P279" s="916"/>
      <c r="Q279" s="916"/>
      <c r="R279" s="916"/>
      <c r="S279" s="916"/>
      <c r="T279" s="916"/>
      <c r="U279" s="916"/>
      <c r="V279" s="916"/>
      <c r="W279" s="916"/>
      <c r="X279" s="916"/>
      <c r="Y279" s="916"/>
      <c r="Z279" s="916"/>
      <c r="AA279" s="916"/>
      <c r="AB279" s="916"/>
      <c r="AD279" s="916"/>
      <c r="AE279" s="916"/>
      <c r="AF279" s="916"/>
      <c r="AG279" s="916"/>
      <c r="AH279" s="916"/>
      <c r="AI279" s="916"/>
      <c r="AJ279" s="916"/>
      <c r="AK279" s="916"/>
      <c r="AL279" s="916"/>
      <c r="AM279" s="916"/>
      <c r="AN279" s="916"/>
      <c r="AO279" s="916"/>
      <c r="AP279" s="916"/>
      <c r="AQ279" s="916"/>
      <c r="AR279" s="916"/>
      <c r="AS279" s="916"/>
      <c r="AT279" s="916"/>
      <c r="AU279" s="916"/>
      <c r="AV279" s="916"/>
      <c r="AW279" s="916"/>
      <c r="AX279" s="916"/>
      <c r="AY279" s="916"/>
      <c r="AZ279" s="916"/>
      <c r="BA279" s="916"/>
      <c r="BB279" s="916"/>
      <c r="BC279" s="916"/>
      <c r="BD279" s="916"/>
      <c r="BE279" s="916"/>
      <c r="BF279" s="916"/>
    </row>
    <row r="280" ht="14.25" customHeight="1">
      <c r="A280" s="916"/>
      <c r="B280" s="917"/>
      <c r="C280" s="935"/>
      <c r="D280" s="921"/>
      <c r="E280" s="916"/>
      <c r="F280" s="916"/>
      <c r="G280" s="916"/>
      <c r="H280" s="916"/>
      <c r="I280" s="916"/>
      <c r="J280" s="916"/>
      <c r="L280" s="916"/>
      <c r="M280" s="916"/>
      <c r="P280" s="916"/>
      <c r="Q280" s="916"/>
      <c r="R280" s="916"/>
      <c r="S280" s="916"/>
      <c r="T280" s="916"/>
      <c r="U280" s="916"/>
      <c r="V280" s="916"/>
      <c r="W280" s="916"/>
      <c r="X280" s="916"/>
      <c r="Y280" s="916"/>
      <c r="Z280" s="916"/>
      <c r="AA280" s="916"/>
      <c r="AB280" s="916"/>
      <c r="AD280" s="916"/>
      <c r="AE280" s="916"/>
      <c r="AF280" s="916"/>
      <c r="AG280" s="916"/>
      <c r="AH280" s="916"/>
      <c r="AI280" s="916"/>
      <c r="AJ280" s="916"/>
      <c r="AK280" s="916"/>
      <c r="AL280" s="916"/>
      <c r="AM280" s="916"/>
      <c r="AN280" s="916"/>
      <c r="AO280" s="916"/>
      <c r="AP280" s="916"/>
      <c r="AQ280" s="916"/>
      <c r="AR280" s="916"/>
      <c r="AS280" s="916"/>
      <c r="AT280" s="916"/>
      <c r="AU280" s="916"/>
      <c r="AV280" s="916"/>
      <c r="AW280" s="916"/>
      <c r="AX280" s="916"/>
      <c r="AY280" s="916"/>
      <c r="AZ280" s="916"/>
      <c r="BA280" s="916"/>
      <c r="BB280" s="916"/>
      <c r="BC280" s="916"/>
      <c r="BD280" s="916"/>
      <c r="BE280" s="916"/>
      <c r="BF280" s="916"/>
    </row>
    <row r="281" ht="14.25" customHeight="1">
      <c r="A281" s="916"/>
      <c r="B281" s="917" t="s">
        <v>879</v>
      </c>
      <c r="C281" s="948" t="s">
        <v>769</v>
      </c>
      <c r="D281" s="724" t="s">
        <v>140</v>
      </c>
      <c r="E281" s="724"/>
      <c r="F281" s="724"/>
      <c r="G281" s="724"/>
      <c r="L281" s="916"/>
      <c r="M281" s="916"/>
      <c r="P281" s="916"/>
      <c r="Q281" s="916"/>
      <c r="R281" s="916"/>
      <c r="S281" s="916"/>
      <c r="T281" s="916"/>
      <c r="U281" s="916"/>
      <c r="V281" s="916"/>
      <c r="W281" s="916"/>
      <c r="X281" s="916"/>
      <c r="Y281" s="916"/>
      <c r="Z281" s="916"/>
      <c r="AA281" s="916"/>
      <c r="AB281" s="916"/>
      <c r="AD281" s="916"/>
      <c r="AE281" s="916"/>
      <c r="AF281" s="916"/>
      <c r="AG281" s="916"/>
      <c r="AH281" s="916"/>
      <c r="AI281" s="916"/>
      <c r="AJ281" s="916"/>
      <c r="AK281" s="916"/>
      <c r="AL281" s="916"/>
      <c r="AM281" s="916"/>
      <c r="AN281" s="916"/>
      <c r="AO281" s="916"/>
      <c r="AP281" s="916"/>
      <c r="AQ281" s="916"/>
      <c r="AR281" s="916"/>
      <c r="AS281" s="916"/>
      <c r="AT281" s="916"/>
      <c r="AU281" s="916"/>
      <c r="AV281" s="916"/>
      <c r="AW281" s="916"/>
      <c r="AX281" s="916"/>
      <c r="AY281" s="916"/>
      <c r="AZ281" s="916"/>
      <c r="BA281" s="916"/>
      <c r="BB281" s="916"/>
      <c r="BC281" s="916"/>
      <c r="BD281" s="916"/>
      <c r="BE281" s="916"/>
      <c r="BF281" s="916"/>
    </row>
    <row r="282" ht="14.25" customHeight="1">
      <c r="A282" s="916"/>
      <c r="B282" s="917"/>
      <c r="C282" s="935"/>
      <c r="D282" s="921"/>
      <c r="E282" s="916"/>
      <c r="F282" s="916"/>
      <c r="G282" s="916"/>
      <c r="H282" s="916"/>
      <c r="I282" s="916"/>
      <c r="J282" s="916"/>
      <c r="L282" s="916"/>
      <c r="P282" s="916"/>
      <c r="Q282" s="916"/>
      <c r="R282" s="916"/>
      <c r="S282" s="916"/>
      <c r="T282" s="916"/>
      <c r="U282" s="916"/>
      <c r="V282" s="916"/>
      <c r="W282" s="916"/>
      <c r="X282" s="916"/>
      <c r="Y282" s="916"/>
      <c r="Z282" s="916"/>
      <c r="AA282" s="916"/>
      <c r="AB282" s="916"/>
      <c r="AD282" s="916"/>
      <c r="AE282" s="916"/>
      <c r="AF282" s="916"/>
      <c r="AG282" s="916"/>
      <c r="AH282" s="916"/>
      <c r="AI282" s="916"/>
      <c r="AJ282" s="916"/>
      <c r="AK282" s="916"/>
      <c r="AL282" s="916"/>
      <c r="AM282" s="916"/>
      <c r="AN282" s="916"/>
      <c r="AO282" s="916"/>
      <c r="AP282" s="916"/>
      <c r="AQ282" s="916"/>
      <c r="AR282" s="916"/>
      <c r="AS282" s="916"/>
      <c r="AT282" s="916"/>
      <c r="AU282" s="916"/>
      <c r="AV282" s="916"/>
      <c r="AW282" s="916"/>
      <c r="AX282" s="916"/>
      <c r="AY282" s="916"/>
      <c r="AZ282" s="916"/>
      <c r="BA282" s="916"/>
      <c r="BB282" s="916"/>
      <c r="BC282" s="916"/>
      <c r="BD282" s="916"/>
      <c r="BE282" s="916"/>
      <c r="BF282" s="916"/>
    </row>
    <row r="283" ht="14.25" customHeight="1">
      <c r="A283" s="916"/>
      <c r="B283" s="917"/>
      <c r="C283" s="948" t="s">
        <v>769</v>
      </c>
      <c r="D283" s="916" t="s">
        <v>901</v>
      </c>
      <c r="E283" s="916"/>
      <c r="F283" s="916"/>
      <c r="G283" s="916"/>
      <c r="H283" s="916"/>
      <c r="I283" s="916"/>
      <c r="J283" s="916"/>
      <c r="L283" s="916"/>
      <c r="P283" s="916"/>
      <c r="Q283" s="916"/>
      <c r="R283" s="916"/>
      <c r="S283" s="916"/>
      <c r="T283" s="916"/>
      <c r="U283" s="916"/>
      <c r="V283" s="916"/>
      <c r="W283" s="916"/>
      <c r="X283" s="916"/>
      <c r="Y283" s="916"/>
      <c r="Z283" s="916"/>
      <c r="AA283" s="916"/>
      <c r="AB283" s="916"/>
      <c r="AD283" s="916"/>
      <c r="AE283" s="916"/>
      <c r="AF283" s="916"/>
      <c r="AG283" s="916"/>
      <c r="AH283" s="916"/>
      <c r="AI283" s="916"/>
      <c r="AJ283" s="916"/>
      <c r="AK283" s="916"/>
      <c r="AL283" s="916"/>
      <c r="AM283" s="916"/>
      <c r="AN283" s="916"/>
      <c r="AO283" s="916"/>
      <c r="AP283" s="916"/>
      <c r="AQ283" s="916"/>
      <c r="AR283" s="916"/>
      <c r="AS283" s="916"/>
      <c r="AT283" s="916"/>
      <c r="AU283" s="916"/>
      <c r="AV283" s="916"/>
      <c r="AW283" s="916"/>
      <c r="AX283" s="916"/>
      <c r="AY283" s="916"/>
      <c r="AZ283" s="916"/>
      <c r="BA283" s="916"/>
      <c r="BB283" s="916"/>
      <c r="BC283" s="916"/>
      <c r="BD283" s="916"/>
      <c r="BE283" s="916"/>
      <c r="BF283" s="916"/>
    </row>
    <row r="284" ht="14.25" customHeight="1">
      <c r="A284" s="916"/>
      <c r="B284" s="917" t="s">
        <v>861</v>
      </c>
      <c r="C284" s="941">
        <v>1.0</v>
      </c>
      <c r="D284" s="972" t="s">
        <v>902</v>
      </c>
      <c r="E284" s="974"/>
      <c r="F284" s="974"/>
      <c r="G284" s="974"/>
      <c r="H284" s="974"/>
      <c r="I284" s="974"/>
      <c r="J284" s="930"/>
      <c r="L284" s="916"/>
      <c r="P284" s="916"/>
      <c r="Q284" s="916"/>
      <c r="R284" s="916"/>
      <c r="S284" s="916"/>
      <c r="T284" s="916"/>
      <c r="U284" s="916"/>
      <c r="V284" s="916"/>
      <c r="W284" s="916"/>
      <c r="X284" s="916"/>
      <c r="Y284" s="916"/>
      <c r="Z284" s="916"/>
      <c r="AA284" s="916"/>
      <c r="AB284" s="916"/>
      <c r="AD284" s="916"/>
      <c r="AE284" s="916"/>
      <c r="AF284" s="916"/>
      <c r="AG284" s="916"/>
      <c r="AH284" s="916"/>
      <c r="AI284" s="916"/>
      <c r="AJ284" s="916"/>
      <c r="AK284" s="916"/>
      <c r="AL284" s="916"/>
      <c r="AM284" s="916"/>
      <c r="AN284" s="916"/>
      <c r="AO284" s="916"/>
      <c r="AP284" s="916"/>
      <c r="AQ284" s="916"/>
      <c r="AR284" s="916"/>
      <c r="AS284" s="916"/>
      <c r="AT284" s="916"/>
      <c r="AU284" s="916"/>
      <c r="AV284" s="916"/>
      <c r="AW284" s="916"/>
      <c r="AX284" s="916"/>
      <c r="AY284" s="916"/>
      <c r="AZ284" s="916"/>
      <c r="BA284" s="916"/>
      <c r="BB284" s="916"/>
      <c r="BC284" s="916"/>
      <c r="BD284" s="916"/>
      <c r="BE284" s="916"/>
      <c r="BF284" s="916"/>
    </row>
    <row r="285" ht="14.25" customHeight="1">
      <c r="A285" s="916"/>
      <c r="B285" s="917" t="s">
        <v>861</v>
      </c>
      <c r="C285" s="941">
        <v>2.0</v>
      </c>
      <c r="D285" s="972" t="s">
        <v>903</v>
      </c>
      <c r="E285" s="974"/>
      <c r="F285" s="974"/>
      <c r="G285" s="974"/>
      <c r="H285" s="974"/>
      <c r="I285" s="974"/>
      <c r="J285" s="930"/>
      <c r="L285" s="916" t="s">
        <v>151</v>
      </c>
      <c r="P285" s="916"/>
      <c r="Q285" s="916"/>
      <c r="R285" s="916"/>
      <c r="S285" s="916"/>
      <c r="T285" s="916"/>
      <c r="U285" s="916"/>
      <c r="V285" s="916"/>
      <c r="W285" s="916"/>
      <c r="X285" s="916"/>
      <c r="Y285" s="916"/>
      <c r="Z285" s="916"/>
      <c r="AA285" s="916"/>
      <c r="AB285" s="916"/>
      <c r="AD285" s="916"/>
      <c r="AE285" s="916"/>
      <c r="AF285" s="916"/>
      <c r="AG285" s="916"/>
      <c r="AH285" s="916"/>
      <c r="AI285" s="916"/>
      <c r="AJ285" s="916"/>
      <c r="AK285" s="916"/>
      <c r="AL285" s="916"/>
      <c r="AM285" s="916"/>
      <c r="AN285" s="916"/>
      <c r="AO285" s="916"/>
      <c r="AP285" s="916"/>
      <c r="AQ285" s="916"/>
      <c r="AR285" s="916"/>
      <c r="AS285" s="916"/>
      <c r="AT285" s="916"/>
      <c r="AU285" s="916"/>
      <c r="AV285" s="916"/>
      <c r="AW285" s="916"/>
      <c r="AX285" s="916"/>
      <c r="AY285" s="916"/>
      <c r="AZ285" s="916"/>
      <c r="BA285" s="916"/>
      <c r="BB285" s="916"/>
      <c r="BC285" s="916"/>
      <c r="BD285" s="916"/>
      <c r="BE285" s="916"/>
      <c r="BF285" s="916"/>
    </row>
    <row r="286" ht="14.25" customHeight="1">
      <c r="A286" s="916"/>
      <c r="B286" s="917" t="s">
        <v>861</v>
      </c>
      <c r="C286" s="941">
        <v>3.0</v>
      </c>
      <c r="D286" s="972" t="s">
        <v>904</v>
      </c>
      <c r="E286" s="974"/>
      <c r="F286" s="974"/>
      <c r="G286" s="974"/>
      <c r="H286" s="974"/>
      <c r="I286" s="974"/>
      <c r="J286" s="930"/>
      <c r="L286" s="916" t="s">
        <v>151</v>
      </c>
      <c r="P286" s="916"/>
      <c r="Q286" s="916"/>
      <c r="R286" s="916"/>
      <c r="S286" s="916"/>
      <c r="T286" s="916"/>
      <c r="U286" s="916"/>
      <c r="V286" s="916"/>
      <c r="W286" s="916"/>
      <c r="X286" s="916"/>
      <c r="Y286" s="916"/>
      <c r="Z286" s="916"/>
      <c r="AA286" s="916"/>
      <c r="AB286" s="916"/>
      <c r="AD286" s="916"/>
      <c r="AE286" s="916"/>
      <c r="AF286" s="916"/>
      <c r="AG286" s="916"/>
      <c r="AH286" s="916"/>
      <c r="AI286" s="916"/>
      <c r="AJ286" s="916"/>
      <c r="AK286" s="916"/>
      <c r="AL286" s="916"/>
      <c r="AM286" s="916"/>
      <c r="AN286" s="916"/>
      <c r="AO286" s="916"/>
      <c r="AP286" s="916"/>
      <c r="AQ286" s="916"/>
      <c r="AR286" s="916"/>
      <c r="AS286" s="916"/>
      <c r="AT286" s="916"/>
      <c r="AU286" s="916"/>
      <c r="AV286" s="916"/>
      <c r="AW286" s="916"/>
      <c r="AX286" s="916"/>
      <c r="AY286" s="916"/>
      <c r="AZ286" s="916"/>
      <c r="BA286" s="916"/>
      <c r="BB286" s="916"/>
      <c r="BC286" s="916"/>
      <c r="BD286" s="916"/>
      <c r="BE286" s="916"/>
      <c r="BF286" s="916"/>
    </row>
    <row r="287" ht="14.25" customHeight="1">
      <c r="A287" s="916"/>
      <c r="B287" s="917" t="s">
        <v>861</v>
      </c>
      <c r="C287" s="941">
        <v>4.0</v>
      </c>
      <c r="D287" s="972" t="s">
        <v>153</v>
      </c>
      <c r="E287" s="974"/>
      <c r="F287" s="974"/>
      <c r="G287" s="974"/>
      <c r="H287" s="974"/>
      <c r="I287" s="974"/>
      <c r="J287" s="930"/>
      <c r="L287" s="916" t="s">
        <v>151</v>
      </c>
      <c r="P287" s="916"/>
      <c r="Q287" s="916"/>
      <c r="R287" s="916"/>
      <c r="S287" s="916"/>
      <c r="T287" s="916"/>
      <c r="U287" s="916"/>
      <c r="V287" s="916"/>
      <c r="W287" s="916"/>
      <c r="X287" s="916"/>
      <c r="Y287" s="916"/>
      <c r="Z287" s="916"/>
      <c r="AA287" s="916"/>
      <c r="AB287" s="916"/>
      <c r="AD287" s="916"/>
      <c r="AE287" s="916"/>
      <c r="AF287" s="916"/>
      <c r="AG287" s="916"/>
      <c r="AH287" s="916"/>
      <c r="AI287" s="916"/>
      <c r="AJ287" s="916"/>
      <c r="AK287" s="916"/>
      <c r="AL287" s="916"/>
      <c r="AM287" s="916"/>
      <c r="AN287" s="916"/>
      <c r="AO287" s="916"/>
      <c r="AP287" s="916"/>
      <c r="AQ287" s="916"/>
      <c r="AR287" s="916"/>
      <c r="AS287" s="916"/>
      <c r="AT287" s="916"/>
      <c r="AU287" s="916"/>
      <c r="AV287" s="916"/>
      <c r="AW287" s="916"/>
      <c r="AX287" s="916"/>
      <c r="AY287" s="916"/>
      <c r="AZ287" s="916"/>
      <c r="BA287" s="916"/>
      <c r="BB287" s="916"/>
      <c r="BC287" s="916"/>
      <c r="BD287" s="916"/>
      <c r="BE287" s="916"/>
      <c r="BF287" s="916"/>
    </row>
    <row r="288" ht="14.25" customHeight="1">
      <c r="A288" s="916"/>
      <c r="B288" s="917" t="s">
        <v>861</v>
      </c>
      <c r="C288" s="941">
        <v>5.0</v>
      </c>
      <c r="D288" s="972" t="s">
        <v>154</v>
      </c>
      <c r="E288" s="974"/>
      <c r="F288" s="974"/>
      <c r="G288" s="974"/>
      <c r="H288" s="974"/>
      <c r="I288" s="974"/>
      <c r="J288" s="930"/>
      <c r="L288" s="916" t="s">
        <v>151</v>
      </c>
      <c r="P288" s="916"/>
      <c r="Q288" s="916"/>
      <c r="R288" s="916"/>
      <c r="S288" s="916"/>
      <c r="T288" s="916"/>
      <c r="U288" s="916"/>
      <c r="V288" s="916"/>
      <c r="W288" s="916"/>
      <c r="X288" s="916"/>
      <c r="Y288" s="916"/>
      <c r="Z288" s="916"/>
      <c r="AA288" s="916"/>
      <c r="AB288" s="916"/>
      <c r="AD288" s="916"/>
      <c r="AE288" s="916"/>
      <c r="AF288" s="916"/>
      <c r="AG288" s="916"/>
      <c r="AH288" s="916"/>
      <c r="AI288" s="916"/>
      <c r="AJ288" s="916"/>
      <c r="AK288" s="916"/>
      <c r="AL288" s="916"/>
      <c r="AM288" s="916"/>
      <c r="AN288" s="916"/>
      <c r="AO288" s="916"/>
      <c r="AP288" s="916"/>
      <c r="AQ288" s="916"/>
      <c r="AR288" s="916"/>
      <c r="AS288" s="916"/>
      <c r="AT288" s="916"/>
      <c r="AU288" s="916"/>
      <c r="AV288" s="916"/>
      <c r="AW288" s="916"/>
      <c r="AX288" s="916"/>
      <c r="AY288" s="916"/>
      <c r="AZ288" s="916"/>
      <c r="BA288" s="916"/>
      <c r="BB288" s="916"/>
      <c r="BC288" s="916"/>
      <c r="BD288" s="916"/>
      <c r="BE288" s="916"/>
      <c r="BF288" s="916"/>
    </row>
    <row r="289" ht="14.25" customHeight="1">
      <c r="A289" s="916"/>
      <c r="B289" s="917" t="s">
        <v>750</v>
      </c>
      <c r="C289" s="941">
        <v>6.0</v>
      </c>
      <c r="D289" s="985"/>
      <c r="E289" s="974"/>
      <c r="F289" s="974"/>
      <c r="G289" s="974"/>
      <c r="H289" s="974"/>
      <c r="I289" s="974"/>
      <c r="J289" s="930"/>
      <c r="P289" s="916"/>
      <c r="Q289" s="916"/>
      <c r="R289" s="916"/>
      <c r="S289" s="916"/>
      <c r="T289" s="916"/>
      <c r="U289" s="916"/>
      <c r="V289" s="916"/>
      <c r="W289" s="916"/>
      <c r="X289" s="916"/>
      <c r="Y289" s="916"/>
      <c r="Z289" s="916"/>
      <c r="AA289" s="916"/>
      <c r="AB289" s="916"/>
      <c r="AC289" s="916"/>
      <c r="AD289" s="916"/>
      <c r="AE289" s="916"/>
      <c r="AF289" s="916"/>
      <c r="AG289" s="916"/>
      <c r="AH289" s="916"/>
      <c r="AI289" s="916"/>
      <c r="AJ289" s="916"/>
      <c r="AK289" s="916"/>
      <c r="AL289" s="916"/>
      <c r="AM289" s="916"/>
      <c r="AN289" s="916"/>
      <c r="AO289" s="916"/>
      <c r="AP289" s="916"/>
      <c r="AQ289" s="916"/>
      <c r="AR289" s="916"/>
      <c r="AS289" s="916"/>
      <c r="AT289" s="916"/>
      <c r="AU289" s="916"/>
      <c r="AV289" s="916"/>
      <c r="AW289" s="916"/>
      <c r="AX289" s="916"/>
      <c r="AY289" s="916"/>
      <c r="AZ289" s="916"/>
      <c r="BA289" s="916"/>
      <c r="BB289" s="916"/>
      <c r="BC289" s="916"/>
      <c r="BD289" s="916"/>
      <c r="BE289" s="916"/>
      <c r="BF289" s="916"/>
    </row>
    <row r="290" ht="14.25" customHeight="1">
      <c r="A290" s="916"/>
      <c r="B290" s="917" t="s">
        <v>750</v>
      </c>
      <c r="C290" s="941">
        <v>7.0</v>
      </c>
      <c r="D290" s="972"/>
      <c r="E290" s="974"/>
      <c r="F290" s="974"/>
      <c r="G290" s="974"/>
      <c r="H290" s="974"/>
      <c r="I290" s="974"/>
      <c r="J290" s="930"/>
      <c r="P290" s="916"/>
      <c r="Q290" s="916"/>
      <c r="R290" s="916"/>
      <c r="S290" s="916"/>
      <c r="T290" s="916"/>
      <c r="U290" s="916"/>
      <c r="V290" s="916"/>
      <c r="W290" s="916"/>
      <c r="X290" s="916"/>
      <c r="Y290" s="916"/>
      <c r="Z290" s="916"/>
      <c r="AA290" s="916"/>
      <c r="AB290" s="916"/>
      <c r="AC290" s="916"/>
      <c r="AD290" s="916"/>
      <c r="AE290" s="916"/>
      <c r="AF290" s="916"/>
      <c r="AG290" s="916"/>
      <c r="AH290" s="916"/>
      <c r="AI290" s="916"/>
      <c r="AJ290" s="916"/>
      <c r="AK290" s="916"/>
      <c r="AL290" s="916"/>
      <c r="AM290" s="916"/>
      <c r="AN290" s="916"/>
      <c r="AO290" s="916"/>
      <c r="AP290" s="916"/>
      <c r="AQ290" s="916"/>
      <c r="AR290" s="916"/>
      <c r="AS290" s="916"/>
      <c r="AT290" s="916"/>
      <c r="AU290" s="916"/>
      <c r="AV290" s="916"/>
      <c r="AW290" s="916"/>
      <c r="AX290" s="916"/>
      <c r="AY290" s="916"/>
      <c r="AZ290" s="916"/>
      <c r="BA290" s="916"/>
      <c r="BB290" s="916"/>
      <c r="BC290" s="916"/>
      <c r="BD290" s="916"/>
      <c r="BE290" s="916"/>
      <c r="BF290" s="916"/>
    </row>
    <row r="291" ht="14.25" customHeight="1">
      <c r="A291" s="916"/>
      <c r="B291" s="917" t="s">
        <v>750</v>
      </c>
      <c r="C291" s="941">
        <v>8.0</v>
      </c>
      <c r="D291" s="972"/>
      <c r="E291" s="974"/>
      <c r="F291" s="974"/>
      <c r="G291" s="974"/>
      <c r="H291" s="974"/>
      <c r="I291" s="974"/>
      <c r="J291" s="930"/>
      <c r="P291" s="916"/>
      <c r="Q291" s="916"/>
      <c r="R291" s="916"/>
      <c r="S291" s="916"/>
      <c r="T291" s="916"/>
      <c r="U291" s="916"/>
      <c r="V291" s="916"/>
      <c r="W291" s="916"/>
      <c r="X291" s="916"/>
      <c r="Y291" s="916"/>
      <c r="Z291" s="916"/>
      <c r="AA291" s="916"/>
      <c r="AB291" s="916"/>
      <c r="AC291" s="916"/>
      <c r="AD291" s="916"/>
      <c r="AE291" s="916"/>
      <c r="AF291" s="916"/>
      <c r="AG291" s="916"/>
      <c r="AH291" s="916"/>
      <c r="AI291" s="916"/>
      <c r="AJ291" s="916"/>
      <c r="AK291" s="916"/>
      <c r="AL291" s="916"/>
      <c r="AM291" s="916"/>
      <c r="AN291" s="916"/>
      <c r="AO291" s="916"/>
      <c r="AP291" s="916"/>
      <c r="AQ291" s="916"/>
      <c r="AR291" s="916"/>
      <c r="AS291" s="916"/>
      <c r="AT291" s="916"/>
      <c r="AU291" s="916"/>
      <c r="AV291" s="916"/>
      <c r="AW291" s="916"/>
      <c r="AX291" s="916"/>
      <c r="AY291" s="916"/>
      <c r="AZ291" s="916"/>
      <c r="BA291" s="916"/>
      <c r="BB291" s="916"/>
      <c r="BC291" s="916"/>
      <c r="BD291" s="916"/>
      <c r="BE291" s="916"/>
      <c r="BF291" s="916"/>
    </row>
    <row r="292" ht="14.25" customHeight="1">
      <c r="A292" s="916"/>
      <c r="B292" s="917" t="s">
        <v>750</v>
      </c>
      <c r="C292" s="941">
        <v>9.0</v>
      </c>
      <c r="D292" s="972"/>
      <c r="E292" s="974"/>
      <c r="F292" s="974"/>
      <c r="G292" s="974"/>
      <c r="H292" s="974"/>
      <c r="I292" s="974"/>
      <c r="J292" s="930"/>
      <c r="P292" s="916"/>
      <c r="Q292" s="916"/>
      <c r="R292" s="916"/>
      <c r="S292" s="916"/>
      <c r="T292" s="916"/>
      <c r="U292" s="916"/>
      <c r="V292" s="916"/>
      <c r="W292" s="916"/>
      <c r="X292" s="916"/>
      <c r="Y292" s="916"/>
      <c r="Z292" s="916"/>
      <c r="AA292" s="916"/>
      <c r="AB292" s="916"/>
      <c r="AC292" s="916"/>
      <c r="AD292" s="916"/>
      <c r="AE292" s="916"/>
      <c r="AF292" s="916"/>
      <c r="AG292" s="916"/>
      <c r="AH292" s="916"/>
      <c r="AI292" s="916"/>
      <c r="AJ292" s="916"/>
      <c r="AK292" s="916"/>
      <c r="AL292" s="916"/>
      <c r="AM292" s="916"/>
      <c r="AN292" s="916"/>
      <c r="AO292" s="916"/>
      <c r="AP292" s="916"/>
      <c r="AQ292" s="916"/>
      <c r="AR292" s="916"/>
      <c r="AS292" s="916"/>
      <c r="AT292" s="916"/>
      <c r="AU292" s="916"/>
      <c r="AV292" s="916"/>
      <c r="AW292" s="916"/>
      <c r="AX292" s="916"/>
      <c r="AY292" s="916"/>
      <c r="AZ292" s="916"/>
      <c r="BA292" s="916"/>
      <c r="BB292" s="916"/>
      <c r="BC292" s="916"/>
      <c r="BD292" s="916"/>
      <c r="BE292" s="916"/>
      <c r="BF292" s="916"/>
    </row>
    <row r="293" ht="14.25" customHeight="1">
      <c r="A293" s="916"/>
      <c r="B293" s="917" t="s">
        <v>750</v>
      </c>
      <c r="C293" s="941">
        <v>10.0</v>
      </c>
      <c r="D293" s="972"/>
      <c r="E293" s="974"/>
      <c r="F293" s="974"/>
      <c r="G293" s="974"/>
      <c r="H293" s="974"/>
      <c r="I293" s="974"/>
      <c r="J293" s="930"/>
      <c r="P293" s="916"/>
      <c r="Q293" s="916"/>
      <c r="R293" s="916"/>
      <c r="S293" s="916"/>
      <c r="T293" s="916"/>
      <c r="U293" s="916"/>
      <c r="V293" s="916"/>
      <c r="W293" s="916"/>
      <c r="X293" s="916"/>
      <c r="Y293" s="916"/>
      <c r="Z293" s="916"/>
      <c r="AA293" s="916"/>
      <c r="AB293" s="916"/>
      <c r="AC293" s="916"/>
      <c r="AD293" s="916"/>
      <c r="AE293" s="916"/>
      <c r="AF293" s="916"/>
      <c r="AG293" s="916"/>
      <c r="AH293" s="916"/>
      <c r="AI293" s="916"/>
      <c r="AJ293" s="916"/>
      <c r="AK293" s="916"/>
      <c r="AL293" s="916"/>
      <c r="AM293" s="916"/>
      <c r="AN293" s="916"/>
      <c r="AO293" s="916"/>
      <c r="AP293" s="916"/>
      <c r="AQ293" s="916"/>
      <c r="AR293" s="916"/>
      <c r="AS293" s="916"/>
      <c r="AT293" s="916"/>
      <c r="AU293" s="916"/>
      <c r="AV293" s="916"/>
      <c r="AW293" s="916"/>
      <c r="AX293" s="916"/>
      <c r="AY293" s="916"/>
      <c r="AZ293" s="916"/>
      <c r="BA293" s="916"/>
      <c r="BB293" s="916"/>
      <c r="BC293" s="916"/>
      <c r="BD293" s="916"/>
      <c r="BE293" s="916"/>
      <c r="BF293" s="916"/>
    </row>
    <row r="294" ht="14.25" customHeight="1">
      <c r="A294" s="916"/>
      <c r="B294" s="917" t="s">
        <v>750</v>
      </c>
      <c r="C294" s="986">
        <v>11.0</v>
      </c>
      <c r="D294" s="972"/>
      <c r="E294" s="974"/>
      <c r="F294" s="974"/>
      <c r="G294" s="974"/>
      <c r="H294" s="974"/>
      <c r="I294" s="974"/>
      <c r="J294" s="930"/>
      <c r="P294" s="916"/>
      <c r="Q294" s="916"/>
      <c r="R294" s="916"/>
      <c r="S294" s="916"/>
      <c r="T294" s="916"/>
      <c r="U294" s="916"/>
      <c r="V294" s="916"/>
      <c r="W294" s="916"/>
      <c r="X294" s="916"/>
      <c r="Y294" s="916"/>
      <c r="Z294" s="916"/>
      <c r="AA294" s="916"/>
      <c r="AB294" s="916"/>
      <c r="AC294" s="916"/>
      <c r="AD294" s="916"/>
      <c r="AE294" s="916"/>
      <c r="AF294" s="916"/>
      <c r="AG294" s="916"/>
      <c r="AH294" s="916"/>
      <c r="AI294" s="916"/>
      <c r="AJ294" s="916"/>
      <c r="AK294" s="916"/>
      <c r="AL294" s="916"/>
      <c r="AM294" s="916"/>
      <c r="AN294" s="916"/>
      <c r="AO294" s="916"/>
      <c r="AP294" s="916"/>
      <c r="AQ294" s="916"/>
      <c r="AR294" s="916"/>
      <c r="AS294" s="916"/>
      <c r="AT294" s="916"/>
      <c r="AU294" s="916"/>
      <c r="AV294" s="916"/>
      <c r="AW294" s="916"/>
      <c r="AX294" s="916"/>
      <c r="AY294" s="916"/>
      <c r="AZ294" s="916"/>
      <c r="BA294" s="916"/>
      <c r="BB294" s="916"/>
      <c r="BC294" s="916"/>
      <c r="BD294" s="916"/>
      <c r="BE294" s="916"/>
      <c r="BF294" s="916"/>
    </row>
    <row r="295" ht="14.25" customHeight="1">
      <c r="A295" s="916"/>
      <c r="B295" s="917" t="s">
        <v>750</v>
      </c>
      <c r="C295" s="941">
        <v>12.0</v>
      </c>
      <c r="D295" s="972"/>
      <c r="E295" s="974"/>
      <c r="F295" s="974"/>
      <c r="G295" s="974"/>
      <c r="H295" s="974"/>
      <c r="I295" s="974"/>
      <c r="J295" s="930"/>
      <c r="P295" s="916"/>
      <c r="Q295" s="916"/>
      <c r="R295" s="916"/>
      <c r="S295" s="916"/>
      <c r="T295" s="916"/>
      <c r="U295" s="916"/>
      <c r="V295" s="916"/>
      <c r="W295" s="916"/>
      <c r="X295" s="916"/>
      <c r="Y295" s="916"/>
      <c r="Z295" s="916"/>
      <c r="AA295" s="916"/>
      <c r="AB295" s="916"/>
      <c r="AC295" s="916"/>
      <c r="AD295" s="916"/>
      <c r="AE295" s="916"/>
      <c r="AF295" s="916"/>
      <c r="AG295" s="916"/>
      <c r="AH295" s="916"/>
      <c r="AI295" s="916"/>
      <c r="AJ295" s="916"/>
      <c r="AK295" s="916"/>
      <c r="AL295" s="916"/>
      <c r="AM295" s="916"/>
      <c r="AN295" s="916"/>
      <c r="AO295" s="916"/>
      <c r="AP295" s="916"/>
      <c r="AQ295" s="916"/>
      <c r="AR295" s="916"/>
      <c r="AS295" s="916"/>
      <c r="AT295" s="916"/>
      <c r="AU295" s="916"/>
      <c r="AV295" s="916"/>
      <c r="AW295" s="916"/>
      <c r="AX295" s="916"/>
      <c r="AY295" s="916"/>
      <c r="AZ295" s="916"/>
      <c r="BA295" s="916"/>
      <c r="BB295" s="916"/>
      <c r="BC295" s="916"/>
      <c r="BD295" s="916"/>
      <c r="BE295" s="916"/>
      <c r="BF295" s="916"/>
    </row>
    <row r="296" ht="14.25" customHeight="1">
      <c r="A296" s="916"/>
      <c r="B296" s="917"/>
      <c r="C296" s="935"/>
      <c r="D296" s="921"/>
      <c r="E296" s="916"/>
      <c r="F296" s="916"/>
      <c r="G296" s="916"/>
      <c r="H296" s="916"/>
      <c r="I296" s="916"/>
      <c r="J296" s="916"/>
      <c r="P296" s="916"/>
      <c r="Q296" s="916"/>
      <c r="R296" s="916"/>
      <c r="S296" s="916"/>
      <c r="T296" s="916"/>
      <c r="U296" s="916"/>
      <c r="V296" s="916"/>
      <c r="W296" s="916"/>
      <c r="X296" s="916"/>
      <c r="Y296" s="916"/>
      <c r="Z296" s="916"/>
      <c r="AA296" s="916"/>
      <c r="AB296" s="916"/>
      <c r="AC296" s="916"/>
      <c r="AD296" s="916"/>
      <c r="AE296" s="916"/>
      <c r="AF296" s="916"/>
      <c r="AG296" s="916"/>
      <c r="AH296" s="916"/>
      <c r="AI296" s="916"/>
      <c r="AJ296" s="916"/>
      <c r="AK296" s="916"/>
      <c r="AL296" s="916"/>
      <c r="AM296" s="916"/>
      <c r="AN296" s="916"/>
      <c r="AO296" s="916"/>
      <c r="AP296" s="916"/>
      <c r="AQ296" s="916"/>
      <c r="AR296" s="916"/>
      <c r="AS296" s="916"/>
      <c r="AT296" s="916"/>
      <c r="AU296" s="916"/>
      <c r="AV296" s="916"/>
      <c r="AW296" s="916"/>
      <c r="AX296" s="916"/>
      <c r="AY296" s="916"/>
      <c r="AZ296" s="916"/>
      <c r="BA296" s="916"/>
      <c r="BB296" s="916"/>
      <c r="BC296" s="916"/>
      <c r="BD296" s="916"/>
      <c r="BE296" s="916"/>
      <c r="BF296" s="916"/>
    </row>
    <row r="297" ht="14.25" customHeight="1">
      <c r="A297" s="916"/>
      <c r="B297" s="917"/>
      <c r="C297" s="941"/>
      <c r="D297" s="921" t="s">
        <v>905</v>
      </c>
      <c r="E297" s="916"/>
      <c r="F297" s="916"/>
      <c r="G297" s="916"/>
      <c r="H297" s="916"/>
      <c r="I297" s="916"/>
      <c r="J297" s="916"/>
      <c r="O297" s="916"/>
      <c r="P297" s="916"/>
      <c r="Q297" s="916"/>
      <c r="R297" s="916"/>
      <c r="S297" s="916"/>
      <c r="T297" s="916"/>
      <c r="U297" s="916"/>
      <c r="V297" s="916"/>
      <c r="W297" s="916"/>
      <c r="X297" s="916"/>
      <c r="Y297" s="916"/>
      <c r="Z297" s="916"/>
      <c r="AA297" s="916"/>
      <c r="AB297" s="916"/>
      <c r="AC297" s="916"/>
      <c r="AD297" s="916"/>
      <c r="AE297" s="916"/>
      <c r="AF297" s="916"/>
      <c r="AG297" s="916"/>
      <c r="AH297" s="916"/>
      <c r="AI297" s="916"/>
      <c r="AJ297" s="916"/>
      <c r="AK297" s="916"/>
      <c r="AL297" s="916"/>
      <c r="AM297" s="916"/>
      <c r="AN297" s="916"/>
      <c r="AO297" s="916"/>
      <c r="AP297" s="916"/>
      <c r="AQ297" s="916"/>
      <c r="AR297" s="916"/>
      <c r="AS297" s="916"/>
      <c r="AT297" s="916"/>
      <c r="AU297" s="916"/>
      <c r="AV297" s="916"/>
      <c r="AW297" s="916"/>
      <c r="AX297" s="916"/>
      <c r="AY297" s="916"/>
      <c r="AZ297" s="916"/>
      <c r="BA297" s="916"/>
      <c r="BB297" s="916"/>
      <c r="BC297" s="916"/>
      <c r="BD297" s="916"/>
      <c r="BE297" s="916"/>
      <c r="BF297" s="916"/>
    </row>
    <row r="298" ht="14.25" customHeight="1">
      <c r="A298" s="916"/>
      <c r="B298" s="917" t="s">
        <v>861</v>
      </c>
      <c r="C298" s="941">
        <v>1.0</v>
      </c>
      <c r="D298" s="972" t="s">
        <v>906</v>
      </c>
      <c r="E298" s="974"/>
      <c r="F298" s="974"/>
      <c r="G298" s="974"/>
      <c r="H298" s="974"/>
      <c r="I298" s="974"/>
      <c r="J298" s="930"/>
      <c r="O298" s="916"/>
      <c r="P298" s="916"/>
      <c r="Q298" s="916"/>
      <c r="R298" s="916"/>
      <c r="S298" s="916"/>
      <c r="T298" s="916"/>
      <c r="U298" s="916"/>
      <c r="V298" s="916"/>
      <c r="W298" s="916"/>
      <c r="X298" s="916"/>
      <c r="Y298" s="916"/>
      <c r="Z298" s="916"/>
      <c r="AA298" s="916"/>
      <c r="AB298" s="916"/>
      <c r="AC298" s="916"/>
      <c r="AD298" s="916"/>
      <c r="AE298" s="916"/>
      <c r="AF298" s="916"/>
      <c r="AG298" s="916"/>
      <c r="AH298" s="916"/>
      <c r="AI298" s="916"/>
      <c r="AJ298" s="916"/>
      <c r="AK298" s="916"/>
      <c r="AL298" s="916"/>
      <c r="AM298" s="916"/>
      <c r="AN298" s="916"/>
      <c r="AO298" s="916"/>
      <c r="AP298" s="916"/>
      <c r="AQ298" s="916"/>
      <c r="AR298" s="916"/>
      <c r="AS298" s="916"/>
      <c r="AT298" s="916"/>
      <c r="AU298" s="916"/>
      <c r="AV298" s="916"/>
      <c r="AW298" s="916"/>
      <c r="AX298" s="916"/>
      <c r="AY298" s="916"/>
      <c r="AZ298" s="916"/>
      <c r="BA298" s="916"/>
      <c r="BB298" s="916"/>
      <c r="BC298" s="916"/>
      <c r="BD298" s="916"/>
      <c r="BE298" s="916"/>
      <c r="BF298" s="916"/>
    </row>
    <row r="299" ht="14.25" customHeight="1">
      <c r="A299" s="916"/>
      <c r="B299" s="917" t="s">
        <v>861</v>
      </c>
      <c r="C299" s="941">
        <v>2.0</v>
      </c>
      <c r="D299" s="972" t="s">
        <v>907</v>
      </c>
      <c r="E299" s="974"/>
      <c r="F299" s="974"/>
      <c r="G299" s="974"/>
      <c r="H299" s="974"/>
      <c r="I299" s="974"/>
      <c r="J299" s="930"/>
      <c r="K299" s="916"/>
      <c r="O299" s="916"/>
      <c r="P299" s="916"/>
      <c r="Q299" s="916"/>
      <c r="R299" s="916"/>
      <c r="S299" s="916"/>
      <c r="T299" s="916"/>
      <c r="U299" s="916"/>
      <c r="V299" s="916"/>
      <c r="W299" s="916"/>
      <c r="X299" s="916"/>
      <c r="Y299" s="916"/>
      <c r="Z299" s="916"/>
      <c r="AA299" s="916"/>
      <c r="AB299" s="916"/>
      <c r="AC299" s="916"/>
      <c r="AD299" s="916"/>
      <c r="AE299" s="916"/>
      <c r="AF299" s="916"/>
      <c r="AG299" s="916"/>
      <c r="AH299" s="916"/>
      <c r="AI299" s="916"/>
      <c r="AJ299" s="916"/>
      <c r="AK299" s="916"/>
      <c r="AL299" s="916"/>
      <c r="AM299" s="916"/>
      <c r="AN299" s="916"/>
      <c r="AO299" s="916"/>
      <c r="AP299" s="916"/>
      <c r="AQ299" s="916"/>
      <c r="AR299" s="916"/>
      <c r="AS299" s="916"/>
      <c r="AT299" s="916"/>
      <c r="AU299" s="916"/>
      <c r="AV299" s="916"/>
      <c r="AW299" s="916"/>
      <c r="AX299" s="916"/>
      <c r="AY299" s="916"/>
      <c r="AZ299" s="916"/>
      <c r="BA299" s="916"/>
      <c r="BB299" s="916"/>
      <c r="BC299" s="916"/>
      <c r="BD299" s="916"/>
      <c r="BE299" s="916"/>
      <c r="BF299" s="916"/>
    </row>
    <row r="300" ht="14.25" customHeight="1">
      <c r="A300" s="916"/>
      <c r="B300" s="917" t="s">
        <v>861</v>
      </c>
      <c r="C300" s="941">
        <v>3.0</v>
      </c>
      <c r="D300" s="972"/>
      <c r="E300" s="974"/>
      <c r="F300" s="974"/>
      <c r="G300" s="974"/>
      <c r="H300" s="974"/>
      <c r="I300" s="974"/>
      <c r="J300" s="930"/>
      <c r="K300" s="916"/>
      <c r="O300" s="916"/>
      <c r="P300" s="916"/>
      <c r="Q300" s="916"/>
      <c r="R300" s="916"/>
      <c r="S300" s="916"/>
      <c r="T300" s="916"/>
      <c r="U300" s="916"/>
      <c r="V300" s="916"/>
      <c r="W300" s="916"/>
      <c r="X300" s="916"/>
      <c r="Y300" s="916"/>
      <c r="Z300" s="916"/>
      <c r="AA300" s="916"/>
      <c r="AB300" s="916"/>
      <c r="AC300" s="916"/>
      <c r="AD300" s="916"/>
      <c r="AE300" s="916"/>
      <c r="AF300" s="916"/>
      <c r="AG300" s="916"/>
      <c r="AH300" s="916"/>
      <c r="AI300" s="916"/>
      <c r="AJ300" s="916"/>
      <c r="AK300" s="916"/>
      <c r="AL300" s="916"/>
      <c r="AM300" s="916"/>
      <c r="AN300" s="916"/>
      <c r="AO300" s="916"/>
      <c r="AP300" s="916"/>
      <c r="AQ300" s="916"/>
      <c r="AR300" s="916"/>
      <c r="AS300" s="916"/>
      <c r="AT300" s="916"/>
      <c r="AU300" s="916"/>
      <c r="AV300" s="916"/>
      <c r="AW300" s="916"/>
      <c r="AX300" s="916"/>
      <c r="AY300" s="916"/>
      <c r="AZ300" s="916"/>
      <c r="BA300" s="916"/>
      <c r="BB300" s="916"/>
      <c r="BC300" s="916"/>
      <c r="BD300" s="916"/>
      <c r="BE300" s="916"/>
      <c r="BF300" s="916"/>
    </row>
    <row r="301" ht="14.25" customHeight="1">
      <c r="A301" s="916"/>
      <c r="B301" s="917" t="s">
        <v>750</v>
      </c>
      <c r="C301" s="941">
        <v>4.0</v>
      </c>
      <c r="D301" s="972"/>
      <c r="E301" s="974"/>
      <c r="F301" s="974"/>
      <c r="G301" s="974"/>
      <c r="H301" s="974"/>
      <c r="I301" s="974"/>
      <c r="J301" s="930"/>
      <c r="K301" s="916"/>
      <c r="O301" s="916"/>
      <c r="P301" s="916"/>
      <c r="Q301" s="916"/>
      <c r="R301" s="916"/>
      <c r="S301" s="916"/>
      <c r="T301" s="916"/>
      <c r="U301" s="916"/>
      <c r="V301" s="916"/>
      <c r="W301" s="916"/>
      <c r="X301" s="916"/>
      <c r="Y301" s="916"/>
      <c r="Z301" s="916"/>
      <c r="AA301" s="916"/>
      <c r="AB301" s="916"/>
      <c r="AC301" s="916"/>
      <c r="AD301" s="916"/>
      <c r="AE301" s="916"/>
      <c r="AF301" s="916"/>
      <c r="AG301" s="916"/>
      <c r="AH301" s="916"/>
      <c r="AI301" s="916"/>
      <c r="AJ301" s="916"/>
      <c r="AK301" s="916"/>
      <c r="AL301" s="916"/>
      <c r="AM301" s="916"/>
      <c r="AN301" s="916"/>
      <c r="AO301" s="916"/>
      <c r="AP301" s="916"/>
      <c r="AQ301" s="916"/>
      <c r="AR301" s="916"/>
      <c r="AS301" s="916"/>
      <c r="AT301" s="916"/>
      <c r="AU301" s="916"/>
      <c r="AV301" s="916"/>
      <c r="AW301" s="916"/>
      <c r="AX301" s="916"/>
      <c r="AY301" s="916"/>
      <c r="AZ301" s="916"/>
      <c r="BA301" s="916"/>
      <c r="BB301" s="916"/>
      <c r="BC301" s="916"/>
      <c r="BD301" s="916"/>
      <c r="BE301" s="916"/>
      <c r="BF301" s="916"/>
    </row>
    <row r="302" ht="14.25" customHeight="1">
      <c r="A302" s="916"/>
      <c r="B302" s="917" t="s">
        <v>750</v>
      </c>
      <c r="C302" s="941">
        <v>5.0</v>
      </c>
      <c r="D302" s="972"/>
      <c r="E302" s="974"/>
      <c r="F302" s="974"/>
      <c r="G302" s="974"/>
      <c r="H302" s="974"/>
      <c r="I302" s="974"/>
      <c r="J302" s="930"/>
      <c r="K302" s="916"/>
      <c r="O302" s="916"/>
      <c r="P302" s="916"/>
      <c r="Q302" s="916"/>
      <c r="R302" s="916"/>
      <c r="S302" s="916"/>
      <c r="T302" s="916"/>
      <c r="U302" s="916"/>
      <c r="V302" s="916"/>
      <c r="W302" s="916"/>
      <c r="X302" s="916"/>
      <c r="Y302" s="916"/>
      <c r="Z302" s="916"/>
      <c r="AA302" s="916"/>
      <c r="AB302" s="916"/>
      <c r="AC302" s="916"/>
      <c r="AD302" s="916"/>
      <c r="AE302" s="916"/>
      <c r="AF302" s="916"/>
      <c r="AG302" s="916"/>
      <c r="AH302" s="916"/>
      <c r="AI302" s="916"/>
      <c r="AJ302" s="916"/>
      <c r="AK302" s="916"/>
      <c r="AL302" s="916"/>
      <c r="AM302" s="916"/>
      <c r="AN302" s="916"/>
      <c r="AO302" s="916"/>
      <c r="AP302" s="916"/>
      <c r="AQ302" s="916"/>
      <c r="AR302" s="916"/>
      <c r="AS302" s="916"/>
      <c r="AT302" s="916"/>
      <c r="AU302" s="916"/>
      <c r="AV302" s="916"/>
      <c r="AW302" s="916"/>
      <c r="AX302" s="916"/>
      <c r="AY302" s="916"/>
      <c r="AZ302" s="916"/>
      <c r="BA302" s="916"/>
      <c r="BB302" s="916"/>
      <c r="BC302" s="916"/>
      <c r="BD302" s="916"/>
      <c r="BE302" s="916"/>
      <c r="BF302" s="916"/>
    </row>
    <row r="303" ht="14.25" customHeight="1">
      <c r="A303" s="916"/>
      <c r="B303" s="917" t="s">
        <v>750</v>
      </c>
      <c r="C303" s="941">
        <v>6.0</v>
      </c>
      <c r="D303" s="972"/>
      <c r="E303" s="974"/>
      <c r="F303" s="974"/>
      <c r="G303" s="974"/>
      <c r="H303" s="974"/>
      <c r="I303" s="974"/>
      <c r="J303" s="930"/>
      <c r="K303" s="916"/>
      <c r="O303" s="916"/>
      <c r="P303" s="916"/>
      <c r="Q303" s="916"/>
      <c r="R303" s="916"/>
      <c r="S303" s="916"/>
      <c r="T303" s="916"/>
      <c r="U303" s="916"/>
      <c r="V303" s="916"/>
      <c r="W303" s="916"/>
      <c r="X303" s="916"/>
      <c r="Y303" s="916"/>
      <c r="Z303" s="916"/>
      <c r="AA303" s="916"/>
      <c r="AB303" s="916"/>
      <c r="AC303" s="916"/>
      <c r="AD303" s="916"/>
      <c r="AE303" s="916"/>
      <c r="AF303" s="916"/>
      <c r="AG303" s="916"/>
      <c r="AH303" s="916"/>
      <c r="AI303" s="916"/>
      <c r="AJ303" s="916"/>
      <c r="AK303" s="916"/>
      <c r="AL303" s="916"/>
      <c r="AM303" s="916"/>
      <c r="AN303" s="916"/>
      <c r="AO303" s="916"/>
      <c r="AP303" s="916"/>
      <c r="AQ303" s="916"/>
      <c r="AR303" s="916"/>
      <c r="AS303" s="916"/>
      <c r="AT303" s="916"/>
      <c r="AU303" s="916"/>
      <c r="AV303" s="916"/>
      <c r="AW303" s="916"/>
      <c r="AX303" s="916"/>
      <c r="AY303" s="916"/>
      <c r="AZ303" s="916"/>
      <c r="BA303" s="916"/>
      <c r="BB303" s="916"/>
      <c r="BC303" s="916"/>
      <c r="BD303" s="916"/>
      <c r="BE303" s="916"/>
      <c r="BF303" s="916"/>
    </row>
    <row r="304" ht="14.25" customHeight="1">
      <c r="A304" s="916"/>
      <c r="B304" s="917" t="s">
        <v>750</v>
      </c>
      <c r="C304" s="941">
        <v>7.0</v>
      </c>
      <c r="D304" s="972"/>
      <c r="E304" s="974"/>
      <c r="F304" s="974"/>
      <c r="G304" s="974"/>
      <c r="H304" s="974"/>
      <c r="I304" s="974"/>
      <c r="J304" s="930"/>
      <c r="K304" s="916"/>
      <c r="O304" s="916"/>
      <c r="P304" s="916"/>
      <c r="Q304" s="916"/>
      <c r="R304" s="916"/>
      <c r="S304" s="916"/>
      <c r="T304" s="916"/>
      <c r="U304" s="916"/>
      <c r="V304" s="916"/>
      <c r="W304" s="916"/>
      <c r="X304" s="916"/>
      <c r="Y304" s="916"/>
      <c r="Z304" s="916"/>
      <c r="AA304" s="916"/>
      <c r="AB304" s="916"/>
      <c r="AC304" s="916"/>
      <c r="AD304" s="916"/>
      <c r="AE304" s="916"/>
      <c r="AF304" s="916"/>
      <c r="AG304" s="916"/>
      <c r="AH304" s="916"/>
      <c r="AI304" s="916"/>
      <c r="AJ304" s="916"/>
      <c r="AK304" s="916"/>
      <c r="AL304" s="916"/>
      <c r="AM304" s="916"/>
      <c r="AN304" s="916"/>
      <c r="AO304" s="916"/>
      <c r="AP304" s="916"/>
      <c r="AQ304" s="916"/>
      <c r="AR304" s="916"/>
      <c r="AS304" s="916"/>
      <c r="AT304" s="916"/>
      <c r="AU304" s="916"/>
      <c r="AV304" s="916"/>
      <c r="AW304" s="916"/>
      <c r="AX304" s="916"/>
      <c r="AY304" s="916"/>
      <c r="AZ304" s="916"/>
      <c r="BA304" s="916"/>
      <c r="BB304" s="916"/>
      <c r="BC304" s="916"/>
      <c r="BD304" s="916"/>
      <c r="BE304" s="916"/>
      <c r="BF304" s="916"/>
    </row>
    <row r="305" ht="14.25" customHeight="1">
      <c r="A305" s="916"/>
      <c r="B305" s="917" t="s">
        <v>750</v>
      </c>
      <c r="C305" s="941">
        <v>8.0</v>
      </c>
      <c r="D305" s="972"/>
      <c r="E305" s="974"/>
      <c r="F305" s="974"/>
      <c r="G305" s="974"/>
      <c r="H305" s="974"/>
      <c r="I305" s="974"/>
      <c r="J305" s="930"/>
      <c r="K305" s="916"/>
      <c r="O305" s="916"/>
      <c r="P305" s="916"/>
      <c r="Q305" s="916"/>
      <c r="R305" s="916"/>
      <c r="S305" s="916"/>
      <c r="T305" s="916"/>
      <c r="U305" s="916"/>
      <c r="V305" s="916"/>
      <c r="W305" s="916"/>
      <c r="X305" s="916"/>
      <c r="Y305" s="916"/>
      <c r="Z305" s="916"/>
      <c r="AA305" s="916"/>
      <c r="AB305" s="916"/>
      <c r="AC305" s="916"/>
      <c r="AD305" s="916"/>
      <c r="AE305" s="916"/>
      <c r="AF305" s="916"/>
      <c r="AG305" s="916"/>
      <c r="AH305" s="916"/>
      <c r="AI305" s="916"/>
      <c r="AJ305" s="916"/>
      <c r="AK305" s="916"/>
      <c r="AL305" s="916"/>
      <c r="AM305" s="916"/>
      <c r="AN305" s="916"/>
      <c r="AO305" s="916"/>
      <c r="AP305" s="916"/>
      <c r="AQ305" s="916"/>
      <c r="AR305" s="916"/>
      <c r="AS305" s="916"/>
      <c r="AT305" s="916"/>
      <c r="AU305" s="916"/>
      <c r="AV305" s="916"/>
      <c r="AW305" s="916"/>
      <c r="AX305" s="916"/>
      <c r="AY305" s="916"/>
      <c r="AZ305" s="916"/>
      <c r="BA305" s="916"/>
      <c r="BB305" s="916"/>
      <c r="BC305" s="916"/>
      <c r="BD305" s="916"/>
      <c r="BE305" s="916"/>
      <c r="BF305" s="916"/>
    </row>
    <row r="306" ht="14.25" customHeight="1">
      <c r="A306" s="916"/>
      <c r="B306" s="917" t="s">
        <v>750</v>
      </c>
      <c r="C306" s="941">
        <v>9.0</v>
      </c>
      <c r="D306" s="972"/>
      <c r="E306" s="974"/>
      <c r="F306" s="974"/>
      <c r="G306" s="974"/>
      <c r="H306" s="974"/>
      <c r="I306" s="974"/>
      <c r="J306" s="930"/>
      <c r="K306" s="916"/>
      <c r="O306" s="916"/>
      <c r="P306" s="916"/>
      <c r="Q306" s="916"/>
      <c r="R306" s="916"/>
      <c r="S306" s="916"/>
      <c r="T306" s="916"/>
      <c r="U306" s="916"/>
      <c r="V306" s="916"/>
      <c r="W306" s="916"/>
      <c r="X306" s="916"/>
      <c r="Y306" s="916"/>
      <c r="Z306" s="916"/>
      <c r="AA306" s="916"/>
      <c r="AB306" s="916"/>
      <c r="AC306" s="916"/>
      <c r="AD306" s="916"/>
      <c r="AE306" s="916"/>
      <c r="AF306" s="916"/>
      <c r="AG306" s="916"/>
      <c r="AH306" s="916"/>
      <c r="AI306" s="916"/>
      <c r="AJ306" s="916"/>
      <c r="AK306" s="916"/>
      <c r="AL306" s="916"/>
      <c r="AM306" s="916"/>
      <c r="AN306" s="916"/>
      <c r="AO306" s="916"/>
      <c r="AP306" s="916"/>
      <c r="AQ306" s="916"/>
      <c r="AR306" s="916"/>
      <c r="AS306" s="916"/>
      <c r="AT306" s="916"/>
      <c r="AU306" s="916"/>
      <c r="AV306" s="916"/>
      <c r="AW306" s="916"/>
      <c r="AX306" s="916"/>
      <c r="AY306" s="916"/>
      <c r="AZ306" s="916"/>
      <c r="BA306" s="916"/>
      <c r="BB306" s="916"/>
      <c r="BC306" s="916"/>
      <c r="BD306" s="916"/>
      <c r="BE306" s="916"/>
      <c r="BF306" s="916"/>
    </row>
    <row r="307" ht="14.25" customHeight="1">
      <c r="A307" s="916"/>
      <c r="B307" s="917" t="s">
        <v>750</v>
      </c>
      <c r="C307" s="941">
        <v>10.0</v>
      </c>
      <c r="D307" s="972"/>
      <c r="E307" s="974"/>
      <c r="F307" s="974"/>
      <c r="G307" s="974"/>
      <c r="H307" s="974"/>
      <c r="I307" s="974"/>
      <c r="J307" s="930"/>
      <c r="K307" s="916"/>
      <c r="O307" s="916"/>
      <c r="P307" s="916"/>
      <c r="Q307" s="916"/>
      <c r="R307" s="916"/>
      <c r="S307" s="916"/>
      <c r="T307" s="916"/>
      <c r="U307" s="916"/>
      <c r="V307" s="916"/>
      <c r="W307" s="916"/>
      <c r="X307" s="916"/>
      <c r="Y307" s="916"/>
      <c r="Z307" s="916"/>
      <c r="AA307" s="916"/>
      <c r="AB307" s="916"/>
      <c r="AC307" s="916"/>
      <c r="AD307" s="916"/>
      <c r="AE307" s="916"/>
      <c r="AF307" s="916"/>
      <c r="AG307" s="916"/>
      <c r="AH307" s="916"/>
      <c r="AI307" s="916"/>
      <c r="AJ307" s="916"/>
      <c r="AK307" s="916"/>
      <c r="AL307" s="916"/>
      <c r="AM307" s="916"/>
      <c r="AN307" s="916"/>
      <c r="AO307" s="916"/>
      <c r="AP307" s="916"/>
      <c r="AQ307" s="916"/>
      <c r="AR307" s="916"/>
      <c r="AS307" s="916"/>
      <c r="AT307" s="916"/>
      <c r="AU307" s="916"/>
      <c r="AV307" s="916"/>
      <c r="AW307" s="916"/>
      <c r="AX307" s="916"/>
      <c r="AY307" s="916"/>
      <c r="AZ307" s="916"/>
      <c r="BA307" s="916"/>
      <c r="BB307" s="916"/>
      <c r="BC307" s="916"/>
      <c r="BD307" s="916"/>
      <c r="BE307" s="916"/>
      <c r="BF307" s="916"/>
    </row>
    <row r="308" ht="14.25" customHeight="1">
      <c r="A308" s="916"/>
      <c r="B308" s="917" t="s">
        <v>750</v>
      </c>
      <c r="C308" s="941">
        <v>11.0</v>
      </c>
      <c r="D308" s="972"/>
      <c r="E308" s="974"/>
      <c r="F308" s="974"/>
      <c r="G308" s="974"/>
      <c r="H308" s="974"/>
      <c r="I308" s="974"/>
      <c r="J308" s="930"/>
      <c r="K308" s="916"/>
      <c r="O308" s="916"/>
      <c r="P308" s="916"/>
      <c r="Q308" s="916"/>
      <c r="R308" s="916"/>
      <c r="S308" s="916"/>
      <c r="T308" s="916"/>
      <c r="U308" s="916"/>
      <c r="V308" s="916"/>
      <c r="W308" s="916"/>
      <c r="X308" s="916"/>
      <c r="Y308" s="916"/>
      <c r="Z308" s="916"/>
      <c r="AA308" s="916"/>
      <c r="AB308" s="916"/>
      <c r="AC308" s="916"/>
      <c r="AD308" s="916"/>
      <c r="AE308" s="916"/>
      <c r="AF308" s="916"/>
      <c r="AG308" s="916"/>
      <c r="AH308" s="916"/>
      <c r="AI308" s="916"/>
      <c r="AJ308" s="916"/>
      <c r="AK308" s="916"/>
      <c r="AL308" s="916"/>
      <c r="AM308" s="916"/>
      <c r="AN308" s="916"/>
      <c r="AO308" s="916"/>
      <c r="AP308" s="916"/>
      <c r="AQ308" s="916"/>
      <c r="AR308" s="916"/>
      <c r="AS308" s="916"/>
      <c r="AT308" s="916"/>
      <c r="AU308" s="916"/>
      <c r="AV308" s="916"/>
      <c r="AW308" s="916"/>
      <c r="AX308" s="916"/>
      <c r="AY308" s="916"/>
      <c r="AZ308" s="916"/>
      <c r="BA308" s="916"/>
      <c r="BB308" s="916"/>
      <c r="BC308" s="916"/>
      <c r="BD308" s="916"/>
      <c r="BE308" s="916"/>
      <c r="BF308" s="916"/>
    </row>
    <row r="309" ht="14.25" customHeight="1">
      <c r="A309" s="916"/>
      <c r="B309" s="917" t="s">
        <v>750</v>
      </c>
      <c r="C309" s="941">
        <v>12.0</v>
      </c>
      <c r="D309" s="972"/>
      <c r="E309" s="974"/>
      <c r="F309" s="974"/>
      <c r="G309" s="974"/>
      <c r="H309" s="974"/>
      <c r="I309" s="974"/>
      <c r="J309" s="930"/>
      <c r="K309" s="916"/>
      <c r="O309" s="916"/>
      <c r="P309" s="916"/>
      <c r="Q309" s="916"/>
      <c r="R309" s="916"/>
      <c r="S309" s="916"/>
      <c r="T309" s="916"/>
      <c r="U309" s="916"/>
      <c r="V309" s="916"/>
      <c r="W309" s="916"/>
      <c r="X309" s="916"/>
      <c r="Y309" s="916"/>
      <c r="Z309" s="916"/>
      <c r="AA309" s="916"/>
      <c r="AB309" s="916"/>
      <c r="AC309" s="916"/>
      <c r="AD309" s="916"/>
      <c r="AE309" s="916"/>
      <c r="AF309" s="916"/>
      <c r="AG309" s="916"/>
      <c r="AH309" s="916"/>
      <c r="AI309" s="916"/>
      <c r="AJ309" s="916"/>
      <c r="AK309" s="916"/>
      <c r="AL309" s="916"/>
      <c r="AM309" s="916"/>
      <c r="AN309" s="916"/>
      <c r="AO309" s="916"/>
      <c r="AP309" s="916"/>
      <c r="AQ309" s="916"/>
      <c r="AR309" s="916"/>
      <c r="AS309" s="916"/>
      <c r="AT309" s="916"/>
      <c r="AU309" s="916"/>
      <c r="AV309" s="916"/>
      <c r="AW309" s="916"/>
      <c r="AX309" s="916"/>
      <c r="AY309" s="916"/>
      <c r="AZ309" s="916"/>
      <c r="BA309" s="916"/>
      <c r="BB309" s="916"/>
      <c r="BC309" s="916"/>
      <c r="BD309" s="916"/>
      <c r="BE309" s="916"/>
      <c r="BF309" s="916"/>
    </row>
    <row r="310" ht="14.25" customHeight="1">
      <c r="A310" s="916"/>
      <c r="B310" s="942"/>
      <c r="C310" s="943"/>
      <c r="D310" s="944"/>
      <c r="E310" s="945"/>
      <c r="F310" s="945"/>
      <c r="G310" s="945"/>
      <c r="H310" s="945"/>
      <c r="I310" s="945"/>
      <c r="J310" s="945"/>
      <c r="K310" s="945"/>
      <c r="L310" s="945"/>
      <c r="M310" s="945"/>
      <c r="N310" s="945"/>
      <c r="O310" s="945"/>
      <c r="P310" s="916"/>
      <c r="Q310" s="916"/>
      <c r="R310" s="916"/>
      <c r="S310" s="916"/>
      <c r="T310" s="916"/>
      <c r="U310" s="916"/>
      <c r="V310" s="916"/>
      <c r="W310" s="916"/>
      <c r="X310" s="916"/>
      <c r="Y310" s="916"/>
      <c r="Z310" s="916"/>
      <c r="AA310" s="916"/>
      <c r="AB310" s="916"/>
      <c r="AC310" s="916"/>
      <c r="AD310" s="916"/>
      <c r="AE310" s="916"/>
      <c r="AF310" s="916"/>
      <c r="AG310" s="916"/>
      <c r="AH310" s="916"/>
      <c r="AI310" s="916"/>
      <c r="AJ310" s="916"/>
      <c r="AK310" s="916"/>
      <c r="AL310" s="916"/>
      <c r="AM310" s="916"/>
      <c r="AN310" s="916"/>
      <c r="AO310" s="916"/>
      <c r="AP310" s="916"/>
      <c r="AQ310" s="916"/>
      <c r="AR310" s="916"/>
      <c r="AS310" s="916"/>
      <c r="AT310" s="916"/>
      <c r="AU310" s="916"/>
      <c r="AV310" s="916"/>
    </row>
    <row r="311" ht="14.25" customHeight="1">
      <c r="A311" s="916"/>
      <c r="B311" s="946"/>
      <c r="C311" s="941"/>
      <c r="D311" s="947"/>
      <c r="E311" s="916"/>
      <c r="F311" s="916"/>
      <c r="G311" s="916"/>
      <c r="H311" s="916"/>
      <c r="I311" s="916"/>
      <c r="J311" s="916"/>
      <c r="K311" s="916"/>
      <c r="L311" s="916"/>
      <c r="M311" s="916"/>
      <c r="N311" s="916"/>
      <c r="O311" s="916"/>
      <c r="P311" s="916"/>
      <c r="Q311" s="916"/>
      <c r="R311" s="916"/>
      <c r="S311" s="916"/>
      <c r="T311" s="916"/>
      <c r="U311" s="916"/>
      <c r="V311" s="916"/>
      <c r="W311" s="916"/>
      <c r="X311" s="916"/>
      <c r="Y311" s="916"/>
      <c r="Z311" s="916"/>
      <c r="AA311" s="916"/>
      <c r="AB311" s="916"/>
      <c r="AC311" s="916"/>
      <c r="AD311" s="916"/>
      <c r="AE311" s="916"/>
      <c r="AF311" s="916"/>
      <c r="AG311" s="916"/>
      <c r="AH311" s="916"/>
      <c r="AI311" s="916"/>
      <c r="AJ311" s="916"/>
      <c r="AK311" s="916"/>
      <c r="AL311" s="916"/>
      <c r="AM311" s="916"/>
      <c r="AN311" s="916"/>
      <c r="AO311" s="916"/>
      <c r="AP311" s="916"/>
      <c r="AQ311" s="916"/>
      <c r="AR311" s="916"/>
      <c r="AS311" s="916"/>
      <c r="AT311" s="916"/>
      <c r="AU311" s="916"/>
      <c r="AV311" s="916"/>
    </row>
    <row r="312" ht="14.25" customHeight="1">
      <c r="A312" s="916"/>
      <c r="B312" s="917"/>
      <c r="C312" s="935" t="s">
        <v>762</v>
      </c>
      <c r="D312" s="921" t="s">
        <v>763</v>
      </c>
      <c r="E312" s="916"/>
      <c r="F312" s="916"/>
      <c r="G312" s="916"/>
      <c r="H312" s="916"/>
      <c r="I312" s="916"/>
      <c r="J312" s="916"/>
      <c r="K312" s="916"/>
      <c r="O312" s="916"/>
      <c r="P312" s="916"/>
      <c r="Q312" s="916"/>
      <c r="R312" s="916"/>
      <c r="S312" s="916"/>
      <c r="T312" s="916"/>
      <c r="U312" s="916"/>
      <c r="V312" s="916"/>
      <c r="W312" s="916"/>
      <c r="X312" s="916"/>
      <c r="Y312" s="916"/>
      <c r="Z312" s="916"/>
      <c r="AA312" s="916"/>
      <c r="AB312" s="916"/>
      <c r="AC312" s="916"/>
      <c r="AD312" s="916"/>
      <c r="AE312" s="916"/>
      <c r="AF312" s="916"/>
      <c r="AG312" s="916"/>
      <c r="AH312" s="916"/>
      <c r="AI312" s="916"/>
      <c r="AJ312" s="916"/>
      <c r="AK312" s="916"/>
      <c r="AL312" s="916"/>
      <c r="AM312" s="916"/>
      <c r="AN312" s="916"/>
      <c r="AO312" s="916"/>
      <c r="AP312" s="916"/>
      <c r="AQ312" s="916"/>
      <c r="AR312" s="916"/>
      <c r="AS312" s="916"/>
      <c r="AT312" s="916"/>
      <c r="AU312" s="916"/>
      <c r="AV312" s="916"/>
      <c r="AW312" s="916"/>
      <c r="AX312" s="916"/>
      <c r="AY312" s="916"/>
      <c r="AZ312" s="916"/>
      <c r="BA312" s="916"/>
      <c r="BB312" s="916"/>
      <c r="BC312" s="916"/>
      <c r="BD312" s="916"/>
      <c r="BE312" s="916"/>
      <c r="BF312" s="916"/>
    </row>
    <row r="313" ht="14.25" customHeight="1">
      <c r="A313" s="916"/>
      <c r="B313" s="917"/>
      <c r="C313" s="916"/>
      <c r="D313" s="916"/>
      <c r="E313" s="916"/>
      <c r="F313" s="916"/>
      <c r="G313" s="926"/>
      <c r="H313" s="916"/>
      <c r="I313" s="916"/>
      <c r="J313" s="966"/>
      <c r="O313" s="916"/>
      <c r="P313" s="916"/>
      <c r="Q313" s="916"/>
      <c r="R313" s="916"/>
      <c r="S313" s="916"/>
      <c r="T313" s="916"/>
      <c r="U313" s="916"/>
      <c r="V313" s="916"/>
      <c r="W313" s="916"/>
      <c r="X313" s="916"/>
      <c r="Y313" s="916"/>
      <c r="Z313" s="916"/>
      <c r="AA313" s="916"/>
      <c r="AB313" s="916"/>
      <c r="AC313" s="916"/>
      <c r="AD313" s="916"/>
      <c r="AE313" s="916"/>
      <c r="AF313" s="916"/>
      <c r="AG313" s="916"/>
      <c r="AH313" s="916"/>
      <c r="AI313" s="916"/>
      <c r="AJ313" s="916"/>
      <c r="AK313" s="916"/>
      <c r="AL313" s="916"/>
      <c r="AM313" s="916"/>
      <c r="AN313" s="916"/>
      <c r="AO313" s="916"/>
      <c r="AP313" s="916"/>
      <c r="AQ313" s="916"/>
      <c r="AR313" s="916"/>
      <c r="AS313" s="916"/>
      <c r="AT313" s="916"/>
      <c r="AU313" s="916"/>
      <c r="AV313" s="916"/>
      <c r="AW313" s="916"/>
      <c r="AX313" s="916"/>
      <c r="AY313" s="916"/>
      <c r="AZ313" s="916"/>
      <c r="BA313" s="916"/>
      <c r="BB313" s="916"/>
      <c r="BC313" s="916"/>
      <c r="BD313" s="916"/>
      <c r="BE313" s="916"/>
      <c r="BF313" s="916"/>
    </row>
    <row r="314" ht="14.25" customHeight="1">
      <c r="A314" s="916"/>
      <c r="B314" s="917" t="s">
        <v>894</v>
      </c>
      <c r="C314" s="948" t="s">
        <v>769</v>
      </c>
      <c r="D314" s="936" t="s">
        <v>908</v>
      </c>
      <c r="E314" s="916"/>
      <c r="F314" s="916"/>
      <c r="G314" s="926"/>
      <c r="H314" s="916"/>
      <c r="I314" s="916"/>
      <c r="J314" s="966"/>
      <c r="O314" s="916"/>
      <c r="P314" s="916"/>
      <c r="Q314" s="916"/>
      <c r="R314" s="916"/>
      <c r="S314" s="916"/>
      <c r="T314" s="916"/>
      <c r="U314" s="916"/>
      <c r="V314" s="916"/>
      <c r="W314" s="916"/>
      <c r="X314" s="916"/>
      <c r="Y314" s="916"/>
      <c r="Z314" s="916"/>
      <c r="AA314" s="916"/>
      <c r="AB314" s="916"/>
      <c r="AC314" s="987" t="s">
        <v>743</v>
      </c>
      <c r="AD314" s="988" t="s">
        <v>909</v>
      </c>
      <c r="AE314" s="987"/>
      <c r="AF314" s="916"/>
      <c r="AG314" s="989" t="s">
        <v>910</v>
      </c>
      <c r="AH314" s="916"/>
      <c r="AI314" s="989" t="s">
        <v>911</v>
      </c>
      <c r="AJ314" s="916"/>
      <c r="AK314" s="916"/>
      <c r="AL314" s="916"/>
      <c r="AM314" s="916"/>
      <c r="AN314" s="916"/>
      <c r="AO314" s="916"/>
      <c r="AP314" s="916"/>
      <c r="AQ314" s="916"/>
      <c r="AR314" s="916"/>
      <c r="AS314" s="916"/>
      <c r="AT314" s="916"/>
      <c r="AU314" s="916"/>
      <c r="AV314" s="916"/>
      <c r="AW314" s="916"/>
      <c r="AX314" s="916"/>
      <c r="AY314" s="916"/>
      <c r="AZ314" s="916"/>
      <c r="BA314" s="916"/>
      <c r="BB314" s="916"/>
      <c r="BC314" s="916"/>
      <c r="BD314" s="916"/>
      <c r="BE314" s="916"/>
      <c r="BF314" s="916"/>
    </row>
    <row r="315" ht="14.25" customHeight="1">
      <c r="A315" s="916"/>
      <c r="B315" s="917"/>
      <c r="C315" s="948" t="s">
        <v>769</v>
      </c>
      <c r="D315" s="936" t="s">
        <v>912</v>
      </c>
      <c r="E315" s="916"/>
      <c r="F315" s="916"/>
      <c r="G315" s="926"/>
      <c r="H315" s="916"/>
      <c r="I315" s="916"/>
      <c r="J315" s="966"/>
      <c r="O315" s="916"/>
      <c r="P315" s="916"/>
      <c r="Q315" s="916"/>
      <c r="R315" s="916"/>
      <c r="S315" s="916"/>
      <c r="T315" s="916"/>
      <c r="U315" s="916"/>
      <c r="V315" s="916"/>
      <c r="W315" s="916"/>
      <c r="X315" s="916"/>
      <c r="Y315" s="916"/>
      <c r="Z315" s="916"/>
      <c r="AA315" s="916"/>
      <c r="AB315" s="916"/>
      <c r="AC315" s="987" t="s">
        <v>743</v>
      </c>
      <c r="AD315" s="916"/>
      <c r="AE315" s="916"/>
      <c r="AF315" s="916"/>
      <c r="AG315" s="989" t="s">
        <v>913</v>
      </c>
      <c r="AH315" s="916"/>
      <c r="AI315" s="916"/>
      <c r="AJ315" s="916"/>
      <c r="AK315" s="916"/>
      <c r="AL315" s="916"/>
      <c r="AM315" s="916"/>
      <c r="AN315" s="916"/>
      <c r="AO315" s="916"/>
      <c r="AP315" s="916"/>
      <c r="AQ315" s="916"/>
      <c r="AR315" s="916"/>
      <c r="AS315" s="916"/>
      <c r="AT315" s="916"/>
      <c r="AU315" s="916"/>
      <c r="AV315" s="916"/>
      <c r="AW315" s="916"/>
      <c r="AX315" s="916"/>
      <c r="AY315" s="916"/>
      <c r="AZ315" s="916"/>
      <c r="BA315" s="916"/>
      <c r="BB315" s="916"/>
      <c r="BC315" s="916"/>
      <c r="BD315" s="916"/>
      <c r="BE315" s="916"/>
      <c r="BF315" s="916"/>
    </row>
    <row r="316" ht="14.25" customHeight="1">
      <c r="A316" s="916"/>
      <c r="B316" s="917"/>
      <c r="C316" s="948" t="s">
        <v>769</v>
      </c>
      <c r="D316" s="936" t="s">
        <v>914</v>
      </c>
      <c r="E316" s="916"/>
      <c r="F316" s="916"/>
      <c r="G316" s="926"/>
      <c r="H316" s="916"/>
      <c r="I316" s="916"/>
      <c r="J316" s="916"/>
      <c r="K316" s="916"/>
      <c r="O316" s="916"/>
      <c r="P316" s="916"/>
      <c r="Q316" s="916"/>
      <c r="R316" s="916"/>
      <c r="S316" s="916"/>
      <c r="T316" s="916"/>
      <c r="U316" s="916"/>
      <c r="V316" s="916"/>
      <c r="W316" s="916"/>
      <c r="X316" s="916"/>
      <c r="Y316" s="916"/>
      <c r="Z316" s="916"/>
      <c r="AA316" s="916"/>
      <c r="AB316" s="916"/>
      <c r="AC316" s="987" t="s">
        <v>743</v>
      </c>
      <c r="AD316" s="916"/>
      <c r="AE316" s="916"/>
      <c r="AF316" s="916"/>
      <c r="AG316" s="916"/>
      <c r="AH316" s="916"/>
      <c r="AI316" s="916"/>
      <c r="AJ316" s="916"/>
      <c r="AK316" s="916"/>
      <c r="AL316" s="916"/>
      <c r="AM316" s="916"/>
      <c r="AN316" s="916"/>
      <c r="AO316" s="916"/>
      <c r="AP316" s="916"/>
      <c r="AQ316" s="916"/>
      <c r="AR316" s="916"/>
      <c r="AS316" s="916"/>
      <c r="AT316" s="916"/>
      <c r="AU316" s="916"/>
      <c r="AV316" s="916"/>
      <c r="AW316" s="916"/>
      <c r="AX316" s="916"/>
      <c r="AY316" s="916"/>
      <c r="AZ316" s="916"/>
      <c r="BA316" s="916"/>
      <c r="BB316" s="916"/>
      <c r="BC316" s="916"/>
      <c r="BD316" s="916"/>
      <c r="BE316" s="916"/>
      <c r="BF316" s="916"/>
    </row>
    <row r="317" ht="14.25" customHeight="1">
      <c r="A317" s="916"/>
      <c r="B317" s="917"/>
      <c r="C317" s="948" t="s">
        <v>769</v>
      </c>
      <c r="D317" s="936" t="s">
        <v>915</v>
      </c>
      <c r="E317" s="916"/>
      <c r="F317" s="916"/>
      <c r="G317" s="916"/>
      <c r="H317" s="916"/>
      <c r="I317" s="916"/>
      <c r="J317" s="936"/>
      <c r="O317" s="916"/>
      <c r="P317" s="916"/>
      <c r="Q317" s="916"/>
      <c r="R317" s="916"/>
      <c r="S317" s="916"/>
      <c r="T317" s="916"/>
      <c r="U317" s="916"/>
      <c r="V317" s="916"/>
      <c r="W317" s="916"/>
      <c r="X317" s="916"/>
      <c r="Y317" s="916"/>
      <c r="Z317" s="916"/>
      <c r="AA317" s="916"/>
      <c r="AB317" s="916"/>
      <c r="AC317" s="987" t="s">
        <v>743</v>
      </c>
      <c r="AD317" s="988" t="s">
        <v>916</v>
      </c>
      <c r="AE317" s="990"/>
      <c r="AF317" s="916"/>
      <c r="AG317" s="916"/>
      <c r="AH317" s="916"/>
      <c r="AI317" s="916"/>
      <c r="AJ317" s="916"/>
      <c r="AK317" s="916"/>
      <c r="AL317" s="916"/>
      <c r="AM317" s="916"/>
      <c r="AN317" s="916"/>
      <c r="AO317" s="916"/>
      <c r="AP317" s="916"/>
      <c r="AQ317" s="916"/>
      <c r="AR317" s="916"/>
      <c r="AS317" s="916"/>
      <c r="AT317" s="916"/>
      <c r="AU317" s="916"/>
      <c r="AV317" s="916"/>
      <c r="AW317" s="916"/>
      <c r="AX317" s="916"/>
      <c r="AY317" s="916"/>
      <c r="AZ317" s="916"/>
      <c r="BA317" s="916"/>
      <c r="BB317" s="916"/>
      <c r="BC317" s="916"/>
      <c r="BD317" s="916"/>
      <c r="BE317" s="916"/>
      <c r="BF317" s="916"/>
    </row>
    <row r="318" ht="14.25" customHeight="1">
      <c r="A318" s="916"/>
      <c r="B318" s="917"/>
      <c r="C318" s="948" t="s">
        <v>769</v>
      </c>
      <c r="D318" s="936" t="s">
        <v>917</v>
      </c>
      <c r="E318" s="916"/>
      <c r="F318" s="916"/>
      <c r="G318" s="916"/>
      <c r="H318" s="916"/>
      <c r="I318" s="916"/>
      <c r="J318" s="936"/>
      <c r="O318" s="916"/>
      <c r="P318" s="916"/>
      <c r="Q318" s="916"/>
      <c r="R318" s="916"/>
      <c r="S318" s="916"/>
      <c r="T318" s="916"/>
      <c r="U318" s="916"/>
      <c r="V318" s="916"/>
      <c r="W318" s="916"/>
      <c r="X318" s="916"/>
      <c r="Y318" s="916"/>
      <c r="Z318" s="916"/>
      <c r="AA318" s="916"/>
      <c r="AB318" s="916"/>
      <c r="AC318" s="987" t="s">
        <v>743</v>
      </c>
      <c r="AD318" s="916"/>
      <c r="AE318" s="916"/>
      <c r="AF318" s="916"/>
      <c r="AG318" s="916"/>
      <c r="AH318" s="916"/>
      <c r="AI318" s="916"/>
      <c r="AJ318" s="916"/>
      <c r="AK318" s="916"/>
      <c r="AL318" s="916"/>
      <c r="AM318" s="916"/>
      <c r="AN318" s="916"/>
      <c r="AO318" s="916"/>
      <c r="AP318" s="916"/>
      <c r="AQ318" s="916"/>
      <c r="AR318" s="916"/>
      <c r="AS318" s="916"/>
      <c r="AT318" s="916"/>
      <c r="AU318" s="916"/>
      <c r="AV318" s="916"/>
      <c r="AW318" s="916"/>
      <c r="AX318" s="916"/>
      <c r="AY318" s="916"/>
      <c r="AZ318" s="916"/>
      <c r="BA318" s="916"/>
      <c r="BB318" s="916"/>
      <c r="BC318" s="916"/>
      <c r="BD318" s="916"/>
      <c r="BE318" s="916"/>
      <c r="BF318" s="916"/>
    </row>
    <row r="319" ht="14.25" customHeight="1">
      <c r="A319" s="916"/>
      <c r="B319" s="917"/>
      <c r="C319" s="941"/>
      <c r="D319" s="936"/>
      <c r="E319" s="916"/>
      <c r="F319" s="916"/>
      <c r="G319" s="916"/>
      <c r="H319" s="916"/>
      <c r="I319" s="916"/>
      <c r="J319" s="936"/>
      <c r="O319" s="916"/>
      <c r="P319" s="916"/>
      <c r="Q319" s="916"/>
      <c r="R319" s="916"/>
      <c r="S319" s="916"/>
      <c r="T319" s="916"/>
      <c r="U319" s="916"/>
      <c r="V319" s="916"/>
      <c r="W319" s="916"/>
      <c r="X319" s="916"/>
      <c r="Y319" s="916"/>
      <c r="Z319" s="916"/>
      <c r="AA319" s="916"/>
      <c r="AB319" s="916"/>
      <c r="AC319" s="916"/>
      <c r="AD319" s="916"/>
      <c r="AE319" s="916"/>
      <c r="AF319" s="916"/>
      <c r="AG319" s="916"/>
      <c r="AH319" s="916"/>
      <c r="AI319" s="916"/>
      <c r="AJ319" s="916"/>
      <c r="AK319" s="916"/>
      <c r="AL319" s="916"/>
      <c r="AM319" s="916"/>
      <c r="AN319" s="916"/>
      <c r="AO319" s="916"/>
      <c r="AP319" s="916"/>
      <c r="AQ319" s="916"/>
      <c r="AR319" s="916"/>
      <c r="AS319" s="916"/>
      <c r="AT319" s="916"/>
      <c r="AU319" s="916"/>
      <c r="AV319" s="916"/>
      <c r="AW319" s="916"/>
      <c r="AX319" s="916"/>
      <c r="AY319" s="916"/>
      <c r="AZ319" s="916"/>
      <c r="BA319" s="916"/>
      <c r="BB319" s="916"/>
      <c r="BC319" s="916"/>
      <c r="BD319" s="916"/>
      <c r="BE319" s="916"/>
      <c r="BF319" s="916"/>
    </row>
    <row r="320" ht="14.25" customHeight="1">
      <c r="A320" s="916"/>
      <c r="B320" s="917"/>
      <c r="C320" s="941"/>
      <c r="D320" s="936" t="s">
        <v>918</v>
      </c>
      <c r="E320" s="916"/>
      <c r="F320" s="916"/>
      <c r="G320" s="916"/>
      <c r="H320" s="916"/>
      <c r="I320" s="916"/>
      <c r="J320" s="936"/>
      <c r="O320" s="916"/>
      <c r="P320" s="916"/>
      <c r="Q320" s="916"/>
      <c r="R320" s="916"/>
      <c r="S320" s="916"/>
      <c r="T320" s="916"/>
      <c r="U320" s="916"/>
      <c r="V320" s="916"/>
      <c r="W320" s="916"/>
      <c r="X320" s="916"/>
      <c r="Y320" s="916"/>
      <c r="Z320" s="916"/>
      <c r="AA320" s="916"/>
      <c r="AB320" s="916"/>
      <c r="AC320" s="916"/>
      <c r="AD320" s="916"/>
      <c r="AE320" s="916"/>
      <c r="AF320" s="916"/>
      <c r="AG320" s="916"/>
      <c r="AH320" s="916"/>
      <c r="AI320" s="916"/>
      <c r="AJ320" s="916"/>
      <c r="AK320" s="916"/>
      <c r="AL320" s="916"/>
      <c r="AM320" s="916"/>
      <c r="AN320" s="916"/>
      <c r="AO320" s="916"/>
      <c r="AP320" s="916"/>
      <c r="AQ320" s="916"/>
      <c r="AR320" s="916"/>
      <c r="AS320" s="916"/>
      <c r="AT320" s="916"/>
      <c r="AU320" s="916"/>
      <c r="AV320" s="916"/>
      <c r="AW320" s="916"/>
      <c r="AX320" s="916"/>
      <c r="AY320" s="916"/>
      <c r="AZ320" s="916"/>
      <c r="BA320" s="916"/>
      <c r="BB320" s="916"/>
      <c r="BC320" s="916"/>
      <c r="BD320" s="916"/>
      <c r="BE320" s="916"/>
      <c r="BF320" s="916"/>
    </row>
    <row r="321" ht="14.25" customHeight="1">
      <c r="A321" s="916"/>
      <c r="B321" s="917" t="s">
        <v>750</v>
      </c>
      <c r="C321" s="941"/>
      <c r="D321" s="981"/>
      <c r="E321" s="968"/>
      <c r="F321" s="968"/>
      <c r="G321" s="968"/>
      <c r="H321" s="968"/>
      <c r="I321" s="968"/>
      <c r="J321" s="982"/>
      <c r="O321" s="916"/>
      <c r="P321" s="916"/>
      <c r="Q321" s="916"/>
      <c r="R321" s="916"/>
      <c r="S321" s="916"/>
      <c r="T321" s="916"/>
      <c r="U321" s="916"/>
      <c r="V321" s="916"/>
      <c r="W321" s="916"/>
      <c r="X321" s="916"/>
      <c r="Y321" s="916"/>
      <c r="Z321" s="916"/>
      <c r="AA321" s="916"/>
      <c r="AB321" s="916"/>
      <c r="AC321" s="916"/>
      <c r="AD321" s="916"/>
      <c r="AE321" s="916"/>
      <c r="AF321" s="916"/>
      <c r="AG321" s="916"/>
      <c r="AH321" s="916"/>
      <c r="AI321" s="916"/>
      <c r="AJ321" s="916"/>
      <c r="AK321" s="916"/>
      <c r="AL321" s="916"/>
      <c r="AM321" s="916"/>
      <c r="AN321" s="916"/>
      <c r="AO321" s="916"/>
      <c r="AP321" s="916"/>
      <c r="AQ321" s="916"/>
      <c r="AR321" s="916"/>
      <c r="AS321" s="916"/>
      <c r="AT321" s="916"/>
      <c r="AU321" s="916"/>
      <c r="AV321" s="916"/>
      <c r="AW321" s="916"/>
      <c r="AX321" s="916"/>
      <c r="AY321" s="916"/>
      <c r="AZ321" s="916"/>
      <c r="BA321" s="916"/>
      <c r="BB321" s="916"/>
      <c r="BC321" s="916"/>
      <c r="BD321" s="916"/>
      <c r="BE321" s="916"/>
      <c r="BF321" s="916"/>
    </row>
    <row r="322" ht="14.25" customHeight="1">
      <c r="A322" s="916"/>
      <c r="B322" s="917"/>
      <c r="C322" s="941"/>
      <c r="D322" s="983"/>
      <c r="E322" s="920"/>
      <c r="F322" s="920"/>
      <c r="G322" s="920"/>
      <c r="H322" s="920"/>
      <c r="I322" s="920"/>
      <c r="J322" s="984"/>
      <c r="M322" s="916"/>
      <c r="N322" s="916"/>
      <c r="O322" s="916"/>
      <c r="P322" s="916"/>
      <c r="Q322" s="916"/>
      <c r="R322" s="916"/>
      <c r="S322" s="916"/>
      <c r="T322" s="916"/>
      <c r="U322" s="916"/>
      <c r="V322" s="916"/>
      <c r="W322" s="916"/>
      <c r="X322" s="916"/>
      <c r="Y322" s="916"/>
      <c r="Z322" s="916"/>
      <c r="AA322" s="916"/>
      <c r="AB322" s="916"/>
      <c r="AC322" s="916"/>
      <c r="AD322" s="916"/>
      <c r="AE322" s="916"/>
      <c r="AF322" s="916"/>
      <c r="AG322" s="916"/>
      <c r="AH322" s="916"/>
      <c r="AI322" s="916"/>
      <c r="AJ322" s="916"/>
      <c r="AK322" s="916"/>
      <c r="AL322" s="916"/>
      <c r="AM322" s="916"/>
      <c r="AN322" s="916"/>
      <c r="AO322" s="916"/>
      <c r="AP322" s="916"/>
      <c r="AQ322" s="916"/>
      <c r="AR322" s="916"/>
      <c r="AS322" s="916"/>
      <c r="AT322" s="916"/>
      <c r="AU322" s="916"/>
      <c r="AV322" s="916"/>
      <c r="AW322" s="916"/>
      <c r="AX322" s="916"/>
      <c r="AY322" s="916"/>
      <c r="AZ322" s="916"/>
      <c r="BA322" s="916"/>
      <c r="BB322" s="916"/>
      <c r="BC322" s="916"/>
      <c r="BD322" s="916"/>
      <c r="BE322" s="916"/>
      <c r="BF322" s="916"/>
    </row>
    <row r="323" ht="14.25" customHeight="1">
      <c r="A323" s="916"/>
      <c r="B323" s="938"/>
      <c r="C323" s="920"/>
      <c r="D323" s="920"/>
      <c r="E323" s="920"/>
      <c r="F323" s="920"/>
      <c r="G323" s="991"/>
      <c r="H323" s="920"/>
      <c r="I323" s="920"/>
      <c r="J323" s="920"/>
      <c r="K323" s="920"/>
      <c r="L323" s="920"/>
      <c r="M323" s="920"/>
      <c r="N323" s="920"/>
      <c r="O323" s="920"/>
      <c r="P323" s="916"/>
      <c r="Q323" s="916"/>
      <c r="R323" s="916"/>
      <c r="S323" s="916"/>
      <c r="T323" s="916"/>
      <c r="U323" s="916"/>
      <c r="V323" s="916"/>
      <c r="W323" s="916"/>
      <c r="X323" s="916"/>
      <c r="Y323" s="916"/>
      <c r="Z323" s="916"/>
      <c r="AA323" s="916"/>
      <c r="AB323" s="916"/>
      <c r="AC323" s="916"/>
      <c r="AD323" s="916"/>
      <c r="AE323" s="916"/>
      <c r="AF323" s="916"/>
      <c r="AG323" s="916"/>
      <c r="AH323" s="916"/>
      <c r="AI323" s="916"/>
      <c r="AJ323" s="916"/>
      <c r="AK323" s="916"/>
      <c r="AL323" s="916"/>
      <c r="AM323" s="916"/>
      <c r="AN323" s="916"/>
      <c r="AO323" s="916"/>
      <c r="AP323" s="916"/>
      <c r="AQ323" s="916"/>
      <c r="AR323" s="916"/>
      <c r="AS323" s="916"/>
      <c r="AT323" s="916"/>
      <c r="AU323" s="916"/>
      <c r="AV323" s="916"/>
      <c r="AW323" s="916"/>
      <c r="AX323" s="916"/>
      <c r="AY323" s="916"/>
      <c r="AZ323" s="916"/>
      <c r="BA323" s="916"/>
      <c r="BB323" s="916"/>
      <c r="BC323" s="916"/>
      <c r="BD323" s="916"/>
      <c r="BE323" s="916"/>
      <c r="BF323" s="916"/>
    </row>
    <row r="324" ht="14.25" customHeight="1">
      <c r="A324" s="916"/>
      <c r="B324" s="917"/>
      <c r="C324" s="916"/>
      <c r="D324" s="916"/>
      <c r="E324" s="916"/>
      <c r="F324" s="916"/>
      <c r="G324" s="926"/>
      <c r="H324" s="916"/>
      <c r="I324" s="916"/>
      <c r="J324" s="916"/>
      <c r="K324" s="916"/>
      <c r="L324" s="916"/>
      <c r="M324" s="916"/>
      <c r="N324" s="916"/>
      <c r="O324" s="916"/>
      <c r="P324" s="916"/>
      <c r="Q324" s="916"/>
      <c r="R324" s="916"/>
      <c r="S324" s="916"/>
      <c r="T324" s="916"/>
      <c r="U324" s="916"/>
      <c r="V324" s="916"/>
      <c r="W324" s="916"/>
      <c r="X324" s="916"/>
      <c r="Y324" s="916"/>
      <c r="Z324" s="916"/>
      <c r="AA324" s="916"/>
      <c r="AB324" s="916"/>
      <c r="AC324" s="916"/>
      <c r="AD324" s="916"/>
      <c r="AE324" s="916"/>
      <c r="AF324" s="916"/>
      <c r="AG324" s="916"/>
      <c r="AH324" s="916"/>
      <c r="AI324" s="916"/>
      <c r="AJ324" s="916"/>
      <c r="AK324" s="916"/>
      <c r="AL324" s="916"/>
      <c r="AM324" s="916"/>
      <c r="AN324" s="916"/>
      <c r="AO324" s="916"/>
      <c r="AP324" s="916"/>
      <c r="AQ324" s="916"/>
      <c r="AR324" s="916"/>
      <c r="AS324" s="916"/>
      <c r="AT324" s="916"/>
      <c r="AU324" s="916"/>
      <c r="AV324" s="916"/>
      <c r="AW324" s="916"/>
      <c r="AX324" s="916"/>
      <c r="AY324" s="916"/>
      <c r="AZ324" s="916"/>
      <c r="BA324" s="916"/>
      <c r="BB324" s="916"/>
      <c r="BC324" s="916"/>
      <c r="BD324" s="916"/>
      <c r="BE324" s="916"/>
      <c r="BF324" s="916"/>
    </row>
    <row r="325" ht="14.25" customHeight="1">
      <c r="A325" s="916"/>
      <c r="B325" s="917"/>
      <c r="C325" s="931" t="s">
        <v>764</v>
      </c>
      <c r="D325" s="921" t="s">
        <v>765</v>
      </c>
      <c r="E325" s="916"/>
      <c r="F325" s="916"/>
      <c r="G325" s="926"/>
      <c r="H325" s="916"/>
      <c r="I325" s="916"/>
      <c r="J325" s="966"/>
      <c r="K325" s="916"/>
      <c r="L325" s="992"/>
      <c r="M325" s="916"/>
      <c r="N325" s="916"/>
      <c r="O325" s="916"/>
      <c r="P325" s="916"/>
      <c r="Q325" s="916"/>
      <c r="R325" s="916"/>
      <c r="S325" s="916"/>
      <c r="T325" s="916"/>
      <c r="U325" s="916"/>
      <c r="V325" s="916"/>
      <c r="W325" s="916"/>
      <c r="X325" s="916"/>
      <c r="Y325" s="916"/>
      <c r="Z325" s="916"/>
      <c r="AA325" s="916"/>
      <c r="AB325" s="916"/>
      <c r="AC325" s="916"/>
      <c r="AD325" s="916"/>
      <c r="AE325" s="916"/>
      <c r="AF325" s="916"/>
      <c r="AG325" s="916"/>
      <c r="AH325" s="916"/>
      <c r="AI325" s="916"/>
      <c r="AJ325" s="916"/>
      <c r="AK325" s="916"/>
      <c r="AL325" s="916"/>
      <c r="AM325" s="916"/>
      <c r="AN325" s="916"/>
      <c r="AO325" s="916"/>
      <c r="AP325" s="916"/>
      <c r="AQ325" s="916"/>
      <c r="AR325" s="916"/>
      <c r="AS325" s="916"/>
      <c r="AT325" s="916"/>
      <c r="AU325" s="916"/>
      <c r="AV325" s="916"/>
      <c r="AW325" s="916"/>
      <c r="AX325" s="916"/>
      <c r="AY325" s="916"/>
      <c r="AZ325" s="916"/>
      <c r="BA325" s="916"/>
      <c r="BB325" s="916"/>
      <c r="BC325" s="916"/>
      <c r="BD325" s="916"/>
      <c r="BE325" s="916"/>
      <c r="BF325" s="916"/>
    </row>
    <row r="326" ht="14.25" customHeight="1">
      <c r="A326" s="916"/>
      <c r="B326" s="917"/>
      <c r="C326" s="916"/>
      <c r="D326" s="916"/>
      <c r="E326" s="916"/>
      <c r="F326" s="916"/>
      <c r="G326" s="926"/>
      <c r="H326" s="916"/>
      <c r="I326" s="916"/>
      <c r="J326" s="966"/>
      <c r="K326" s="916"/>
      <c r="L326" s="992"/>
      <c r="M326" s="916"/>
      <c r="N326" s="916"/>
      <c r="O326" s="916"/>
      <c r="P326" s="916"/>
      <c r="Q326" s="916"/>
      <c r="R326" s="916"/>
      <c r="S326" s="916"/>
      <c r="T326" s="916"/>
      <c r="U326" s="916"/>
      <c r="V326" s="916"/>
      <c r="W326" s="916"/>
      <c r="X326" s="916"/>
      <c r="Y326" s="916"/>
      <c r="Z326" s="916"/>
      <c r="AA326" s="916"/>
      <c r="AB326" s="916"/>
      <c r="AC326" s="916"/>
      <c r="AD326" s="916"/>
      <c r="AE326" s="916"/>
      <c r="AF326" s="916"/>
      <c r="AG326" s="916"/>
      <c r="AH326" s="916"/>
      <c r="AI326" s="916"/>
      <c r="AJ326" s="916"/>
      <c r="AK326" s="916"/>
      <c r="AL326" s="916"/>
      <c r="AM326" s="916"/>
      <c r="AN326" s="916"/>
      <c r="AO326" s="916"/>
      <c r="AP326" s="916"/>
      <c r="AQ326" s="916"/>
      <c r="AR326" s="916"/>
      <c r="AS326" s="916"/>
      <c r="AT326" s="916"/>
      <c r="AU326" s="916"/>
      <c r="AV326" s="916"/>
      <c r="AW326" s="916"/>
      <c r="AX326" s="916"/>
      <c r="AY326" s="916"/>
      <c r="AZ326" s="916"/>
      <c r="BA326" s="916"/>
      <c r="BB326" s="916"/>
      <c r="BC326" s="916"/>
      <c r="BD326" s="916"/>
      <c r="BE326" s="916"/>
      <c r="BF326" s="916"/>
    </row>
    <row r="327" ht="14.25" customHeight="1">
      <c r="A327" s="916"/>
      <c r="B327" s="917"/>
      <c r="C327" s="935" t="s">
        <v>766</v>
      </c>
      <c r="D327" s="921" t="s">
        <v>767</v>
      </c>
      <c r="E327" s="916"/>
      <c r="F327" s="916"/>
      <c r="G327" s="926"/>
      <c r="I327" s="916"/>
      <c r="J327" s="966"/>
      <c r="K327" s="916"/>
      <c r="L327" s="992"/>
      <c r="M327" s="916"/>
      <c r="N327" s="916"/>
      <c r="O327" s="916"/>
      <c r="P327" s="916"/>
      <c r="Q327" s="916"/>
      <c r="R327" s="916"/>
      <c r="S327" s="916"/>
      <c r="T327" s="916"/>
      <c r="U327" s="916"/>
      <c r="V327" s="916"/>
      <c r="W327" s="916"/>
      <c r="X327" s="916"/>
      <c r="Y327" s="916"/>
      <c r="Z327" s="916"/>
      <c r="AA327" s="916"/>
      <c r="AB327" s="916"/>
      <c r="AC327" s="916"/>
      <c r="AD327" s="916"/>
      <c r="AE327" s="916"/>
      <c r="AF327" s="916"/>
      <c r="AG327" s="916"/>
      <c r="AH327" s="916"/>
      <c r="AI327" s="916"/>
      <c r="AJ327" s="916"/>
      <c r="AK327" s="916"/>
      <c r="AL327" s="916"/>
      <c r="AM327" s="916"/>
      <c r="AN327" s="916"/>
      <c r="AO327" s="916"/>
      <c r="AP327" s="916"/>
      <c r="AQ327" s="916"/>
      <c r="AR327" s="916"/>
      <c r="AS327" s="916"/>
      <c r="AT327" s="916"/>
      <c r="AU327" s="916"/>
      <c r="AV327" s="916"/>
      <c r="AW327" s="916"/>
      <c r="AX327" s="916"/>
      <c r="AY327" s="916"/>
      <c r="AZ327" s="916"/>
      <c r="BA327" s="916"/>
      <c r="BB327" s="916"/>
      <c r="BC327" s="916"/>
      <c r="BD327" s="916"/>
      <c r="BE327" s="916"/>
      <c r="BF327" s="916"/>
    </row>
    <row r="328" ht="14.25" customHeight="1">
      <c r="A328" s="916"/>
      <c r="B328" s="917"/>
      <c r="C328" s="993"/>
      <c r="D328" s="724"/>
      <c r="E328" s="916"/>
      <c r="F328" s="916"/>
      <c r="G328" s="926"/>
      <c r="H328" s="916"/>
      <c r="I328" s="916"/>
      <c r="J328" s="966"/>
      <c r="K328" s="916"/>
      <c r="L328" s="992"/>
      <c r="M328" s="916"/>
      <c r="N328" s="916"/>
      <c r="O328" s="916"/>
      <c r="P328" s="916"/>
      <c r="Q328" s="916"/>
      <c r="R328" s="916"/>
      <c r="S328" s="916"/>
      <c r="T328" s="916"/>
      <c r="U328" s="916"/>
      <c r="V328" s="916"/>
      <c r="W328" s="916"/>
      <c r="X328" s="916"/>
      <c r="Y328" s="916"/>
      <c r="Z328" s="916"/>
      <c r="AA328" s="916"/>
      <c r="AB328" s="916"/>
      <c r="AC328" s="916"/>
      <c r="AD328" s="916"/>
      <c r="AE328" s="916"/>
      <c r="AF328" s="916"/>
      <c r="AG328" s="916"/>
      <c r="AH328" s="916"/>
      <c r="AI328" s="916"/>
      <c r="AJ328" s="916"/>
      <c r="AK328" s="916"/>
      <c r="AL328" s="916"/>
      <c r="AM328" s="916"/>
      <c r="AN328" s="916"/>
      <c r="AO328" s="916"/>
      <c r="AP328" s="916"/>
      <c r="AQ328" s="916"/>
      <c r="AR328" s="916"/>
      <c r="AS328" s="916"/>
      <c r="AT328" s="916"/>
      <c r="AU328" s="916"/>
      <c r="AV328" s="916"/>
      <c r="AW328" s="916"/>
      <c r="AX328" s="916"/>
      <c r="AY328" s="916"/>
      <c r="AZ328" s="916"/>
      <c r="BA328" s="916"/>
      <c r="BB328" s="916"/>
      <c r="BC328" s="916"/>
      <c r="BD328" s="916"/>
      <c r="BE328" s="916"/>
      <c r="BF328" s="916"/>
    </row>
    <row r="329" ht="14.25" customHeight="1">
      <c r="A329" s="916"/>
      <c r="B329" s="917"/>
      <c r="C329" s="941"/>
      <c r="D329" s="724" t="s">
        <v>919</v>
      </c>
      <c r="E329" s="916"/>
      <c r="F329" s="916"/>
      <c r="G329" s="916"/>
      <c r="H329" s="916"/>
      <c r="I329" s="916"/>
      <c r="J329" s="966"/>
      <c r="K329" s="916"/>
      <c r="L329" s="992"/>
      <c r="M329" s="916"/>
      <c r="N329" s="916"/>
      <c r="O329" s="916"/>
      <c r="P329" s="916"/>
      <c r="Q329" s="916"/>
      <c r="R329" s="916"/>
      <c r="S329" s="916"/>
      <c r="T329" s="916"/>
      <c r="U329" s="916"/>
      <c r="V329" s="916"/>
      <c r="W329" s="916"/>
      <c r="X329" s="916"/>
      <c r="Y329" s="916"/>
      <c r="Z329" s="916"/>
      <c r="AA329" s="916"/>
      <c r="AB329" s="916"/>
      <c r="AC329" s="916"/>
      <c r="AD329" s="916"/>
      <c r="AE329" s="916"/>
      <c r="AF329" s="916"/>
      <c r="AG329" s="916"/>
      <c r="AH329" s="916"/>
      <c r="AI329" s="916"/>
      <c r="AJ329" s="916"/>
      <c r="AK329" s="916"/>
      <c r="AL329" s="916"/>
      <c r="AM329" s="916"/>
      <c r="AN329" s="916"/>
      <c r="AO329" s="916"/>
      <c r="AP329" s="916"/>
      <c r="AQ329" s="916"/>
      <c r="AR329" s="916"/>
      <c r="AS329" s="916"/>
      <c r="AT329" s="916"/>
      <c r="AU329" s="916"/>
      <c r="AV329" s="916"/>
      <c r="AW329" s="916"/>
      <c r="AX329" s="916"/>
      <c r="AY329" s="916"/>
      <c r="AZ329" s="916"/>
      <c r="BA329" s="916"/>
      <c r="BB329" s="916"/>
      <c r="BC329" s="916"/>
      <c r="BD329" s="916"/>
      <c r="BE329" s="916"/>
      <c r="BF329" s="916"/>
    </row>
    <row r="330" ht="14.25" customHeight="1">
      <c r="A330" s="916"/>
      <c r="B330" s="917" t="s">
        <v>745</v>
      </c>
      <c r="C330" s="941"/>
      <c r="D330" s="951" t="s">
        <v>920</v>
      </c>
      <c r="E330" s="951"/>
      <c r="F330" s="951"/>
      <c r="G330" s="951"/>
      <c r="H330" s="951"/>
      <c r="I330" s="951"/>
      <c r="J330" s="966"/>
      <c r="K330" s="992"/>
      <c r="L330" s="992"/>
      <c r="M330" s="916"/>
      <c r="N330" s="916"/>
      <c r="O330" s="916"/>
      <c r="P330" s="916"/>
      <c r="Q330" s="916"/>
      <c r="R330" s="916"/>
      <c r="S330" s="916"/>
      <c r="T330" s="916"/>
      <c r="U330" s="916"/>
      <c r="V330" s="916"/>
      <c r="W330" s="916"/>
      <c r="X330" s="916"/>
      <c r="Y330" s="916"/>
      <c r="Z330" s="916"/>
      <c r="AA330" s="916"/>
      <c r="AB330" s="916"/>
      <c r="AC330" s="916"/>
      <c r="AD330" s="916"/>
      <c r="AE330" s="916"/>
      <c r="AF330" s="916"/>
      <c r="AG330" s="916"/>
      <c r="AH330" s="916"/>
      <c r="AI330" s="916"/>
      <c r="AJ330" s="916"/>
      <c r="AK330" s="916"/>
      <c r="AL330" s="916"/>
      <c r="AM330" s="916"/>
      <c r="AN330" s="916"/>
      <c r="AO330" s="916"/>
      <c r="AP330" s="916"/>
      <c r="AQ330" s="916"/>
      <c r="AR330" s="916"/>
      <c r="AS330" s="916"/>
      <c r="AT330" s="916"/>
      <c r="AU330" s="916"/>
      <c r="AV330" s="916"/>
      <c r="AW330" s="916"/>
      <c r="AX330" s="916"/>
      <c r="AY330" s="916"/>
      <c r="AZ330" s="916"/>
      <c r="BA330" s="916"/>
      <c r="BB330" s="916"/>
      <c r="BC330" s="916"/>
      <c r="BD330" s="916"/>
      <c r="BE330" s="916"/>
      <c r="BF330" s="916"/>
    </row>
    <row r="331" ht="14.25" customHeight="1">
      <c r="A331" s="916"/>
      <c r="B331" s="917"/>
      <c r="C331" s="994" t="s">
        <v>769</v>
      </c>
      <c r="D331" s="951" t="s">
        <v>921</v>
      </c>
      <c r="E331" s="951"/>
      <c r="F331" s="951"/>
      <c r="G331" s="951"/>
      <c r="H331" s="951"/>
      <c r="I331" s="951"/>
      <c r="J331" s="966"/>
      <c r="K331" s="992"/>
      <c r="L331" s="992"/>
      <c r="M331" s="916"/>
      <c r="N331" s="916"/>
      <c r="O331" s="916"/>
      <c r="P331" s="916"/>
      <c r="Q331" s="916"/>
      <c r="R331" s="916"/>
      <c r="S331" s="916"/>
      <c r="T331" s="916"/>
      <c r="U331" s="916"/>
      <c r="V331" s="916"/>
      <c r="W331" s="916"/>
      <c r="X331" s="916"/>
      <c r="Y331" s="916"/>
      <c r="Z331" s="916"/>
      <c r="AA331" s="916"/>
      <c r="AB331" s="916"/>
      <c r="AC331" s="916"/>
      <c r="AD331" s="916"/>
      <c r="AE331" s="916"/>
      <c r="AF331" s="916"/>
      <c r="AG331" s="916"/>
      <c r="AH331" s="916"/>
      <c r="AI331" s="916"/>
      <c r="AJ331" s="916"/>
      <c r="AK331" s="916"/>
      <c r="AL331" s="916"/>
      <c r="AM331" s="916"/>
      <c r="AN331" s="916"/>
      <c r="AO331" s="916"/>
      <c r="AP331" s="916"/>
      <c r="AQ331" s="916"/>
      <c r="AR331" s="916"/>
      <c r="AS331" s="916"/>
      <c r="AT331" s="916"/>
      <c r="AU331" s="916"/>
      <c r="AV331" s="916"/>
      <c r="AW331" s="916"/>
      <c r="AX331" s="916"/>
      <c r="AY331" s="916"/>
      <c r="AZ331" s="916"/>
      <c r="BA331" s="916"/>
      <c r="BB331" s="916"/>
      <c r="BC331" s="916"/>
      <c r="BD331" s="916"/>
      <c r="BE331" s="916"/>
      <c r="BF331" s="916"/>
    </row>
    <row r="332" ht="14.25" customHeight="1">
      <c r="A332" s="916"/>
      <c r="B332" s="917"/>
      <c r="C332" s="994" t="s">
        <v>769</v>
      </c>
      <c r="D332" s="951" t="s">
        <v>922</v>
      </c>
      <c r="E332" s="951"/>
      <c r="F332" s="951"/>
      <c r="G332" s="951"/>
      <c r="H332" s="951"/>
      <c r="I332" s="951"/>
      <c r="J332" s="966"/>
      <c r="K332" s="992"/>
      <c r="L332" s="992"/>
      <c r="M332" s="916"/>
      <c r="N332" s="916"/>
      <c r="O332" s="916"/>
      <c r="P332" s="916"/>
      <c r="Q332" s="916"/>
      <c r="R332" s="916"/>
      <c r="S332" s="916"/>
      <c r="T332" s="916"/>
      <c r="U332" s="916"/>
      <c r="V332" s="916"/>
      <c r="W332" s="916"/>
      <c r="X332" s="916"/>
      <c r="Y332" s="916"/>
      <c r="Z332" s="916"/>
      <c r="AA332" s="916"/>
      <c r="AB332" s="916"/>
      <c r="AC332" s="916"/>
      <c r="AD332" s="916"/>
      <c r="AE332" s="916"/>
      <c r="AF332" s="916"/>
      <c r="AG332" s="916"/>
      <c r="AH332" s="916"/>
      <c r="AI332" s="916"/>
      <c r="AJ332" s="916"/>
      <c r="AK332" s="916"/>
      <c r="AL332" s="916"/>
      <c r="AM332" s="916"/>
      <c r="AN332" s="916"/>
      <c r="AO332" s="916"/>
      <c r="AP332" s="916"/>
      <c r="AQ332" s="916"/>
      <c r="AR332" s="916"/>
      <c r="AS332" s="916"/>
      <c r="AT332" s="916"/>
      <c r="AU332" s="916"/>
      <c r="AV332" s="916"/>
      <c r="AW332" s="916"/>
      <c r="AX332" s="916"/>
      <c r="AY332" s="916"/>
      <c r="AZ332" s="916"/>
      <c r="BA332" s="916"/>
      <c r="BB332" s="916"/>
      <c r="BC332" s="916"/>
      <c r="BD332" s="916"/>
      <c r="BE332" s="916"/>
      <c r="BF332" s="916"/>
    </row>
    <row r="333" ht="14.25" customHeight="1">
      <c r="A333" s="916"/>
      <c r="B333" s="917"/>
      <c r="C333" s="994" t="s">
        <v>769</v>
      </c>
      <c r="D333" s="951" t="s">
        <v>923</v>
      </c>
      <c r="E333" s="951"/>
      <c r="F333" s="951"/>
      <c r="G333" s="951"/>
      <c r="H333" s="951"/>
      <c r="I333" s="951"/>
      <c r="J333" s="966"/>
      <c r="K333" s="992"/>
      <c r="L333" s="992"/>
      <c r="M333" s="916"/>
      <c r="N333" s="916"/>
      <c r="O333" s="916"/>
      <c r="P333" s="916"/>
      <c r="Q333" s="916"/>
      <c r="R333" s="916"/>
      <c r="S333" s="916"/>
      <c r="T333" s="916"/>
      <c r="U333" s="916"/>
      <c r="V333" s="916"/>
      <c r="W333" s="916"/>
      <c r="X333" s="916"/>
      <c r="Y333" s="916"/>
      <c r="Z333" s="916"/>
      <c r="AA333" s="916"/>
      <c r="AB333" s="916"/>
      <c r="AC333" s="916"/>
      <c r="AD333" s="916"/>
      <c r="AE333" s="916"/>
      <c r="AF333" s="916"/>
      <c r="AG333" s="916"/>
      <c r="AH333" s="916"/>
      <c r="AI333" s="916"/>
      <c r="AJ333" s="916"/>
      <c r="AK333" s="916"/>
      <c r="AL333" s="916"/>
      <c r="AM333" s="916"/>
      <c r="AN333" s="916"/>
      <c r="AO333" s="916"/>
      <c r="AP333" s="916"/>
      <c r="AQ333" s="916"/>
      <c r="AR333" s="916"/>
      <c r="AS333" s="916"/>
      <c r="AT333" s="916"/>
      <c r="AU333" s="916"/>
      <c r="AV333" s="916"/>
      <c r="AW333" s="916"/>
      <c r="AX333" s="916"/>
      <c r="AY333" s="916"/>
      <c r="AZ333" s="916"/>
      <c r="BA333" s="916"/>
      <c r="BB333" s="916"/>
      <c r="BC333" s="916"/>
      <c r="BD333" s="916"/>
      <c r="BE333" s="916"/>
      <c r="BF333" s="916"/>
    </row>
    <row r="334" ht="14.25" customHeight="1">
      <c r="A334" s="916"/>
      <c r="B334" s="917"/>
      <c r="C334" s="994" t="s">
        <v>769</v>
      </c>
      <c r="D334" s="951" t="s">
        <v>924</v>
      </c>
      <c r="E334" s="951"/>
      <c r="F334" s="951"/>
      <c r="G334" s="951"/>
      <c r="H334" s="951"/>
      <c r="I334" s="951"/>
      <c r="J334" s="966"/>
      <c r="K334" s="992"/>
      <c r="L334" s="992"/>
      <c r="M334" s="916"/>
      <c r="N334" s="916"/>
      <c r="O334" s="916"/>
      <c r="P334" s="916"/>
      <c r="Q334" s="916"/>
      <c r="R334" s="916"/>
      <c r="S334" s="916"/>
      <c r="T334" s="916"/>
      <c r="U334" s="916"/>
      <c r="V334" s="916"/>
      <c r="W334" s="916"/>
      <c r="X334" s="916"/>
      <c r="Y334" s="916"/>
      <c r="Z334" s="916"/>
      <c r="AA334" s="916"/>
      <c r="AB334" s="916"/>
      <c r="AC334" s="916"/>
      <c r="AD334" s="916"/>
      <c r="AE334" s="916"/>
      <c r="AF334" s="916"/>
      <c r="AG334" s="916"/>
      <c r="AH334" s="916"/>
      <c r="AI334" s="916"/>
      <c r="AJ334" s="916"/>
      <c r="AK334" s="916"/>
      <c r="AL334" s="916"/>
      <c r="AM334" s="916"/>
      <c r="AN334" s="916"/>
      <c r="AO334" s="916"/>
      <c r="AP334" s="916"/>
      <c r="AQ334" s="916"/>
      <c r="AR334" s="916"/>
      <c r="AS334" s="916"/>
      <c r="AT334" s="916"/>
      <c r="AU334" s="916"/>
      <c r="AV334" s="916"/>
      <c r="AW334" s="916"/>
      <c r="AX334" s="916"/>
      <c r="AY334" s="916"/>
      <c r="AZ334" s="916"/>
      <c r="BA334" s="916"/>
      <c r="BB334" s="916"/>
      <c r="BC334" s="916"/>
      <c r="BD334" s="916"/>
      <c r="BE334" s="916"/>
      <c r="BF334" s="916"/>
    </row>
    <row r="335" ht="14.25" customHeight="1">
      <c r="A335" s="916"/>
      <c r="B335" s="917"/>
      <c r="C335" s="994" t="s">
        <v>769</v>
      </c>
      <c r="D335" s="951" t="s">
        <v>878</v>
      </c>
      <c r="E335" s="951"/>
      <c r="F335" s="951"/>
      <c r="G335" s="951"/>
      <c r="H335" s="951"/>
      <c r="I335" s="951"/>
      <c r="J335" s="966"/>
      <c r="K335" s="992"/>
      <c r="L335" s="992"/>
      <c r="M335" s="916"/>
      <c r="N335" s="916"/>
      <c r="O335" s="916"/>
      <c r="P335" s="916"/>
      <c r="Q335" s="916"/>
      <c r="R335" s="916"/>
      <c r="S335" s="916"/>
      <c r="T335" s="916"/>
      <c r="U335" s="916"/>
      <c r="V335" s="916"/>
      <c r="W335" s="916"/>
      <c r="X335" s="916"/>
      <c r="Y335" s="916"/>
      <c r="Z335" s="916"/>
      <c r="AA335" s="916"/>
      <c r="AB335" s="916"/>
      <c r="AC335" s="916"/>
      <c r="AD335" s="916"/>
      <c r="AE335" s="916"/>
      <c r="AF335" s="916"/>
      <c r="AG335" s="916"/>
      <c r="AH335" s="916"/>
      <c r="AI335" s="916"/>
      <c r="AJ335" s="916"/>
      <c r="AK335" s="916"/>
      <c r="AL335" s="916"/>
      <c r="AM335" s="916"/>
      <c r="AN335" s="916"/>
      <c r="AO335" s="916"/>
      <c r="AP335" s="916"/>
      <c r="AQ335" s="916"/>
      <c r="AR335" s="916"/>
      <c r="AS335" s="916"/>
      <c r="AT335" s="916"/>
      <c r="AU335" s="916"/>
      <c r="AV335" s="916"/>
      <c r="AW335" s="916"/>
      <c r="AX335" s="916"/>
      <c r="AY335" s="916"/>
      <c r="AZ335" s="916"/>
      <c r="BA335" s="916"/>
      <c r="BB335" s="916"/>
      <c r="BC335" s="916"/>
      <c r="BD335" s="916"/>
      <c r="BE335" s="916"/>
      <c r="BF335" s="916"/>
    </row>
    <row r="336" ht="14.25" customHeight="1">
      <c r="A336" s="916"/>
      <c r="B336" s="917"/>
      <c r="C336" s="994" t="s">
        <v>769</v>
      </c>
      <c r="D336" s="951" t="s">
        <v>925</v>
      </c>
      <c r="E336" s="951"/>
      <c r="F336" s="951"/>
      <c r="G336" s="951"/>
      <c r="H336" s="951"/>
      <c r="I336" s="951"/>
      <c r="J336" s="966"/>
      <c r="K336" s="992"/>
      <c r="L336" s="992"/>
      <c r="M336" s="916"/>
      <c r="N336" s="916"/>
      <c r="O336" s="916"/>
      <c r="P336" s="916"/>
      <c r="Q336" s="916"/>
      <c r="R336" s="916"/>
      <c r="S336" s="916"/>
      <c r="T336" s="916"/>
      <c r="U336" s="916"/>
      <c r="V336" s="916"/>
      <c r="W336" s="916"/>
      <c r="X336" s="916"/>
      <c r="Y336" s="916"/>
      <c r="Z336" s="916"/>
      <c r="AA336" s="916"/>
      <c r="AB336" s="916"/>
      <c r="AC336" s="916"/>
      <c r="AD336" s="916"/>
      <c r="AE336" s="916"/>
      <c r="AF336" s="916"/>
      <c r="AG336" s="916"/>
      <c r="AH336" s="916"/>
      <c r="AI336" s="916"/>
      <c r="AJ336" s="916"/>
      <c r="AK336" s="916"/>
      <c r="AL336" s="916"/>
      <c r="AM336" s="916"/>
      <c r="AN336" s="916"/>
      <c r="AO336" s="916"/>
      <c r="AP336" s="916"/>
      <c r="AQ336" s="916"/>
      <c r="AR336" s="916"/>
      <c r="AS336" s="916"/>
      <c r="AT336" s="916"/>
      <c r="AU336" s="916"/>
      <c r="AV336" s="916"/>
      <c r="AW336" s="916"/>
      <c r="AX336" s="916"/>
      <c r="AY336" s="916"/>
      <c r="AZ336" s="916"/>
      <c r="BA336" s="916"/>
      <c r="BB336" s="916"/>
      <c r="BC336" s="916"/>
      <c r="BD336" s="916"/>
      <c r="BE336" s="916"/>
      <c r="BF336" s="916"/>
    </row>
    <row r="337" ht="14.25" customHeight="1">
      <c r="A337" s="916"/>
      <c r="B337" s="917"/>
      <c r="C337" s="916"/>
      <c r="D337" s="916"/>
      <c r="E337" s="951"/>
      <c r="F337" s="951"/>
      <c r="G337" s="951"/>
      <c r="H337" s="951"/>
      <c r="I337" s="951"/>
      <c r="J337" s="966"/>
      <c r="K337" s="992"/>
      <c r="L337" s="992"/>
      <c r="M337" s="916"/>
      <c r="N337" s="916"/>
      <c r="O337" s="916"/>
      <c r="P337" s="916"/>
      <c r="Q337" s="916"/>
      <c r="R337" s="916"/>
      <c r="S337" s="916"/>
      <c r="T337" s="916"/>
      <c r="U337" s="916"/>
      <c r="V337" s="916"/>
      <c r="W337" s="916"/>
      <c r="X337" s="916"/>
      <c r="Y337" s="916"/>
      <c r="Z337" s="916"/>
      <c r="AA337" s="916"/>
      <c r="AB337" s="916"/>
      <c r="AC337" s="916"/>
      <c r="AD337" s="916"/>
      <c r="AE337" s="916"/>
      <c r="AF337" s="916"/>
      <c r="AG337" s="916"/>
      <c r="AH337" s="916"/>
      <c r="AI337" s="916"/>
      <c r="AJ337" s="916"/>
      <c r="AK337" s="916"/>
      <c r="AL337" s="916"/>
      <c r="AM337" s="916"/>
      <c r="AN337" s="916"/>
      <c r="AO337" s="916"/>
      <c r="AP337" s="916"/>
      <c r="AQ337" s="916"/>
      <c r="AR337" s="916"/>
      <c r="AS337" s="916"/>
      <c r="AT337" s="916"/>
      <c r="AU337" s="916"/>
      <c r="AV337" s="916"/>
      <c r="AW337" s="916"/>
      <c r="AX337" s="916"/>
      <c r="AY337" s="916"/>
      <c r="AZ337" s="916"/>
      <c r="BA337" s="916"/>
      <c r="BB337" s="916"/>
      <c r="BC337" s="916"/>
      <c r="BD337" s="916"/>
      <c r="BE337" s="916"/>
      <c r="BF337" s="916"/>
    </row>
    <row r="338" ht="14.25" customHeight="1">
      <c r="A338" s="916"/>
      <c r="B338" s="917" t="s">
        <v>745</v>
      </c>
      <c r="C338" s="995"/>
      <c r="D338" s="951" t="s">
        <v>926</v>
      </c>
      <c r="E338" s="951"/>
      <c r="F338" s="951"/>
      <c r="G338" s="951"/>
      <c r="H338" s="916"/>
      <c r="I338" s="951"/>
      <c r="J338" s="966"/>
      <c r="K338" s="992"/>
      <c r="L338" s="992"/>
      <c r="M338" s="916"/>
      <c r="N338" s="916"/>
      <c r="O338" s="916"/>
      <c r="P338" s="916"/>
      <c r="Q338" s="916"/>
      <c r="R338" s="916"/>
      <c r="S338" s="916"/>
      <c r="T338" s="916"/>
      <c r="U338" s="916"/>
      <c r="V338" s="916"/>
      <c r="W338" s="916"/>
      <c r="X338" s="916"/>
      <c r="Y338" s="916"/>
      <c r="Z338" s="916"/>
      <c r="AA338" s="916"/>
      <c r="AB338" s="916"/>
      <c r="AC338" s="916"/>
      <c r="AD338" s="916"/>
      <c r="AE338" s="916"/>
      <c r="AF338" s="916"/>
      <c r="AG338" s="916"/>
      <c r="AH338" s="916"/>
      <c r="AI338" s="916"/>
      <c r="AJ338" s="916"/>
      <c r="AK338" s="916"/>
      <c r="AL338" s="916"/>
      <c r="AM338" s="916"/>
      <c r="AN338" s="916"/>
      <c r="AO338" s="916"/>
      <c r="AP338" s="916"/>
      <c r="AQ338" s="916"/>
      <c r="AR338" s="916"/>
      <c r="AS338" s="916"/>
      <c r="AT338" s="916"/>
      <c r="AU338" s="916"/>
      <c r="AV338" s="916"/>
      <c r="AW338" s="916"/>
      <c r="AX338" s="916"/>
      <c r="AY338" s="916"/>
      <c r="AZ338" s="916"/>
      <c r="BA338" s="916"/>
      <c r="BB338" s="916"/>
      <c r="BC338" s="916"/>
      <c r="BD338" s="916"/>
      <c r="BE338" s="916"/>
      <c r="BF338" s="916"/>
    </row>
    <row r="339" ht="14.25" customHeight="1">
      <c r="A339" s="916"/>
      <c r="B339" s="917"/>
      <c r="C339" s="995"/>
      <c r="D339" s="951" t="s">
        <v>927</v>
      </c>
      <c r="E339" s="951"/>
      <c r="F339" s="951"/>
      <c r="G339" s="951"/>
      <c r="H339" s="916"/>
      <c r="I339" s="951"/>
      <c r="J339" s="966"/>
      <c r="K339" s="992"/>
      <c r="L339" s="992"/>
      <c r="M339" s="916"/>
      <c r="N339" s="916"/>
      <c r="O339" s="916"/>
      <c r="P339" s="916"/>
      <c r="Q339" s="916"/>
      <c r="R339" s="916"/>
      <c r="S339" s="916"/>
      <c r="T339" s="916"/>
      <c r="U339" s="916"/>
      <c r="V339" s="916"/>
      <c r="W339" s="916"/>
      <c r="X339" s="916"/>
      <c r="Y339" s="916"/>
      <c r="Z339" s="916"/>
      <c r="AA339" s="916"/>
      <c r="AB339" s="916"/>
      <c r="AC339" s="916"/>
      <c r="AD339" s="916"/>
      <c r="AE339" s="916"/>
      <c r="AF339" s="916"/>
      <c r="AG339" s="916"/>
      <c r="AH339" s="916"/>
      <c r="AI339" s="916"/>
      <c r="AJ339" s="916"/>
      <c r="AK339" s="916"/>
      <c r="AL339" s="916"/>
      <c r="AM339" s="916"/>
      <c r="AN339" s="916"/>
      <c r="AO339" s="916"/>
      <c r="AP339" s="916"/>
      <c r="AQ339" s="916"/>
      <c r="AR339" s="916"/>
      <c r="AS339" s="916"/>
      <c r="AT339" s="916"/>
      <c r="AU339" s="916"/>
      <c r="AV339" s="916"/>
      <c r="AW339" s="916"/>
      <c r="AX339" s="916"/>
      <c r="AY339" s="916"/>
      <c r="AZ339" s="916"/>
      <c r="BA339" s="916"/>
      <c r="BB339" s="916"/>
      <c r="BC339" s="916"/>
      <c r="BD339" s="916"/>
      <c r="BE339" s="916"/>
      <c r="BF339" s="916"/>
    </row>
    <row r="340" ht="14.25" customHeight="1">
      <c r="A340" s="916"/>
      <c r="B340" s="917"/>
      <c r="C340" s="941"/>
      <c r="D340" s="951" t="s">
        <v>928</v>
      </c>
      <c r="E340" s="951"/>
      <c r="F340" s="951"/>
      <c r="G340" s="951"/>
      <c r="H340" s="951"/>
      <c r="I340" s="951"/>
      <c r="J340" s="951"/>
      <c r="K340" s="992"/>
      <c r="L340" s="992"/>
      <c r="M340" s="916"/>
      <c r="N340" s="916"/>
      <c r="O340" s="916"/>
      <c r="P340" s="916"/>
      <c r="Q340" s="916"/>
      <c r="R340" s="916"/>
      <c r="S340" s="916"/>
      <c r="T340" s="916"/>
      <c r="U340" s="916"/>
      <c r="V340" s="916"/>
      <c r="W340" s="916"/>
      <c r="X340" s="916"/>
      <c r="Y340" s="916"/>
      <c r="Z340" s="916"/>
      <c r="AA340" s="916"/>
      <c r="AB340" s="916"/>
      <c r="AC340" s="916"/>
      <c r="AD340" s="916"/>
      <c r="AE340" s="916"/>
      <c r="AF340" s="916"/>
      <c r="AG340" s="916"/>
      <c r="AH340" s="916"/>
      <c r="AI340" s="916"/>
      <c r="AJ340" s="916"/>
      <c r="AK340" s="916"/>
      <c r="AL340" s="916"/>
      <c r="AM340" s="916"/>
      <c r="AN340" s="916"/>
      <c r="AO340" s="916"/>
      <c r="AP340" s="916"/>
      <c r="AQ340" s="916"/>
      <c r="AR340" s="916"/>
      <c r="AS340" s="916"/>
      <c r="AT340" s="916"/>
      <c r="AU340" s="916"/>
      <c r="AV340" s="916"/>
      <c r="AW340" s="916"/>
      <c r="AX340" s="916"/>
      <c r="AY340" s="916"/>
      <c r="AZ340" s="916"/>
      <c r="BA340" s="916"/>
      <c r="BB340" s="916"/>
      <c r="BC340" s="916"/>
      <c r="BD340" s="916"/>
      <c r="BE340" s="916"/>
      <c r="BF340" s="916"/>
    </row>
    <row r="341" ht="14.25" customHeight="1">
      <c r="A341" s="916"/>
      <c r="B341" s="917"/>
      <c r="C341" s="941"/>
      <c r="D341" s="951" t="s">
        <v>929</v>
      </c>
      <c r="E341" s="951"/>
      <c r="F341" s="951"/>
      <c r="G341" s="951"/>
      <c r="H341" s="951"/>
      <c r="I341" s="951"/>
      <c r="J341" s="951"/>
      <c r="K341" s="992"/>
      <c r="L341" s="992"/>
      <c r="M341" s="916"/>
      <c r="N341" s="916"/>
      <c r="O341" s="916"/>
      <c r="P341" s="916"/>
      <c r="Q341" s="916"/>
      <c r="R341" s="916"/>
      <c r="S341" s="916"/>
      <c r="T341" s="916"/>
      <c r="U341" s="916"/>
      <c r="V341" s="916"/>
      <c r="W341" s="916"/>
      <c r="X341" s="916"/>
      <c r="Y341" s="916"/>
      <c r="Z341" s="916"/>
      <c r="AA341" s="916"/>
      <c r="AB341" s="916"/>
      <c r="AC341" s="916"/>
      <c r="AD341" s="916"/>
      <c r="AE341" s="916"/>
      <c r="AF341" s="916"/>
      <c r="AG341" s="916"/>
      <c r="AH341" s="916"/>
      <c r="AI341" s="916"/>
      <c r="AJ341" s="916"/>
      <c r="AK341" s="916"/>
      <c r="AL341" s="916"/>
      <c r="AM341" s="916"/>
      <c r="AN341" s="916"/>
      <c r="AO341" s="916"/>
      <c r="AP341" s="916"/>
      <c r="AQ341" s="916"/>
      <c r="AR341" s="916"/>
      <c r="AS341" s="916"/>
      <c r="AT341" s="916"/>
      <c r="AU341" s="916"/>
      <c r="AV341" s="916"/>
      <c r="AW341" s="916"/>
      <c r="AX341" s="916"/>
      <c r="AY341" s="916"/>
      <c r="AZ341" s="916"/>
      <c r="BA341" s="916"/>
      <c r="BB341" s="916"/>
      <c r="BC341" s="916"/>
      <c r="BD341" s="916"/>
      <c r="BE341" s="916"/>
      <c r="BF341" s="916"/>
    </row>
    <row r="342" ht="14.25" customHeight="1">
      <c r="A342" s="916"/>
      <c r="B342" s="917"/>
      <c r="C342" s="941"/>
      <c r="D342" s="951"/>
      <c r="E342" s="951"/>
      <c r="F342" s="951"/>
      <c r="G342" s="951"/>
      <c r="H342" s="951"/>
      <c r="I342" s="951"/>
      <c r="J342" s="951"/>
      <c r="K342" s="916"/>
      <c r="L342" s="992"/>
      <c r="M342" s="916"/>
      <c r="N342" s="916"/>
      <c r="O342" s="916"/>
      <c r="P342" s="916"/>
      <c r="Q342" s="916"/>
      <c r="R342" s="916"/>
      <c r="S342" s="916"/>
      <c r="T342" s="916"/>
      <c r="U342" s="916"/>
      <c r="V342" s="916"/>
      <c r="W342" s="916"/>
      <c r="X342" s="916"/>
      <c r="Y342" s="916"/>
      <c r="Z342" s="916"/>
      <c r="AA342" s="916"/>
      <c r="AB342" s="916"/>
      <c r="AC342" s="916"/>
      <c r="AD342" s="916"/>
      <c r="AE342" s="916"/>
      <c r="AF342" s="916"/>
      <c r="AG342" s="916"/>
      <c r="AH342" s="916"/>
      <c r="AI342" s="916"/>
      <c r="AJ342" s="916"/>
      <c r="AK342" s="916"/>
      <c r="AL342" s="916"/>
      <c r="AM342" s="916"/>
      <c r="AN342" s="916"/>
      <c r="AO342" s="916"/>
      <c r="AP342" s="916"/>
      <c r="AQ342" s="916"/>
      <c r="AR342" s="916"/>
      <c r="AS342" s="916"/>
      <c r="AT342" s="916"/>
      <c r="AU342" s="916"/>
      <c r="AV342" s="916"/>
      <c r="AW342" s="916"/>
      <c r="AX342" s="916"/>
      <c r="AY342" s="916"/>
      <c r="AZ342" s="916"/>
      <c r="BA342" s="916"/>
      <c r="BB342" s="916"/>
      <c r="BC342" s="916"/>
      <c r="BD342" s="916"/>
      <c r="BE342" s="916"/>
      <c r="BF342" s="916"/>
    </row>
    <row r="343" ht="14.25" customHeight="1">
      <c r="A343" s="916"/>
      <c r="B343" s="917"/>
      <c r="C343" s="941"/>
      <c r="D343" s="951" t="s">
        <v>930</v>
      </c>
      <c r="E343" s="951"/>
      <c r="F343" s="951"/>
      <c r="G343" s="951"/>
      <c r="H343" s="951"/>
      <c r="I343" s="951"/>
      <c r="J343" s="951"/>
      <c r="K343" s="916"/>
      <c r="L343" s="992"/>
      <c r="M343" s="916"/>
      <c r="N343" s="916"/>
      <c r="O343" s="916"/>
      <c r="P343" s="916"/>
      <c r="Q343" s="916"/>
      <c r="R343" s="916"/>
      <c r="S343" s="916"/>
      <c r="T343" s="916"/>
      <c r="U343" s="916"/>
      <c r="V343" s="916"/>
      <c r="W343" s="916"/>
      <c r="X343" s="916"/>
      <c r="Y343" s="916"/>
      <c r="Z343" s="916"/>
      <c r="AA343" s="916"/>
      <c r="AB343" s="916"/>
      <c r="AC343" s="916"/>
      <c r="AD343" s="916"/>
      <c r="AE343" s="916"/>
      <c r="AF343" s="916"/>
      <c r="AG343" s="916"/>
      <c r="AH343" s="916"/>
      <c r="AI343" s="916"/>
      <c r="AJ343" s="916"/>
      <c r="AK343" s="916"/>
      <c r="AL343" s="916"/>
      <c r="AM343" s="916"/>
      <c r="AN343" s="916"/>
      <c r="AO343" s="916"/>
      <c r="AP343" s="916"/>
      <c r="AQ343" s="916"/>
      <c r="AR343" s="916"/>
      <c r="AS343" s="916"/>
      <c r="AT343" s="916"/>
      <c r="AU343" s="916"/>
      <c r="AV343" s="916"/>
      <c r="AW343" s="916"/>
      <c r="AX343" s="916"/>
      <c r="AY343" s="916"/>
      <c r="AZ343" s="916"/>
      <c r="BA343" s="916"/>
      <c r="BB343" s="916"/>
      <c r="BC343" s="916"/>
      <c r="BD343" s="916"/>
      <c r="BE343" s="916"/>
      <c r="BF343" s="916"/>
    </row>
    <row r="344" ht="14.25" customHeight="1">
      <c r="A344" s="916"/>
      <c r="B344" s="917"/>
      <c r="C344" s="941"/>
      <c r="D344" s="951"/>
      <c r="E344" s="951"/>
      <c r="F344" s="951"/>
      <c r="G344" s="951"/>
      <c r="H344" s="951"/>
      <c r="I344" s="951"/>
      <c r="J344" s="951"/>
      <c r="K344" s="916"/>
      <c r="L344" s="992"/>
      <c r="M344" s="916"/>
      <c r="N344" s="916"/>
      <c r="O344" s="916"/>
      <c r="P344" s="916"/>
      <c r="Q344" s="916"/>
      <c r="R344" s="916"/>
      <c r="S344" s="916"/>
      <c r="T344" s="916"/>
      <c r="U344" s="916"/>
      <c r="V344" s="916"/>
      <c r="W344" s="916"/>
      <c r="X344" s="916"/>
      <c r="Y344" s="916"/>
      <c r="Z344" s="916"/>
      <c r="AA344" s="916"/>
      <c r="AB344" s="916"/>
      <c r="AC344" s="916"/>
      <c r="AD344" s="916"/>
      <c r="AE344" s="916"/>
      <c r="AF344" s="916"/>
      <c r="AG344" s="916"/>
      <c r="AH344" s="916"/>
      <c r="AI344" s="916"/>
      <c r="AJ344" s="916"/>
      <c r="AK344" s="916"/>
      <c r="AL344" s="916"/>
      <c r="AM344" s="916"/>
      <c r="AN344" s="916"/>
      <c r="AO344" s="916"/>
      <c r="AP344" s="916"/>
      <c r="AQ344" s="916"/>
      <c r="AR344" s="916"/>
      <c r="AS344" s="916"/>
      <c r="AT344" s="916"/>
      <c r="AU344" s="916"/>
      <c r="AV344" s="916"/>
      <c r="AW344" s="916"/>
      <c r="AX344" s="916"/>
      <c r="AY344" s="916"/>
      <c r="AZ344" s="916"/>
      <c r="BA344" s="916"/>
      <c r="BB344" s="916"/>
      <c r="BC344" s="916"/>
      <c r="BD344" s="916"/>
      <c r="BE344" s="916"/>
      <c r="BF344" s="916"/>
    </row>
    <row r="345" ht="14.25" customHeight="1">
      <c r="A345" s="916"/>
      <c r="B345" s="996" t="s">
        <v>750</v>
      </c>
      <c r="C345" s="941"/>
      <c r="D345" s="981"/>
      <c r="E345" s="968"/>
      <c r="F345" s="968"/>
      <c r="G345" s="968"/>
      <c r="H345" s="968"/>
      <c r="I345" s="968"/>
      <c r="J345" s="982"/>
      <c r="K345" s="916"/>
      <c r="L345" s="992"/>
      <c r="M345" s="916"/>
      <c r="N345" s="916"/>
      <c r="O345" s="916"/>
      <c r="P345" s="916"/>
      <c r="Q345" s="916"/>
      <c r="R345" s="916"/>
      <c r="S345" s="916"/>
      <c r="T345" s="916"/>
      <c r="U345" s="916"/>
      <c r="V345" s="916"/>
      <c r="W345" s="916"/>
      <c r="X345" s="916"/>
      <c r="Y345" s="916"/>
      <c r="Z345" s="916"/>
      <c r="AA345" s="916"/>
      <c r="AB345" s="916"/>
      <c r="AC345" s="916"/>
      <c r="AD345" s="916"/>
      <c r="AE345" s="916"/>
      <c r="AF345" s="916"/>
      <c r="AG345" s="916"/>
      <c r="AH345" s="916"/>
      <c r="AI345" s="916"/>
      <c r="AJ345" s="916"/>
      <c r="AK345" s="916"/>
      <c r="AL345" s="916"/>
      <c r="AM345" s="916"/>
      <c r="AN345" s="916"/>
      <c r="AO345" s="916"/>
      <c r="AP345" s="916"/>
      <c r="AQ345" s="916"/>
      <c r="AR345" s="916"/>
      <c r="AS345" s="916"/>
      <c r="AT345" s="916"/>
      <c r="AU345" s="916"/>
      <c r="AV345" s="916"/>
      <c r="AW345" s="916"/>
      <c r="AX345" s="916"/>
      <c r="AY345" s="916"/>
      <c r="AZ345" s="916"/>
      <c r="BA345" s="916"/>
      <c r="BB345" s="916"/>
      <c r="BC345" s="916"/>
      <c r="BD345" s="916"/>
      <c r="BE345" s="916"/>
      <c r="BF345" s="916"/>
    </row>
    <row r="346" ht="14.25" customHeight="1">
      <c r="A346" s="916"/>
      <c r="B346" s="996"/>
      <c r="C346" s="941"/>
      <c r="D346" s="997"/>
      <c r="E346" s="916"/>
      <c r="F346" s="916"/>
      <c r="G346" s="916"/>
      <c r="H346" s="916"/>
      <c r="I346" s="916"/>
      <c r="J346" s="998"/>
      <c r="K346" s="916"/>
      <c r="L346" s="992"/>
      <c r="M346" s="916"/>
      <c r="N346" s="916"/>
      <c r="O346" s="916"/>
      <c r="P346" s="916"/>
      <c r="Q346" s="916"/>
      <c r="R346" s="916"/>
      <c r="S346" s="916"/>
      <c r="T346" s="916"/>
      <c r="U346" s="916"/>
      <c r="V346" s="916"/>
      <c r="W346" s="916"/>
      <c r="X346" s="916"/>
      <c r="Y346" s="916"/>
      <c r="Z346" s="916"/>
      <c r="AA346" s="916"/>
      <c r="AB346" s="916"/>
      <c r="AC346" s="916"/>
      <c r="AD346" s="916"/>
      <c r="AE346" s="916"/>
      <c r="AF346" s="916"/>
      <c r="AG346" s="916"/>
      <c r="AH346" s="916"/>
      <c r="AI346" s="916"/>
      <c r="AJ346" s="916"/>
      <c r="AK346" s="916"/>
      <c r="AL346" s="916"/>
      <c r="AM346" s="916"/>
      <c r="AN346" s="916"/>
      <c r="AO346" s="916"/>
      <c r="AP346" s="916"/>
      <c r="AQ346" s="916"/>
      <c r="AR346" s="916"/>
      <c r="AS346" s="916"/>
      <c r="AT346" s="916"/>
      <c r="AU346" s="916"/>
      <c r="AV346" s="916"/>
      <c r="AW346" s="916"/>
      <c r="AX346" s="916"/>
      <c r="AY346" s="916"/>
      <c r="AZ346" s="916"/>
      <c r="BA346" s="916"/>
      <c r="BB346" s="916"/>
      <c r="BC346" s="916"/>
      <c r="BD346" s="916"/>
      <c r="BE346" s="916"/>
      <c r="BF346" s="916"/>
    </row>
    <row r="347" ht="14.25" customHeight="1">
      <c r="A347" s="916"/>
      <c r="B347" s="996"/>
      <c r="C347" s="941"/>
      <c r="D347" s="997"/>
      <c r="E347" s="916"/>
      <c r="F347" s="916"/>
      <c r="G347" s="916"/>
      <c r="H347" s="916"/>
      <c r="I347" s="916"/>
      <c r="J347" s="998"/>
      <c r="K347" s="916"/>
      <c r="L347" s="992"/>
      <c r="M347" s="916"/>
      <c r="N347" s="916"/>
      <c r="O347" s="916"/>
      <c r="P347" s="916"/>
      <c r="Q347" s="916"/>
      <c r="R347" s="916"/>
      <c r="S347" s="916"/>
      <c r="T347" s="916"/>
      <c r="U347" s="916"/>
      <c r="V347" s="916"/>
      <c r="W347" s="916"/>
      <c r="X347" s="916"/>
      <c r="Y347" s="916"/>
      <c r="Z347" s="916"/>
      <c r="AA347" s="916"/>
      <c r="AB347" s="916"/>
      <c r="AC347" s="916"/>
      <c r="AD347" s="916"/>
      <c r="AE347" s="916"/>
      <c r="AF347" s="916"/>
      <c r="AG347" s="916"/>
      <c r="AH347" s="916"/>
      <c r="AI347" s="916"/>
      <c r="AJ347" s="916"/>
      <c r="AK347" s="916"/>
      <c r="AL347" s="916"/>
      <c r="AM347" s="916"/>
      <c r="AN347" s="916"/>
      <c r="AO347" s="916"/>
      <c r="AP347" s="916"/>
      <c r="AQ347" s="916"/>
      <c r="AR347" s="916"/>
      <c r="AS347" s="916"/>
      <c r="AT347" s="916"/>
      <c r="AU347" s="916"/>
      <c r="AV347" s="916"/>
      <c r="AW347" s="916"/>
      <c r="AX347" s="916"/>
      <c r="AY347" s="916"/>
      <c r="AZ347" s="916"/>
      <c r="BA347" s="916"/>
      <c r="BB347" s="916"/>
      <c r="BC347" s="916"/>
      <c r="BD347" s="916"/>
      <c r="BE347" s="916"/>
      <c r="BF347" s="916"/>
    </row>
    <row r="348" ht="14.25" customHeight="1">
      <c r="A348" s="916"/>
      <c r="B348" s="996"/>
      <c r="C348" s="941"/>
      <c r="D348" s="997"/>
      <c r="E348" s="916"/>
      <c r="F348" s="916"/>
      <c r="G348" s="916"/>
      <c r="H348" s="916"/>
      <c r="I348" s="916"/>
      <c r="J348" s="998"/>
      <c r="K348" s="916"/>
      <c r="L348" s="992"/>
      <c r="M348" s="916"/>
      <c r="N348" s="916"/>
      <c r="O348" s="916"/>
      <c r="P348" s="916"/>
      <c r="Q348" s="916"/>
      <c r="R348" s="916"/>
      <c r="S348" s="916"/>
      <c r="T348" s="916"/>
      <c r="U348" s="916"/>
      <c r="V348" s="916"/>
      <c r="W348" s="916"/>
      <c r="X348" s="916"/>
      <c r="Y348" s="916"/>
      <c r="Z348" s="916"/>
      <c r="AA348" s="916"/>
      <c r="AB348" s="916"/>
      <c r="AC348" s="916"/>
      <c r="AD348" s="916"/>
      <c r="AE348" s="916"/>
      <c r="AF348" s="916"/>
      <c r="AG348" s="916"/>
      <c r="AH348" s="916"/>
      <c r="AI348" s="916"/>
      <c r="AJ348" s="916"/>
      <c r="AK348" s="916"/>
      <c r="AL348" s="916"/>
      <c r="AM348" s="916"/>
      <c r="AN348" s="916"/>
      <c r="AO348" s="916"/>
      <c r="AP348" s="916"/>
      <c r="AQ348" s="916"/>
      <c r="AR348" s="916"/>
      <c r="AS348" s="916"/>
      <c r="AT348" s="916"/>
      <c r="AU348" s="916"/>
      <c r="AV348" s="916"/>
      <c r="AW348" s="916"/>
      <c r="AX348" s="916"/>
      <c r="AY348" s="916"/>
      <c r="AZ348" s="916"/>
      <c r="BA348" s="916"/>
      <c r="BB348" s="916"/>
      <c r="BC348" s="916"/>
      <c r="BD348" s="916"/>
      <c r="BE348" s="916"/>
      <c r="BF348" s="916"/>
    </row>
    <row r="349" ht="14.25" customHeight="1">
      <c r="A349" s="916"/>
      <c r="B349" s="996"/>
      <c r="C349" s="941"/>
      <c r="D349" s="997"/>
      <c r="E349" s="916"/>
      <c r="F349" s="916"/>
      <c r="G349" s="916"/>
      <c r="H349" s="916"/>
      <c r="I349" s="916"/>
      <c r="J349" s="998"/>
      <c r="K349" s="916"/>
      <c r="L349" s="992"/>
      <c r="M349" s="916"/>
      <c r="N349" s="916"/>
      <c r="O349" s="916"/>
      <c r="P349" s="916"/>
      <c r="Q349" s="916"/>
      <c r="R349" s="916"/>
      <c r="S349" s="916"/>
      <c r="T349" s="916"/>
      <c r="U349" s="916"/>
      <c r="V349" s="916"/>
      <c r="W349" s="916"/>
      <c r="X349" s="916"/>
      <c r="Y349" s="916"/>
      <c r="Z349" s="916"/>
      <c r="AA349" s="916"/>
      <c r="AB349" s="916"/>
      <c r="AC349" s="916"/>
      <c r="AD349" s="916"/>
      <c r="AE349" s="916"/>
      <c r="AF349" s="916"/>
      <c r="AG349" s="916"/>
      <c r="AH349" s="916"/>
      <c r="AI349" s="916"/>
      <c r="AJ349" s="916"/>
      <c r="AK349" s="916"/>
      <c r="AL349" s="916"/>
      <c r="AM349" s="916"/>
      <c r="AN349" s="916"/>
      <c r="AO349" s="916"/>
      <c r="AP349" s="916"/>
      <c r="AQ349" s="916"/>
      <c r="AR349" s="916"/>
      <c r="AS349" s="916"/>
      <c r="AT349" s="916"/>
      <c r="AU349" s="916"/>
      <c r="AV349" s="916"/>
      <c r="AW349" s="916"/>
      <c r="AX349" s="916"/>
      <c r="AY349" s="916"/>
      <c r="AZ349" s="916"/>
      <c r="BA349" s="916"/>
      <c r="BB349" s="916"/>
      <c r="BC349" s="916"/>
      <c r="BD349" s="916"/>
      <c r="BE349" s="916"/>
      <c r="BF349" s="916"/>
    </row>
    <row r="350" ht="14.25" customHeight="1">
      <c r="A350" s="916"/>
      <c r="B350" s="917"/>
      <c r="C350" s="941"/>
      <c r="D350" s="983"/>
      <c r="E350" s="920"/>
      <c r="F350" s="920"/>
      <c r="G350" s="920"/>
      <c r="H350" s="920"/>
      <c r="I350" s="920"/>
      <c r="J350" s="984"/>
      <c r="K350" s="916"/>
      <c r="L350" s="916"/>
      <c r="M350" s="916"/>
      <c r="N350" s="916"/>
      <c r="O350" s="916"/>
      <c r="P350" s="916"/>
      <c r="Q350" s="916"/>
      <c r="R350" s="916"/>
      <c r="S350" s="916"/>
      <c r="T350" s="916"/>
      <c r="U350" s="916"/>
      <c r="V350" s="916"/>
      <c r="W350" s="916"/>
      <c r="X350" s="916"/>
      <c r="Y350" s="916"/>
      <c r="Z350" s="916"/>
      <c r="AA350" s="916"/>
      <c r="AB350" s="916"/>
      <c r="AC350" s="916"/>
      <c r="AD350" s="916"/>
      <c r="AE350" s="916"/>
      <c r="AF350" s="916"/>
      <c r="AG350" s="916"/>
      <c r="AH350" s="916"/>
      <c r="AI350" s="916"/>
      <c r="AJ350" s="916"/>
      <c r="AK350" s="916"/>
      <c r="AL350" s="916"/>
      <c r="AM350" s="916"/>
      <c r="AN350" s="916"/>
      <c r="AO350" s="916"/>
      <c r="AP350" s="916"/>
      <c r="AQ350" s="916"/>
      <c r="AR350" s="916"/>
      <c r="AS350" s="916"/>
      <c r="AT350" s="916"/>
      <c r="AU350" s="916"/>
      <c r="AV350" s="916"/>
      <c r="AW350" s="916"/>
      <c r="AX350" s="916"/>
      <c r="AY350" s="916"/>
      <c r="AZ350" s="916"/>
      <c r="BA350" s="916"/>
      <c r="BB350" s="916"/>
      <c r="BC350" s="916"/>
      <c r="BD350" s="916"/>
      <c r="BE350" s="916"/>
      <c r="BF350" s="916"/>
    </row>
    <row r="351" ht="14.25" customHeight="1">
      <c r="A351" s="916"/>
      <c r="B351" s="999"/>
      <c r="C351" s="1000"/>
      <c r="D351" s="945"/>
      <c r="E351" s="945"/>
      <c r="F351" s="945"/>
      <c r="G351" s="945"/>
      <c r="H351" s="945"/>
      <c r="I351" s="945"/>
      <c r="J351" s="1001"/>
      <c r="K351" s="945"/>
      <c r="L351" s="945"/>
      <c r="M351" s="945"/>
      <c r="N351" s="945"/>
      <c r="O351" s="945"/>
      <c r="P351" s="945"/>
      <c r="Q351" s="945"/>
      <c r="R351" s="916"/>
      <c r="S351" s="916"/>
      <c r="T351" s="916"/>
      <c r="U351" s="916"/>
      <c r="V351" s="916"/>
      <c r="W351" s="916"/>
      <c r="X351" s="916"/>
      <c r="Y351" s="916"/>
      <c r="Z351" s="916"/>
      <c r="AA351" s="916"/>
      <c r="AB351" s="916"/>
      <c r="AC351" s="916"/>
      <c r="AD351" s="916"/>
      <c r="AE351" s="916"/>
      <c r="AF351" s="916"/>
      <c r="AG351" s="916"/>
      <c r="AH351" s="916"/>
      <c r="AI351" s="916"/>
      <c r="AJ351" s="916"/>
      <c r="AK351" s="916"/>
      <c r="AL351" s="916"/>
      <c r="AM351" s="916"/>
      <c r="AN351" s="916"/>
      <c r="AO351" s="916"/>
      <c r="AP351" s="916"/>
      <c r="AQ351" s="916"/>
      <c r="AR351" s="916"/>
      <c r="AS351" s="916"/>
      <c r="AT351" s="916"/>
      <c r="AU351" s="916"/>
      <c r="AV351" s="916"/>
      <c r="AW351" s="916"/>
      <c r="AX351" s="916"/>
      <c r="AY351" s="916"/>
      <c r="AZ351" s="916"/>
      <c r="BA351" s="916"/>
      <c r="BB351" s="916"/>
      <c r="BC351" s="916"/>
      <c r="BD351" s="916"/>
      <c r="BE351" s="916"/>
      <c r="BF351" s="916"/>
    </row>
    <row r="352" ht="14.25" customHeight="1">
      <c r="A352" s="916"/>
      <c r="B352" s="917"/>
      <c r="C352" s="935"/>
      <c r="D352" s="939"/>
      <c r="E352" s="939"/>
      <c r="F352" s="939"/>
      <c r="G352" s="916"/>
      <c r="H352" s="916"/>
      <c r="I352" s="916"/>
      <c r="J352" s="939"/>
      <c r="K352" s="916"/>
      <c r="L352" s="916"/>
      <c r="M352" s="916"/>
      <c r="N352" s="916"/>
      <c r="O352" s="916"/>
      <c r="P352" s="916"/>
      <c r="Q352" s="916"/>
      <c r="R352" s="916"/>
      <c r="S352" s="916"/>
      <c r="T352" s="916"/>
      <c r="U352" s="916"/>
      <c r="V352" s="916"/>
      <c r="W352" s="916"/>
      <c r="X352" s="916"/>
      <c r="Y352" s="916"/>
      <c r="Z352" s="916"/>
      <c r="AA352" s="916"/>
      <c r="AB352" s="916"/>
      <c r="AC352" s="916"/>
      <c r="AD352" s="916"/>
      <c r="AE352" s="916"/>
      <c r="AF352" s="916"/>
      <c r="AG352" s="916"/>
      <c r="AH352" s="916"/>
      <c r="AI352" s="916"/>
      <c r="AJ352" s="916"/>
      <c r="AK352" s="916"/>
      <c r="AL352" s="916"/>
      <c r="AM352" s="916"/>
      <c r="AN352" s="916"/>
      <c r="AO352" s="916"/>
      <c r="AP352" s="916"/>
      <c r="AQ352" s="916"/>
      <c r="AR352" s="916"/>
      <c r="AS352" s="916"/>
      <c r="AT352" s="916"/>
      <c r="AU352" s="916"/>
      <c r="AV352" s="916"/>
      <c r="AW352" s="916"/>
      <c r="AX352" s="916"/>
      <c r="AY352" s="916"/>
      <c r="AZ352" s="916"/>
      <c r="BA352" s="916"/>
      <c r="BB352" s="916"/>
      <c r="BC352" s="916"/>
      <c r="BD352" s="916"/>
      <c r="BE352" s="916"/>
      <c r="BF352" s="916"/>
    </row>
    <row r="353" ht="14.25" customHeight="1">
      <c r="A353" s="916"/>
      <c r="B353" s="917"/>
      <c r="C353" s="935" t="s">
        <v>145</v>
      </c>
      <c r="D353" s="939" t="s">
        <v>166</v>
      </c>
      <c r="E353" s="939"/>
      <c r="F353" s="939"/>
      <c r="G353" s="916"/>
      <c r="H353" s="916"/>
      <c r="I353" s="916"/>
      <c r="J353" s="939"/>
      <c r="K353" s="916"/>
      <c r="L353" s="916"/>
      <c r="M353" s="916"/>
      <c r="N353" s="916"/>
      <c r="O353" s="916"/>
      <c r="P353" s="916"/>
      <c r="Q353" s="916"/>
      <c r="R353" s="916"/>
      <c r="S353" s="916"/>
      <c r="T353" s="916"/>
      <c r="U353" s="916"/>
      <c r="V353" s="916"/>
      <c r="W353" s="916"/>
      <c r="X353" s="916"/>
      <c r="Y353" s="916"/>
      <c r="Z353" s="916"/>
      <c r="AA353" s="916"/>
      <c r="AB353" s="916"/>
      <c r="AC353" s="916"/>
      <c r="AD353" s="916"/>
      <c r="AE353" s="916"/>
      <c r="AF353" s="916"/>
      <c r="AG353" s="916"/>
      <c r="AH353" s="916"/>
      <c r="AI353" s="916"/>
      <c r="AJ353" s="916"/>
      <c r="AK353" s="916"/>
      <c r="AL353" s="916"/>
      <c r="AM353" s="916"/>
      <c r="AN353" s="916"/>
      <c r="AO353" s="916"/>
      <c r="AP353" s="916"/>
      <c r="AQ353" s="916"/>
      <c r="AR353" s="916"/>
      <c r="AS353" s="916"/>
      <c r="AT353" s="916"/>
      <c r="AU353" s="916"/>
      <c r="AV353" s="916"/>
      <c r="AW353" s="916"/>
      <c r="AX353" s="916"/>
      <c r="AY353" s="916"/>
      <c r="AZ353" s="916"/>
      <c r="BA353" s="916"/>
      <c r="BB353" s="916"/>
      <c r="BC353" s="916"/>
      <c r="BD353" s="916"/>
      <c r="BE353" s="916"/>
      <c r="BF353" s="916"/>
    </row>
    <row r="354" ht="14.25" customHeight="1">
      <c r="A354" s="916"/>
      <c r="B354" s="917"/>
      <c r="C354" s="916"/>
      <c r="D354" s="939"/>
      <c r="E354" s="939"/>
      <c r="F354" s="939"/>
      <c r="G354" s="939"/>
      <c r="H354" s="939"/>
      <c r="I354" s="939"/>
      <c r="J354" s="939"/>
      <c r="K354" s="939"/>
      <c r="L354" s="916"/>
      <c r="M354" s="916"/>
      <c r="N354" s="916"/>
      <c r="O354" s="916"/>
      <c r="P354" s="916"/>
      <c r="Q354" s="916"/>
      <c r="R354" s="916"/>
      <c r="S354" s="916"/>
      <c r="T354" s="916"/>
      <c r="U354" s="916"/>
      <c r="V354" s="916"/>
      <c r="W354" s="916"/>
      <c r="X354" s="916"/>
      <c r="Y354" s="916"/>
      <c r="Z354" s="916"/>
      <c r="AA354" s="916"/>
      <c r="AB354" s="916"/>
      <c r="AC354" s="916"/>
      <c r="AD354" s="916"/>
      <c r="AE354" s="916"/>
      <c r="AF354" s="916"/>
      <c r="AG354" s="916"/>
      <c r="AH354" s="916"/>
      <c r="AI354" s="916"/>
      <c r="AJ354" s="916"/>
      <c r="AK354" s="916"/>
      <c r="AL354" s="916"/>
      <c r="AM354" s="916"/>
      <c r="AN354" s="916"/>
      <c r="AO354" s="916"/>
      <c r="AP354" s="916"/>
      <c r="AQ354" s="916"/>
      <c r="AR354" s="916"/>
      <c r="AS354" s="916"/>
      <c r="AT354" s="916"/>
      <c r="AU354" s="916"/>
      <c r="AV354" s="916"/>
      <c r="AW354" s="916"/>
      <c r="AX354" s="916"/>
      <c r="AY354" s="916"/>
      <c r="AZ354" s="916"/>
      <c r="BA354" s="916"/>
      <c r="BB354" s="916"/>
      <c r="BC354" s="916"/>
      <c r="BD354" s="916"/>
      <c r="BE354" s="916"/>
      <c r="BF354" s="916"/>
    </row>
    <row r="355" ht="14.25" customHeight="1">
      <c r="A355" s="916"/>
      <c r="B355" s="917" t="s">
        <v>931</v>
      </c>
      <c r="C355" s="916"/>
      <c r="D355" s="1002" t="s">
        <v>167</v>
      </c>
      <c r="E355" s="1003" t="s">
        <v>168</v>
      </c>
      <c r="F355" s="1004" t="s">
        <v>169</v>
      </c>
      <c r="G355" s="126"/>
      <c r="H355" s="1005" t="s">
        <v>170</v>
      </c>
      <c r="I355" s="27"/>
      <c r="J355" s="1002" t="s">
        <v>171</v>
      </c>
      <c r="K355" s="26"/>
      <c r="L355" s="26"/>
      <c r="M355" s="26"/>
      <c r="N355" s="1005" t="s">
        <v>172</v>
      </c>
      <c r="O355" s="26"/>
      <c r="P355" s="26"/>
      <c r="Q355" s="26"/>
      <c r="R355" s="916"/>
      <c r="S355" s="916"/>
      <c r="T355" s="916"/>
      <c r="U355" s="916"/>
      <c r="V355" s="916"/>
      <c r="W355" s="916"/>
      <c r="X355" s="916"/>
      <c r="Y355" s="916"/>
      <c r="Z355" s="916"/>
      <c r="AA355" s="916"/>
      <c r="AB355" s="916"/>
      <c r="AC355" s="916"/>
      <c r="AD355" s="916"/>
      <c r="AE355" s="916"/>
      <c r="AF355" s="916"/>
      <c r="AG355" s="916"/>
      <c r="AH355" s="916"/>
      <c r="AI355" s="916"/>
      <c r="AJ355" s="916"/>
      <c r="AK355" s="916"/>
      <c r="AL355" s="916"/>
      <c r="AM355" s="916"/>
      <c r="AN355" s="916"/>
      <c r="AO355" s="916"/>
      <c r="AP355" s="916"/>
      <c r="AQ355" s="916"/>
      <c r="AR355" s="916"/>
      <c r="AS355" s="916"/>
      <c r="AT355" s="916"/>
      <c r="AU355" s="916"/>
      <c r="AV355" s="916"/>
      <c r="AW355" s="916"/>
      <c r="AX355" s="916"/>
      <c r="AY355" s="916"/>
      <c r="AZ355" s="916"/>
      <c r="BA355" s="916"/>
      <c r="BB355" s="916"/>
      <c r="BC355" s="916"/>
      <c r="BD355" s="916"/>
      <c r="BE355" s="916"/>
      <c r="BF355" s="916"/>
    </row>
    <row r="356" ht="14.25" customHeight="1">
      <c r="A356" s="916"/>
      <c r="B356" s="917"/>
      <c r="C356" s="916"/>
      <c r="D356" s="1006"/>
      <c r="E356" s="1006"/>
      <c r="F356" s="1007"/>
      <c r="G356" s="1008"/>
      <c r="H356" s="1007"/>
      <c r="I356" s="1008"/>
      <c r="J356" s="1009"/>
      <c r="K356" s="1009"/>
      <c r="L356" s="1009"/>
      <c r="M356" s="1009"/>
      <c r="N356" s="1010"/>
      <c r="Q356" s="1011"/>
      <c r="R356" s="916"/>
      <c r="S356" s="916"/>
      <c r="T356" s="916"/>
      <c r="U356" s="916"/>
      <c r="V356" s="916"/>
      <c r="W356" s="916"/>
      <c r="X356" s="916"/>
      <c r="Y356" s="916"/>
      <c r="Z356" s="916"/>
      <c r="AA356" s="916"/>
      <c r="AB356" s="916"/>
      <c r="AC356" s="916"/>
      <c r="AD356" s="916"/>
      <c r="AE356" s="916"/>
      <c r="AF356" s="916"/>
      <c r="AG356" s="916"/>
      <c r="AH356" s="916"/>
      <c r="AI356" s="916"/>
      <c r="AJ356" s="916"/>
      <c r="AK356" s="916"/>
      <c r="AL356" s="916"/>
      <c r="AM356" s="916"/>
      <c r="AN356" s="916"/>
      <c r="AO356" s="916"/>
      <c r="AP356" s="916"/>
      <c r="AQ356" s="916"/>
      <c r="AR356" s="916"/>
      <c r="AS356" s="916"/>
      <c r="AT356" s="916"/>
      <c r="AU356" s="916"/>
      <c r="AV356" s="916"/>
      <c r="AW356" s="916"/>
      <c r="AX356" s="916"/>
      <c r="AY356" s="916"/>
      <c r="AZ356" s="916"/>
      <c r="BA356" s="916"/>
      <c r="BB356" s="916"/>
      <c r="BC356" s="916"/>
      <c r="BD356" s="916"/>
    </row>
    <row r="357" ht="14.25" customHeight="1">
      <c r="A357" s="916"/>
      <c r="B357" s="917" t="s">
        <v>932</v>
      </c>
      <c r="C357" s="916"/>
      <c r="D357" s="1012" t="s">
        <v>173</v>
      </c>
      <c r="E357" s="1013">
        <v>43760.0</v>
      </c>
      <c r="F357" s="1014" t="s">
        <v>174</v>
      </c>
      <c r="G357" s="1011"/>
      <c r="H357" s="1014" t="s">
        <v>175</v>
      </c>
      <c r="I357" s="1015"/>
      <c r="J357" s="1016" t="s">
        <v>176</v>
      </c>
      <c r="K357" s="1016"/>
      <c r="L357" s="1016"/>
      <c r="M357" s="1016"/>
      <c r="N357" s="1010"/>
      <c r="Q357" s="1011"/>
      <c r="R357" s="916"/>
      <c r="S357" s="916"/>
      <c r="T357" s="916"/>
      <c r="U357" s="916"/>
      <c r="V357" s="916"/>
      <c r="W357" s="916"/>
      <c r="X357" s="916"/>
      <c r="Y357" s="916"/>
      <c r="Z357" s="916"/>
      <c r="AA357" s="916"/>
      <c r="AB357" s="916"/>
      <c r="AC357" s="916"/>
      <c r="AD357" s="916"/>
      <c r="AE357" s="916"/>
      <c r="AF357" s="916"/>
      <c r="AG357" s="916"/>
      <c r="AH357" s="916"/>
      <c r="AI357" s="916"/>
      <c r="AJ357" s="916"/>
      <c r="AK357" s="916"/>
      <c r="AL357" s="916"/>
      <c r="AM357" s="916"/>
      <c r="AN357" s="916"/>
      <c r="AO357" s="916"/>
      <c r="AP357" s="916"/>
      <c r="AQ357" s="916"/>
      <c r="AR357" s="916"/>
      <c r="AS357" s="916"/>
      <c r="AT357" s="916"/>
      <c r="AU357" s="916"/>
      <c r="AV357" s="916"/>
      <c r="AW357" s="916"/>
      <c r="AX357" s="916"/>
      <c r="AY357" s="916"/>
      <c r="AZ357" s="916"/>
      <c r="BA357" s="916"/>
      <c r="BB357" s="916"/>
      <c r="BC357" s="916"/>
      <c r="BD357" s="916"/>
    </row>
    <row r="358" ht="14.25" customHeight="1">
      <c r="A358" s="916"/>
      <c r="B358" s="917" t="s">
        <v>932</v>
      </c>
      <c r="C358" s="916"/>
      <c r="D358" s="1012" t="s">
        <v>173</v>
      </c>
      <c r="E358" s="1013">
        <v>43761.0</v>
      </c>
      <c r="F358" s="1014" t="s">
        <v>82</v>
      </c>
      <c r="G358" s="1011"/>
      <c r="H358" s="1014" t="s">
        <v>178</v>
      </c>
      <c r="I358" s="1015"/>
      <c r="J358" s="1016" t="s">
        <v>179</v>
      </c>
      <c r="K358" s="1016"/>
      <c r="L358" s="1016"/>
      <c r="M358" s="1016"/>
      <c r="N358" s="1010"/>
      <c r="Q358" s="1011"/>
      <c r="R358" s="916"/>
      <c r="S358" s="916"/>
      <c r="T358" s="916"/>
      <c r="U358" s="916"/>
      <c r="V358" s="916"/>
      <c r="W358" s="916"/>
      <c r="X358" s="916"/>
      <c r="Y358" s="916"/>
      <c r="Z358" s="916"/>
      <c r="AA358" s="916"/>
      <c r="AB358" s="916"/>
      <c r="AC358" s="916"/>
      <c r="AD358" s="916"/>
      <c r="AE358" s="916"/>
      <c r="AF358" s="916"/>
      <c r="AG358" s="916"/>
      <c r="AH358" s="916"/>
      <c r="AI358" s="916"/>
      <c r="AJ358" s="916"/>
      <c r="AK358" s="916"/>
      <c r="AL358" s="916"/>
      <c r="AM358" s="916"/>
      <c r="AN358" s="916"/>
      <c r="AO358" s="916"/>
      <c r="AP358" s="916"/>
      <c r="AQ358" s="916"/>
      <c r="AR358" s="916"/>
      <c r="AS358" s="916"/>
      <c r="AT358" s="916"/>
      <c r="AU358" s="916"/>
      <c r="AV358" s="916"/>
      <c r="AW358" s="916"/>
      <c r="AX358" s="916"/>
      <c r="AY358" s="916"/>
      <c r="AZ358" s="916"/>
      <c r="BA358" s="916"/>
      <c r="BB358" s="916"/>
      <c r="BC358" s="916"/>
      <c r="BD358" s="916"/>
    </row>
    <row r="359" ht="14.25" customHeight="1">
      <c r="A359" s="916"/>
      <c r="B359" s="917"/>
      <c r="C359" s="916"/>
      <c r="D359" s="1017"/>
      <c r="E359" s="1018"/>
      <c r="F359" s="1019"/>
      <c r="G359" s="1020"/>
      <c r="H359" s="1019"/>
      <c r="I359" s="1020"/>
      <c r="J359" s="1021"/>
      <c r="K359" s="1021"/>
      <c r="L359" s="1021"/>
      <c r="M359" s="1021"/>
      <c r="N359" s="1019"/>
      <c r="O359" s="1022"/>
      <c r="P359" s="1022"/>
      <c r="Q359" s="1020"/>
      <c r="R359" s="916"/>
      <c r="S359" s="916"/>
      <c r="T359" s="916"/>
      <c r="U359" s="916"/>
      <c r="V359" s="916"/>
      <c r="W359" s="916"/>
      <c r="X359" s="916"/>
      <c r="Y359" s="916"/>
      <c r="Z359" s="916"/>
      <c r="AA359" s="916"/>
      <c r="AB359" s="916"/>
      <c r="AC359" s="916"/>
      <c r="AD359" s="916"/>
      <c r="AE359" s="916"/>
      <c r="AF359" s="916"/>
      <c r="AG359" s="916"/>
      <c r="AH359" s="916"/>
      <c r="AI359" s="916"/>
      <c r="AJ359" s="916"/>
      <c r="AK359" s="916"/>
      <c r="AL359" s="916"/>
      <c r="AM359" s="916"/>
      <c r="AN359" s="916"/>
      <c r="AO359" s="916"/>
      <c r="AP359" s="916"/>
      <c r="AQ359" s="916"/>
      <c r="AR359" s="916"/>
      <c r="AS359" s="916"/>
      <c r="AT359" s="916"/>
      <c r="AU359" s="916"/>
      <c r="AV359" s="916"/>
      <c r="AW359" s="916"/>
      <c r="AX359" s="916"/>
      <c r="AY359" s="916"/>
      <c r="AZ359" s="916"/>
      <c r="BA359" s="916"/>
      <c r="BB359" s="916"/>
      <c r="BC359" s="916"/>
      <c r="BD359" s="916"/>
    </row>
    <row r="360" ht="14.25" customHeight="1">
      <c r="A360" s="916"/>
      <c r="B360" s="917"/>
      <c r="C360" s="916"/>
      <c r="D360" s="1023"/>
      <c r="E360" s="1024"/>
      <c r="F360" s="1010"/>
      <c r="G360" s="1011"/>
      <c r="H360" s="1010"/>
      <c r="I360" s="1011"/>
      <c r="J360" s="1025"/>
      <c r="K360" s="1025"/>
      <c r="L360" s="1025"/>
      <c r="M360" s="1025"/>
      <c r="N360" s="1010"/>
      <c r="Q360" s="1011"/>
      <c r="R360" s="916"/>
      <c r="S360" s="916"/>
      <c r="T360" s="916"/>
      <c r="U360" s="916"/>
      <c r="V360" s="916"/>
      <c r="W360" s="916"/>
      <c r="X360" s="916"/>
      <c r="Y360" s="916"/>
      <c r="Z360" s="916"/>
      <c r="AA360" s="916"/>
      <c r="AB360" s="916"/>
      <c r="AC360" s="916"/>
      <c r="AD360" s="916"/>
      <c r="AE360" s="916"/>
      <c r="AF360" s="916"/>
      <c r="AG360" s="916"/>
      <c r="AH360" s="916"/>
      <c r="AI360" s="916"/>
      <c r="AJ360" s="916"/>
      <c r="AK360" s="916"/>
      <c r="AL360" s="916"/>
      <c r="AM360" s="916"/>
      <c r="AN360" s="916"/>
      <c r="AO360" s="916"/>
      <c r="AP360" s="916"/>
      <c r="AQ360" s="916"/>
      <c r="AR360" s="916"/>
      <c r="AS360" s="916"/>
      <c r="AT360" s="916"/>
      <c r="AU360" s="916"/>
      <c r="AV360" s="916"/>
      <c r="AW360" s="916"/>
      <c r="AX360" s="916"/>
      <c r="AY360" s="916"/>
      <c r="AZ360" s="916"/>
      <c r="BA360" s="916"/>
      <c r="BB360" s="916"/>
      <c r="BC360" s="916"/>
      <c r="BD360" s="916"/>
    </row>
    <row r="361" ht="14.25" customHeight="1">
      <c r="A361" s="916"/>
      <c r="B361" s="917" t="s">
        <v>933</v>
      </c>
      <c r="C361" s="916"/>
      <c r="D361" s="1026" t="s">
        <v>181</v>
      </c>
      <c r="E361" s="1027" t="s">
        <v>934</v>
      </c>
      <c r="F361" s="1028" t="s">
        <v>82</v>
      </c>
      <c r="G361" s="1011"/>
      <c r="H361" s="1028" t="s">
        <v>935</v>
      </c>
      <c r="I361" s="1011"/>
      <c r="J361" s="1029" t="s">
        <v>179</v>
      </c>
      <c r="K361" s="1030"/>
      <c r="L361" s="1030"/>
      <c r="M361" s="1030"/>
      <c r="N361" s="1010"/>
      <c r="Q361" s="1011"/>
      <c r="R361" s="916"/>
      <c r="S361" s="916"/>
      <c r="T361" s="916"/>
      <c r="U361" s="916"/>
      <c r="V361" s="916"/>
      <c r="W361" s="916"/>
      <c r="X361" s="916"/>
      <c r="Y361" s="916"/>
      <c r="Z361" s="916"/>
      <c r="AA361" s="916"/>
      <c r="AB361" s="916"/>
      <c r="AC361" s="916"/>
      <c r="AD361" s="916"/>
      <c r="AE361" s="916"/>
      <c r="AF361" s="916"/>
      <c r="AG361" s="916"/>
      <c r="AH361" s="916"/>
      <c r="AI361" s="916"/>
      <c r="AJ361" s="916"/>
      <c r="AK361" s="916"/>
      <c r="AL361" s="916"/>
      <c r="AM361" s="916"/>
      <c r="AN361" s="916"/>
      <c r="AO361" s="916"/>
      <c r="AP361" s="916"/>
      <c r="AQ361" s="916"/>
      <c r="AR361" s="916"/>
      <c r="AS361" s="916"/>
      <c r="AT361" s="916"/>
      <c r="AU361" s="916"/>
      <c r="AV361" s="916"/>
      <c r="AW361" s="916"/>
      <c r="AX361" s="916"/>
      <c r="AY361" s="916"/>
      <c r="AZ361" s="916"/>
      <c r="BA361" s="916"/>
      <c r="BB361" s="916"/>
      <c r="BC361" s="916"/>
      <c r="BD361" s="916"/>
    </row>
    <row r="362" ht="14.25" customHeight="1">
      <c r="A362" s="916"/>
      <c r="B362" s="917"/>
      <c r="C362" s="916"/>
      <c r="D362" s="1026" t="s">
        <v>183</v>
      </c>
      <c r="E362" s="1027" t="s">
        <v>226</v>
      </c>
      <c r="F362" s="1028" t="s">
        <v>90</v>
      </c>
      <c r="G362" s="1011"/>
      <c r="H362" s="1028" t="s">
        <v>182</v>
      </c>
      <c r="I362" s="1011"/>
      <c r="J362" s="1029" t="s">
        <v>936</v>
      </c>
      <c r="K362" s="1030"/>
      <c r="L362" s="1030"/>
      <c r="M362" s="1030"/>
      <c r="N362" s="1010"/>
      <c r="Q362" s="1011"/>
      <c r="R362" s="916"/>
      <c r="S362" s="916"/>
      <c r="T362" s="916"/>
      <c r="U362" s="916"/>
      <c r="V362" s="916"/>
      <c r="W362" s="916"/>
      <c r="X362" s="916"/>
      <c r="Y362" s="916"/>
      <c r="Z362" s="916"/>
      <c r="AA362" s="916"/>
      <c r="AB362" s="916"/>
      <c r="AC362" s="916"/>
      <c r="AD362" s="916"/>
      <c r="AE362" s="916"/>
      <c r="AF362" s="916"/>
      <c r="AG362" s="916"/>
      <c r="AH362" s="916"/>
      <c r="AI362" s="916"/>
      <c r="AJ362" s="916"/>
      <c r="AK362" s="916"/>
      <c r="AL362" s="916"/>
      <c r="AM362" s="916"/>
      <c r="AN362" s="916"/>
      <c r="AO362" s="916"/>
      <c r="AP362" s="916"/>
      <c r="AQ362" s="916"/>
      <c r="AR362" s="916"/>
      <c r="AS362" s="916"/>
      <c r="AT362" s="916"/>
      <c r="AU362" s="916"/>
      <c r="AV362" s="916"/>
      <c r="AW362" s="916"/>
      <c r="AX362" s="916"/>
      <c r="AY362" s="916"/>
      <c r="AZ362" s="916"/>
      <c r="BA362" s="916"/>
      <c r="BB362" s="916"/>
      <c r="BC362" s="916"/>
      <c r="BD362" s="916"/>
    </row>
    <row r="363" ht="14.25" customHeight="1">
      <c r="A363" s="916"/>
      <c r="B363" s="917"/>
      <c r="C363" s="916"/>
      <c r="D363" s="1026" t="s">
        <v>411</v>
      </c>
      <c r="E363" s="1010"/>
      <c r="F363" s="1028" t="s">
        <v>89</v>
      </c>
      <c r="G363" s="1011"/>
      <c r="H363" s="1028" t="s">
        <v>937</v>
      </c>
      <c r="I363" s="1011"/>
      <c r="J363" s="1029" t="s">
        <v>938</v>
      </c>
      <c r="K363" s="1030"/>
      <c r="L363" s="1030"/>
      <c r="M363" s="1030"/>
      <c r="N363" s="1010"/>
      <c r="Q363" s="1011"/>
      <c r="R363" s="916"/>
      <c r="S363" s="916"/>
      <c r="T363" s="916"/>
      <c r="U363" s="916"/>
      <c r="V363" s="916"/>
      <c r="W363" s="724"/>
      <c r="X363" s="916"/>
      <c r="Y363" s="916"/>
      <c r="Z363" s="916"/>
      <c r="AA363" s="916"/>
      <c r="AB363" s="916"/>
      <c r="AC363" s="916"/>
      <c r="AD363" s="916"/>
      <c r="AE363" s="916"/>
      <c r="AF363" s="916"/>
      <c r="AG363" s="916"/>
      <c r="AH363" s="916"/>
      <c r="AI363" s="916"/>
      <c r="AJ363" s="916"/>
      <c r="AK363" s="916"/>
      <c r="AL363" s="916"/>
      <c r="AM363" s="916"/>
      <c r="AN363" s="916"/>
      <c r="AO363" s="916"/>
      <c r="AP363" s="916"/>
      <c r="AQ363" s="916"/>
      <c r="AR363" s="916"/>
      <c r="AS363" s="916"/>
      <c r="AT363" s="916"/>
      <c r="AU363" s="916"/>
      <c r="AV363" s="916"/>
      <c r="AW363" s="916"/>
      <c r="AX363" s="916"/>
      <c r="AY363" s="916"/>
      <c r="AZ363" s="916"/>
      <c r="BA363" s="916"/>
      <c r="BB363" s="916"/>
      <c r="BC363" s="916"/>
      <c r="BD363" s="916"/>
    </row>
    <row r="364" ht="14.25" customHeight="1">
      <c r="A364" s="916"/>
      <c r="B364" s="917"/>
      <c r="C364" s="916"/>
      <c r="D364" s="1026" t="s">
        <v>472</v>
      </c>
      <c r="E364" s="1031"/>
      <c r="F364" s="1028" t="s">
        <v>174</v>
      </c>
      <c r="G364" s="1011"/>
      <c r="H364" s="1028" t="s">
        <v>178</v>
      </c>
      <c r="I364" s="1011"/>
      <c r="J364" s="1029" t="s">
        <v>939</v>
      </c>
      <c r="K364" s="1030"/>
      <c r="L364" s="1030"/>
      <c r="M364" s="1030"/>
      <c r="N364" s="1014"/>
      <c r="Q364" s="1011"/>
      <c r="R364" s="916"/>
      <c r="S364" s="916"/>
      <c r="T364" s="916"/>
      <c r="U364" s="916"/>
      <c r="V364" s="916"/>
      <c r="W364" s="916"/>
      <c r="X364" s="916"/>
      <c r="Y364" s="916"/>
      <c r="Z364" s="916"/>
      <c r="AA364" s="916"/>
      <c r="AB364" s="916"/>
      <c r="AC364" s="916"/>
      <c r="AD364" s="916"/>
      <c r="AE364" s="916"/>
      <c r="AF364" s="916"/>
      <c r="AG364" s="916"/>
      <c r="AH364" s="916"/>
      <c r="AI364" s="916"/>
      <c r="AJ364" s="916"/>
      <c r="AK364" s="916"/>
      <c r="AL364" s="916"/>
      <c r="AM364" s="916"/>
      <c r="AN364" s="916"/>
      <c r="AO364" s="916"/>
      <c r="AP364" s="916"/>
      <c r="AQ364" s="916"/>
      <c r="AR364" s="916"/>
      <c r="AS364" s="916"/>
      <c r="AT364" s="916"/>
      <c r="AU364" s="916"/>
      <c r="AV364" s="916"/>
      <c r="AW364" s="916"/>
      <c r="AX364" s="916"/>
      <c r="AY364" s="916"/>
      <c r="AZ364" s="916"/>
      <c r="BA364" s="916"/>
      <c r="BB364" s="916"/>
      <c r="BC364" s="916"/>
      <c r="BD364" s="916"/>
    </row>
    <row r="365" ht="14.25" customHeight="1">
      <c r="A365" s="916"/>
      <c r="B365" s="917"/>
      <c r="C365" s="916"/>
      <c r="D365" s="1026" t="s">
        <v>473</v>
      </c>
      <c r="E365" s="1031"/>
      <c r="F365" s="1028" t="s">
        <v>777</v>
      </c>
      <c r="G365" s="1011"/>
      <c r="H365" s="1028" t="s">
        <v>175</v>
      </c>
      <c r="I365" s="1011"/>
      <c r="J365" s="1029" t="s">
        <v>940</v>
      </c>
      <c r="K365" s="1030"/>
      <c r="L365" s="1030"/>
      <c r="M365" s="1030"/>
      <c r="N365" s="1010"/>
      <c r="Q365" s="1011"/>
      <c r="R365" s="916"/>
      <c r="S365" s="916"/>
      <c r="T365" s="916"/>
      <c r="U365" s="916"/>
      <c r="V365" s="916"/>
      <c r="W365" s="916"/>
      <c r="X365" s="916"/>
      <c r="Y365" s="916"/>
      <c r="Z365" s="916"/>
      <c r="AA365" s="916"/>
      <c r="AB365" s="916"/>
      <c r="AC365" s="916"/>
      <c r="AD365" s="916"/>
      <c r="AE365" s="916"/>
      <c r="AF365" s="916"/>
      <c r="AG365" s="916"/>
      <c r="AH365" s="916"/>
      <c r="AI365" s="916"/>
      <c r="AJ365" s="916"/>
      <c r="AK365" s="916"/>
      <c r="AL365" s="916"/>
      <c r="AM365" s="916"/>
      <c r="AN365" s="916"/>
      <c r="AO365" s="916"/>
      <c r="AP365" s="916"/>
      <c r="AQ365" s="916"/>
      <c r="AR365" s="916"/>
      <c r="AS365" s="916"/>
      <c r="AT365" s="916"/>
      <c r="AU365" s="916"/>
      <c r="AV365" s="916"/>
      <c r="AW365" s="916"/>
      <c r="AX365" s="916"/>
      <c r="AY365" s="916"/>
      <c r="AZ365" s="916"/>
      <c r="BA365" s="916"/>
      <c r="BB365" s="916"/>
      <c r="BC365" s="916"/>
      <c r="BD365" s="916"/>
    </row>
    <row r="366" ht="14.25" customHeight="1">
      <c r="A366" s="916"/>
      <c r="B366" s="917"/>
      <c r="C366" s="916"/>
      <c r="D366" s="1026" t="s">
        <v>606</v>
      </c>
      <c r="E366" s="1031"/>
      <c r="F366" s="1028" t="s">
        <v>84</v>
      </c>
      <c r="G366" s="1011"/>
      <c r="H366" s="1028" t="s">
        <v>941</v>
      </c>
      <c r="I366" s="1011"/>
      <c r="J366" s="1029" t="s">
        <v>532</v>
      </c>
      <c r="K366" s="1030"/>
      <c r="L366" s="1030"/>
      <c r="M366" s="1030"/>
      <c r="N366" s="1010"/>
      <c r="Q366" s="1011"/>
      <c r="R366" s="916"/>
      <c r="S366" s="916"/>
      <c r="T366" s="916"/>
      <c r="U366" s="916"/>
      <c r="V366" s="916"/>
      <c r="W366" s="1032"/>
      <c r="X366" s="916"/>
      <c r="Y366" s="916"/>
      <c r="Z366" s="916"/>
      <c r="AA366" s="916"/>
      <c r="AB366" s="916"/>
      <c r="AC366" s="916"/>
      <c r="AD366" s="916"/>
      <c r="AE366" s="916"/>
      <c r="AF366" s="916"/>
      <c r="AG366" s="916"/>
      <c r="AH366" s="916"/>
      <c r="AI366" s="916"/>
      <c r="AJ366" s="916"/>
      <c r="AK366" s="916"/>
      <c r="AL366" s="916"/>
      <c r="AM366" s="916"/>
      <c r="AN366" s="916"/>
      <c r="AO366" s="916"/>
      <c r="AP366" s="916"/>
      <c r="AQ366" s="916"/>
      <c r="AR366" s="916"/>
      <c r="AS366" s="916"/>
      <c r="AT366" s="916"/>
      <c r="AU366" s="916"/>
      <c r="AV366" s="916"/>
      <c r="AW366" s="916"/>
      <c r="AX366" s="916"/>
      <c r="AY366" s="916"/>
      <c r="AZ366" s="916"/>
      <c r="BA366" s="916"/>
      <c r="BB366" s="916"/>
      <c r="BC366" s="916"/>
      <c r="BD366" s="916"/>
    </row>
    <row r="367" ht="14.25" customHeight="1">
      <c r="A367" s="916"/>
      <c r="B367" s="917"/>
      <c r="C367" s="916"/>
      <c r="D367" s="1026" t="s">
        <v>613</v>
      </c>
      <c r="E367" s="1031"/>
      <c r="F367" s="1028" t="s">
        <v>778</v>
      </c>
      <c r="G367" s="1011"/>
      <c r="H367" s="1028" t="s">
        <v>942</v>
      </c>
      <c r="I367" s="1011"/>
      <c r="J367" s="1029" t="s">
        <v>943</v>
      </c>
      <c r="K367" s="1030"/>
      <c r="L367" s="1030"/>
      <c r="M367" s="1030"/>
      <c r="N367" s="1014" t="s">
        <v>177</v>
      </c>
      <c r="Q367" s="1011"/>
      <c r="R367" s="916"/>
      <c r="S367" s="916"/>
      <c r="T367" s="916"/>
      <c r="U367" s="916"/>
      <c r="V367" s="916"/>
      <c r="W367" s="916"/>
      <c r="X367" s="916"/>
      <c r="Y367" s="916"/>
      <c r="Z367" s="916"/>
      <c r="AA367" s="916"/>
      <c r="AB367" s="916"/>
      <c r="AC367" s="916"/>
      <c r="AD367" s="916"/>
      <c r="AE367" s="916"/>
      <c r="AF367" s="916"/>
      <c r="AG367" s="916"/>
      <c r="AH367" s="916"/>
      <c r="AI367" s="916"/>
      <c r="AJ367" s="916"/>
      <c r="AK367" s="916"/>
      <c r="AL367" s="916"/>
      <c r="AM367" s="916"/>
      <c r="AN367" s="916"/>
      <c r="AO367" s="916"/>
      <c r="AP367" s="916"/>
      <c r="AQ367" s="916"/>
      <c r="AR367" s="916"/>
      <c r="AS367" s="916"/>
      <c r="AT367" s="916"/>
      <c r="AU367" s="916"/>
      <c r="AV367" s="916"/>
      <c r="AW367" s="916"/>
      <c r="AX367" s="916"/>
      <c r="AY367" s="916"/>
      <c r="AZ367" s="916"/>
      <c r="BA367" s="916"/>
      <c r="BB367" s="916"/>
      <c r="BC367" s="916"/>
      <c r="BD367" s="916"/>
    </row>
    <row r="368" ht="14.25" customHeight="1">
      <c r="A368" s="916"/>
      <c r="C368" s="916"/>
      <c r="D368" s="1026" t="s">
        <v>620</v>
      </c>
      <c r="E368" s="1031"/>
      <c r="F368" s="1010"/>
      <c r="G368" s="1011"/>
      <c r="H368" s="1028" t="s">
        <v>944</v>
      </c>
      <c r="I368" s="1011"/>
      <c r="J368" s="1029" t="s">
        <v>176</v>
      </c>
      <c r="K368" s="1030"/>
      <c r="L368" s="1030"/>
      <c r="M368" s="1030"/>
      <c r="N368" s="1014" t="s">
        <v>180</v>
      </c>
      <c r="Q368" s="1011"/>
      <c r="R368" s="916"/>
      <c r="S368" s="916"/>
      <c r="T368" s="916"/>
      <c r="U368" s="916"/>
      <c r="V368" s="916"/>
      <c r="W368" s="916"/>
      <c r="X368" s="916"/>
      <c r="Y368" s="916"/>
      <c r="Z368" s="916"/>
      <c r="AA368" s="916"/>
      <c r="AB368" s="916"/>
      <c r="AC368" s="916"/>
      <c r="AD368" s="916"/>
      <c r="AE368" s="916"/>
      <c r="AF368" s="916"/>
      <c r="AG368" s="916"/>
      <c r="AH368" s="916"/>
      <c r="AI368" s="916"/>
      <c r="AJ368" s="916"/>
      <c r="AK368" s="916"/>
      <c r="AL368" s="916"/>
      <c r="AM368" s="916"/>
      <c r="AN368" s="916"/>
      <c r="AO368" s="916"/>
      <c r="AP368" s="916"/>
      <c r="AQ368" s="916"/>
      <c r="AR368" s="916"/>
      <c r="AS368" s="916"/>
      <c r="AT368" s="916"/>
      <c r="AU368" s="916"/>
      <c r="AV368" s="916"/>
      <c r="AW368" s="916"/>
      <c r="AX368" s="916"/>
      <c r="AY368" s="916"/>
      <c r="AZ368" s="916"/>
      <c r="BA368" s="916"/>
      <c r="BB368" s="916"/>
      <c r="BC368" s="916"/>
      <c r="BD368" s="916"/>
    </row>
    <row r="369" ht="14.25" customHeight="1">
      <c r="A369" s="916"/>
      <c r="C369" s="916"/>
      <c r="D369" s="1026" t="s">
        <v>627</v>
      </c>
      <c r="E369" s="1031"/>
      <c r="F369" s="1010"/>
      <c r="G369" s="1011"/>
      <c r="H369" s="1028" t="s">
        <v>945</v>
      </c>
      <c r="I369" s="1011"/>
      <c r="J369" s="1029" t="s">
        <v>946</v>
      </c>
      <c r="K369" s="1030"/>
      <c r="L369" s="1030"/>
      <c r="M369" s="1030"/>
      <c r="N369" s="1010"/>
      <c r="Q369" s="1011"/>
      <c r="R369" s="916"/>
      <c r="S369" s="916"/>
      <c r="T369" s="916"/>
      <c r="U369" s="916"/>
      <c r="V369" s="916"/>
      <c r="W369" s="916"/>
      <c r="X369" s="916"/>
      <c r="Y369" s="916"/>
      <c r="Z369" s="916"/>
      <c r="AA369" s="916"/>
      <c r="AB369" s="916"/>
      <c r="AC369" s="916"/>
      <c r="AD369" s="916"/>
      <c r="AE369" s="916"/>
      <c r="AF369" s="916"/>
      <c r="AG369" s="916"/>
      <c r="AH369" s="916"/>
      <c r="AI369" s="916"/>
      <c r="AJ369" s="916"/>
      <c r="AK369" s="916"/>
      <c r="AL369" s="916"/>
      <c r="AM369" s="916"/>
      <c r="AN369" s="916"/>
      <c r="AO369" s="916"/>
      <c r="AP369" s="916"/>
      <c r="AQ369" s="916"/>
      <c r="AR369" s="916"/>
      <c r="AS369" s="916"/>
      <c r="AT369" s="916"/>
      <c r="AU369" s="916"/>
      <c r="AV369" s="916"/>
      <c r="AW369" s="916"/>
      <c r="AX369" s="916"/>
      <c r="AY369" s="916"/>
      <c r="AZ369" s="916"/>
      <c r="BA369" s="916"/>
      <c r="BB369" s="916"/>
      <c r="BC369" s="916"/>
      <c r="BD369" s="916"/>
    </row>
    <row r="370" ht="14.25" customHeight="1">
      <c r="A370" s="916"/>
      <c r="C370" s="916"/>
      <c r="D370" s="1026" t="s">
        <v>632</v>
      </c>
      <c r="E370" s="1031"/>
      <c r="F370" s="1010"/>
      <c r="G370" s="1011"/>
      <c r="H370" s="1028" t="s">
        <v>471</v>
      </c>
      <c r="I370" s="1011"/>
      <c r="J370" s="1029" t="s">
        <v>947</v>
      </c>
      <c r="K370" s="1030"/>
      <c r="L370" s="1030"/>
      <c r="M370" s="1030"/>
      <c r="N370" s="1010"/>
      <c r="Q370" s="1011"/>
      <c r="R370" s="916"/>
      <c r="S370" s="916"/>
      <c r="T370" s="916"/>
      <c r="U370" s="916"/>
      <c r="V370" s="916"/>
      <c r="W370" s="916"/>
      <c r="X370" s="916"/>
      <c r="Y370" s="916"/>
      <c r="Z370" s="916"/>
      <c r="AA370" s="916"/>
      <c r="AB370" s="916"/>
      <c r="AC370" s="916"/>
      <c r="AD370" s="916"/>
      <c r="AE370" s="916"/>
      <c r="AF370" s="916"/>
      <c r="AG370" s="916"/>
      <c r="AH370" s="916"/>
      <c r="AI370" s="916"/>
      <c r="AJ370" s="916"/>
      <c r="AK370" s="916"/>
      <c r="AL370" s="916"/>
      <c r="AM370" s="916"/>
      <c r="AN370" s="916"/>
      <c r="AO370" s="916"/>
      <c r="AP370" s="916"/>
      <c r="AQ370" s="916"/>
      <c r="AR370" s="916"/>
      <c r="AS370" s="916"/>
      <c r="AT370" s="916"/>
      <c r="AU370" s="916"/>
      <c r="AV370" s="916"/>
      <c r="AW370" s="916"/>
      <c r="AX370" s="916"/>
      <c r="AY370" s="916"/>
      <c r="AZ370" s="916"/>
      <c r="BA370" s="916"/>
      <c r="BB370" s="916"/>
      <c r="BC370" s="916"/>
      <c r="BD370" s="916"/>
    </row>
    <row r="371" ht="14.25" customHeight="1">
      <c r="A371" s="916"/>
      <c r="B371" s="917"/>
      <c r="C371" s="916"/>
      <c r="D371" s="1026" t="s">
        <v>637</v>
      </c>
      <c r="E371" s="1031"/>
      <c r="F371" s="1010"/>
      <c r="G371" s="1011"/>
      <c r="H371" s="1010"/>
      <c r="I371" s="1011"/>
      <c r="K371" s="1030"/>
      <c r="L371" s="1030"/>
      <c r="M371" s="1030"/>
      <c r="N371" s="1010"/>
      <c r="Q371" s="1011"/>
      <c r="R371" s="916"/>
      <c r="S371" s="916"/>
      <c r="T371" s="916"/>
      <c r="U371" s="916"/>
      <c r="V371" s="916"/>
      <c r="W371" s="916"/>
      <c r="X371" s="916"/>
      <c r="Y371" s="916"/>
      <c r="Z371" s="916"/>
      <c r="AA371" s="916"/>
      <c r="AB371" s="916"/>
      <c r="AC371" s="916"/>
      <c r="AD371" s="916"/>
      <c r="AE371" s="916"/>
      <c r="AF371" s="916"/>
      <c r="AG371" s="916"/>
      <c r="AH371" s="916"/>
      <c r="AI371" s="916"/>
      <c r="AJ371" s="916"/>
      <c r="AK371" s="916"/>
      <c r="AL371" s="916"/>
      <c r="AM371" s="916"/>
      <c r="AN371" s="916"/>
      <c r="AO371" s="916"/>
      <c r="AP371" s="916"/>
      <c r="AQ371" s="916"/>
      <c r="AR371" s="916"/>
      <c r="AS371" s="916"/>
      <c r="AT371" s="916"/>
      <c r="AU371" s="916"/>
      <c r="AV371" s="916"/>
      <c r="AW371" s="916"/>
      <c r="AX371" s="916"/>
      <c r="AY371" s="916"/>
      <c r="AZ371" s="916"/>
      <c r="BA371" s="916"/>
      <c r="BB371" s="916"/>
      <c r="BC371" s="916"/>
      <c r="BD371" s="916"/>
    </row>
    <row r="372" ht="14.25" customHeight="1">
      <c r="A372" s="916"/>
      <c r="B372" s="917"/>
      <c r="C372" s="916"/>
      <c r="D372" s="1026" t="s">
        <v>643</v>
      </c>
      <c r="E372" s="1031"/>
      <c r="F372" s="1010"/>
      <c r="G372" s="1011"/>
      <c r="H372" s="1010"/>
      <c r="I372" s="1011"/>
      <c r="K372" s="1030"/>
      <c r="L372" s="1030"/>
      <c r="M372" s="1030"/>
      <c r="N372" s="1010"/>
      <c r="Q372" s="1011"/>
      <c r="R372" s="916"/>
      <c r="S372" s="916"/>
      <c r="T372" s="916"/>
      <c r="U372" s="916"/>
      <c r="V372" s="916"/>
      <c r="W372" s="916"/>
      <c r="X372" s="916"/>
      <c r="Y372" s="916"/>
      <c r="Z372" s="916"/>
      <c r="AA372" s="916"/>
      <c r="AB372" s="916"/>
      <c r="AC372" s="916"/>
      <c r="AD372" s="916"/>
      <c r="AE372" s="916"/>
      <c r="AF372" s="916"/>
      <c r="AG372" s="916"/>
      <c r="AH372" s="916"/>
      <c r="AI372" s="916"/>
      <c r="AJ372" s="916"/>
      <c r="AK372" s="916"/>
      <c r="AL372" s="916"/>
      <c r="AM372" s="916"/>
      <c r="AN372" s="916"/>
      <c r="AO372" s="916"/>
      <c r="AP372" s="916"/>
      <c r="AQ372" s="916"/>
      <c r="AR372" s="916"/>
      <c r="AS372" s="916"/>
      <c r="AT372" s="916"/>
      <c r="AU372" s="916"/>
      <c r="AV372" s="916"/>
      <c r="AW372" s="916"/>
      <c r="AX372" s="916"/>
      <c r="AY372" s="916"/>
      <c r="AZ372" s="916"/>
      <c r="BA372" s="916"/>
      <c r="BB372" s="916"/>
      <c r="BC372" s="916"/>
      <c r="BD372" s="916"/>
    </row>
    <row r="373" ht="14.25" customHeight="1">
      <c r="A373" s="916"/>
      <c r="B373" s="917"/>
      <c r="C373" s="916"/>
      <c r="D373" s="1026" t="s">
        <v>647</v>
      </c>
      <c r="E373" s="1031"/>
      <c r="F373" s="1010"/>
      <c r="G373" s="1011"/>
      <c r="H373" s="1010"/>
      <c r="I373" s="1011"/>
      <c r="K373" s="1030"/>
      <c r="L373" s="1030"/>
      <c r="M373" s="1030"/>
      <c r="N373" s="1010"/>
      <c r="Q373" s="1011"/>
      <c r="R373" s="916"/>
      <c r="S373" s="916"/>
      <c r="T373" s="916"/>
      <c r="U373" s="916"/>
      <c r="V373" s="916"/>
      <c r="W373" s="916"/>
      <c r="X373" s="916"/>
      <c r="Y373" s="916"/>
      <c r="Z373" s="916"/>
      <c r="AA373" s="916"/>
      <c r="AB373" s="916"/>
      <c r="AC373" s="916"/>
      <c r="AD373" s="916"/>
      <c r="AE373" s="916"/>
      <c r="AF373" s="916"/>
      <c r="AG373" s="916"/>
      <c r="AH373" s="916"/>
      <c r="AI373" s="916"/>
      <c r="AJ373" s="916"/>
      <c r="AK373" s="916"/>
      <c r="AL373" s="916"/>
      <c r="AM373" s="916"/>
      <c r="AN373" s="916"/>
      <c r="AO373" s="916"/>
      <c r="AP373" s="916"/>
      <c r="AQ373" s="916"/>
      <c r="AR373" s="916"/>
      <c r="AS373" s="916"/>
      <c r="AT373" s="916"/>
      <c r="AU373" s="916"/>
      <c r="AV373" s="916"/>
      <c r="AW373" s="916"/>
      <c r="AX373" s="916"/>
      <c r="AY373" s="916"/>
      <c r="AZ373" s="916"/>
      <c r="BA373" s="916"/>
      <c r="BB373" s="916"/>
      <c r="BC373" s="916"/>
      <c r="BD373" s="916"/>
      <c r="BE373" s="916"/>
      <c r="BF373" s="916"/>
    </row>
    <row r="374" ht="14.25" customHeight="1">
      <c r="A374" s="916"/>
      <c r="B374" s="917"/>
      <c r="C374" s="916"/>
      <c r="D374" s="1026" t="s">
        <v>650</v>
      </c>
      <c r="E374" s="1031"/>
      <c r="F374" s="1010"/>
      <c r="G374" s="1011"/>
      <c r="H374" s="1010"/>
      <c r="I374" s="1011"/>
      <c r="K374" s="1030"/>
      <c r="L374" s="1030"/>
      <c r="M374" s="1030"/>
      <c r="N374" s="1010"/>
      <c r="Q374" s="1011"/>
      <c r="R374" s="916"/>
      <c r="S374" s="916"/>
      <c r="T374" s="916"/>
      <c r="U374" s="916"/>
      <c r="V374" s="916"/>
      <c r="W374" s="916"/>
      <c r="X374" s="916"/>
      <c r="Y374" s="916"/>
      <c r="Z374" s="916"/>
      <c r="AA374" s="916"/>
      <c r="AB374" s="916"/>
      <c r="AC374" s="916"/>
      <c r="AD374" s="916"/>
      <c r="AE374" s="916"/>
      <c r="AF374" s="916"/>
      <c r="AG374" s="916"/>
      <c r="AH374" s="916"/>
      <c r="AI374" s="916"/>
      <c r="AJ374" s="916"/>
      <c r="AK374" s="916"/>
      <c r="AL374" s="916"/>
      <c r="AM374" s="916"/>
      <c r="AN374" s="916"/>
      <c r="AO374" s="916"/>
      <c r="AP374" s="916"/>
      <c r="AQ374" s="916"/>
      <c r="AR374" s="916"/>
      <c r="AS374" s="916"/>
      <c r="AT374" s="916"/>
      <c r="AU374" s="916"/>
      <c r="AV374" s="916"/>
      <c r="AW374" s="916"/>
      <c r="AX374" s="916"/>
      <c r="AY374" s="916"/>
      <c r="AZ374" s="916"/>
      <c r="BA374" s="916"/>
      <c r="BB374" s="916"/>
      <c r="BC374" s="916"/>
      <c r="BD374" s="916"/>
      <c r="BE374" s="916"/>
      <c r="BF374" s="916"/>
    </row>
    <row r="375" ht="14.25" customHeight="1">
      <c r="A375" s="916"/>
      <c r="B375" s="917"/>
      <c r="C375" s="916"/>
      <c r="D375" s="1026" t="s">
        <v>653</v>
      </c>
      <c r="E375" s="1031"/>
      <c r="F375" s="1010"/>
      <c r="G375" s="1011"/>
      <c r="H375" s="1010"/>
      <c r="I375" s="1011"/>
      <c r="K375" s="1030"/>
      <c r="L375" s="1030"/>
      <c r="M375" s="1030"/>
      <c r="N375" s="1010"/>
      <c r="Q375" s="1011"/>
      <c r="R375" s="916"/>
      <c r="S375" s="916"/>
      <c r="T375" s="916"/>
      <c r="U375" s="916"/>
      <c r="V375" s="916"/>
      <c r="W375" s="916"/>
      <c r="X375" s="916"/>
      <c r="Y375" s="916"/>
      <c r="Z375" s="916"/>
      <c r="AA375" s="916"/>
      <c r="AB375" s="916"/>
      <c r="AC375" s="916"/>
      <c r="AD375" s="916"/>
      <c r="AE375" s="916"/>
      <c r="AF375" s="916"/>
      <c r="AG375" s="916"/>
      <c r="AH375" s="916"/>
      <c r="AI375" s="916"/>
      <c r="AJ375" s="916"/>
      <c r="AK375" s="916"/>
      <c r="AL375" s="916"/>
      <c r="AM375" s="916"/>
      <c r="AN375" s="916"/>
      <c r="AO375" s="916"/>
      <c r="AP375" s="916"/>
      <c r="AQ375" s="916"/>
      <c r="AR375" s="916"/>
      <c r="AS375" s="916"/>
      <c r="AT375" s="916"/>
      <c r="AU375" s="916"/>
      <c r="AV375" s="916"/>
      <c r="AW375" s="916"/>
      <c r="AX375" s="916"/>
      <c r="AY375" s="916"/>
      <c r="AZ375" s="916"/>
      <c r="BA375" s="916"/>
      <c r="BB375" s="916"/>
      <c r="BC375" s="916"/>
      <c r="BD375" s="916"/>
      <c r="BE375" s="916"/>
      <c r="BF375" s="916"/>
    </row>
    <row r="376" ht="14.25" customHeight="1">
      <c r="A376" s="916"/>
      <c r="B376" s="917"/>
      <c r="C376" s="916"/>
      <c r="D376" s="1026" t="s">
        <v>658</v>
      </c>
      <c r="E376" s="1031"/>
      <c r="F376" s="1010"/>
      <c r="G376" s="1011"/>
      <c r="H376" s="1010"/>
      <c r="I376" s="1011"/>
      <c r="K376" s="1030"/>
      <c r="L376" s="1030"/>
      <c r="M376" s="1030"/>
      <c r="N376" s="1010"/>
      <c r="Q376" s="1011"/>
      <c r="R376" s="916"/>
      <c r="S376" s="916"/>
      <c r="T376" s="916"/>
      <c r="U376" s="916"/>
      <c r="V376" s="916"/>
      <c r="W376" s="916"/>
      <c r="X376" s="916"/>
      <c r="Y376" s="916"/>
      <c r="Z376" s="916"/>
      <c r="AA376" s="916"/>
      <c r="AB376" s="916"/>
      <c r="AC376" s="916"/>
      <c r="AD376" s="916"/>
      <c r="AE376" s="916"/>
      <c r="AF376" s="916"/>
      <c r="AG376" s="916"/>
      <c r="AH376" s="916"/>
      <c r="AI376" s="916"/>
      <c r="AJ376" s="916"/>
      <c r="AK376" s="916"/>
      <c r="AL376" s="916"/>
      <c r="AM376" s="916"/>
      <c r="AN376" s="916"/>
      <c r="AO376" s="916"/>
      <c r="AP376" s="916"/>
      <c r="AQ376" s="916"/>
      <c r="AR376" s="916"/>
      <c r="AS376" s="916"/>
      <c r="AT376" s="916"/>
      <c r="AU376" s="916"/>
      <c r="AV376" s="916"/>
      <c r="AW376" s="916"/>
      <c r="AX376" s="916"/>
      <c r="AY376" s="916"/>
      <c r="AZ376" s="916"/>
      <c r="BA376" s="916"/>
      <c r="BB376" s="916"/>
      <c r="BC376" s="916"/>
      <c r="BD376" s="916"/>
      <c r="BE376" s="916"/>
      <c r="BF376" s="916"/>
    </row>
    <row r="377" ht="14.25" customHeight="1">
      <c r="A377" s="916"/>
      <c r="B377" s="917"/>
      <c r="C377" s="916"/>
      <c r="D377" s="1026" t="s">
        <v>662</v>
      </c>
      <c r="E377" s="1033"/>
      <c r="F377" s="1010"/>
      <c r="G377" s="1011"/>
      <c r="H377" s="1010"/>
      <c r="I377" s="1011"/>
      <c r="K377" s="916"/>
      <c r="L377" s="916"/>
      <c r="M377" s="916"/>
      <c r="N377" s="1010"/>
      <c r="Q377" s="1011"/>
      <c r="R377" s="916"/>
      <c r="S377" s="916"/>
      <c r="T377" s="916"/>
      <c r="U377" s="916"/>
      <c r="V377" s="916"/>
      <c r="W377" s="916"/>
      <c r="X377" s="916"/>
      <c r="Y377" s="916"/>
      <c r="Z377" s="916"/>
      <c r="AA377" s="916"/>
      <c r="AB377" s="916"/>
      <c r="AC377" s="916"/>
      <c r="AD377" s="916"/>
      <c r="AE377" s="916"/>
      <c r="AF377" s="916"/>
      <c r="AG377" s="916"/>
      <c r="AH377" s="916"/>
      <c r="AI377" s="916"/>
      <c r="AJ377" s="916"/>
      <c r="AK377" s="916"/>
      <c r="AL377" s="916"/>
      <c r="AM377" s="916"/>
      <c r="AN377" s="916"/>
      <c r="AO377" s="916"/>
      <c r="AP377" s="916"/>
      <c r="AQ377" s="916"/>
      <c r="AR377" s="916"/>
      <c r="AS377" s="916"/>
      <c r="AT377" s="916"/>
      <c r="AU377" s="916"/>
      <c r="AV377" s="916"/>
      <c r="AW377" s="916"/>
      <c r="AX377" s="916"/>
      <c r="AY377" s="916"/>
      <c r="AZ377" s="916"/>
      <c r="BA377" s="916"/>
      <c r="BB377" s="916"/>
      <c r="BC377" s="916"/>
      <c r="BD377" s="916"/>
    </row>
    <row r="378" ht="14.25" customHeight="1">
      <c r="A378" s="916"/>
      <c r="B378" s="917"/>
      <c r="C378" s="916"/>
      <c r="D378" s="1026" t="s">
        <v>665</v>
      </c>
      <c r="E378" s="1033"/>
      <c r="F378" s="1010"/>
      <c r="G378" s="1011"/>
      <c r="H378" s="1010"/>
      <c r="I378" s="1011"/>
      <c r="J378" s="966"/>
      <c r="K378" s="916"/>
      <c r="L378" s="916"/>
      <c r="M378" s="916"/>
      <c r="N378" s="1010"/>
      <c r="Q378" s="1011"/>
      <c r="R378" s="916"/>
      <c r="S378" s="916"/>
      <c r="T378" s="916"/>
      <c r="U378" s="916"/>
      <c r="V378" s="916"/>
      <c r="W378" s="916"/>
      <c r="X378" s="916"/>
      <c r="Y378" s="916"/>
      <c r="Z378" s="916"/>
      <c r="AA378" s="916"/>
      <c r="AB378" s="916"/>
      <c r="AC378" s="916"/>
      <c r="AD378" s="916"/>
      <c r="AE378" s="916"/>
      <c r="AF378" s="916"/>
      <c r="AG378" s="916"/>
      <c r="AH378" s="916"/>
      <c r="AI378" s="916"/>
      <c r="AJ378" s="916"/>
      <c r="AK378" s="916"/>
      <c r="AL378" s="916"/>
      <c r="AM378" s="916"/>
      <c r="AN378" s="916"/>
      <c r="AO378" s="916"/>
      <c r="AP378" s="916"/>
      <c r="AQ378" s="916"/>
      <c r="AR378" s="916"/>
      <c r="AS378" s="916"/>
      <c r="AT378" s="916"/>
      <c r="AU378" s="916"/>
      <c r="AV378" s="916"/>
      <c r="AW378" s="916"/>
      <c r="AX378" s="916"/>
      <c r="AY378" s="916"/>
      <c r="AZ378" s="916"/>
      <c r="BA378" s="916"/>
      <c r="BB378" s="916"/>
      <c r="BC378" s="916"/>
      <c r="BD378" s="916"/>
    </row>
    <row r="379" ht="14.25" customHeight="1">
      <c r="A379" s="916"/>
      <c r="B379" s="917"/>
      <c r="C379" s="916"/>
      <c r="D379" s="1026" t="s">
        <v>669</v>
      </c>
      <c r="E379" s="1033"/>
      <c r="F379" s="1010"/>
      <c r="G379" s="1011"/>
      <c r="H379" s="1010"/>
      <c r="I379" s="1011"/>
      <c r="J379" s="966"/>
      <c r="K379" s="916"/>
      <c r="L379" s="916"/>
      <c r="M379" s="916"/>
      <c r="N379" s="1010"/>
      <c r="Q379" s="1011"/>
      <c r="R379" s="916"/>
      <c r="S379" s="916"/>
      <c r="T379" s="916"/>
      <c r="U379" s="916"/>
      <c r="V379" s="916"/>
      <c r="W379" s="916"/>
      <c r="X379" s="916"/>
      <c r="Y379" s="916"/>
      <c r="Z379" s="916"/>
      <c r="AA379" s="916"/>
      <c r="AB379" s="916"/>
      <c r="AC379" s="916"/>
      <c r="AD379" s="916"/>
      <c r="AE379" s="916"/>
      <c r="AF379" s="916"/>
      <c r="AG379" s="916"/>
      <c r="AH379" s="916"/>
      <c r="AI379" s="916"/>
      <c r="AJ379" s="916"/>
      <c r="AK379" s="916"/>
      <c r="AL379" s="916"/>
      <c r="AM379" s="916"/>
      <c r="AN379" s="916"/>
      <c r="AO379" s="916"/>
      <c r="AP379" s="916"/>
      <c r="AQ379" s="916"/>
      <c r="AR379" s="916"/>
      <c r="AS379" s="916"/>
      <c r="AT379" s="916"/>
      <c r="AU379" s="916"/>
      <c r="AV379" s="916"/>
      <c r="AW379" s="916"/>
      <c r="AX379" s="916"/>
      <c r="AY379" s="916"/>
      <c r="AZ379" s="916"/>
      <c r="BA379" s="916"/>
      <c r="BB379" s="916"/>
      <c r="BC379" s="916"/>
      <c r="BD379" s="916"/>
    </row>
    <row r="380" ht="14.25" customHeight="1">
      <c r="A380" s="916"/>
      <c r="B380" s="917"/>
      <c r="C380" s="916"/>
      <c r="D380" s="1026" t="s">
        <v>673</v>
      </c>
      <c r="E380" s="1033"/>
      <c r="F380" s="1010"/>
      <c r="G380" s="1011"/>
      <c r="H380" s="1010"/>
      <c r="I380" s="1011"/>
      <c r="J380" s="966"/>
      <c r="K380" s="916"/>
      <c r="L380" s="916"/>
      <c r="M380" s="916"/>
      <c r="N380" s="1010"/>
      <c r="Q380" s="1011"/>
      <c r="R380" s="916"/>
      <c r="S380" s="916"/>
      <c r="T380" s="916"/>
      <c r="U380" s="916"/>
      <c r="V380" s="916"/>
      <c r="W380" s="916"/>
      <c r="X380" s="916"/>
      <c r="Y380" s="916"/>
      <c r="Z380" s="916"/>
      <c r="AA380" s="916"/>
      <c r="AB380" s="916"/>
      <c r="AC380" s="916"/>
      <c r="AD380" s="916"/>
      <c r="AE380" s="916"/>
      <c r="AF380" s="916"/>
      <c r="AG380" s="916"/>
      <c r="AH380" s="916"/>
      <c r="AI380" s="916"/>
      <c r="AJ380" s="916"/>
      <c r="AK380" s="916"/>
      <c r="AL380" s="916"/>
      <c r="AM380" s="916"/>
      <c r="AN380" s="916"/>
      <c r="AO380" s="916"/>
      <c r="AP380" s="916"/>
      <c r="AQ380" s="916"/>
      <c r="AR380" s="916"/>
      <c r="AS380" s="916"/>
      <c r="AT380" s="916"/>
      <c r="AU380" s="916"/>
      <c r="AV380" s="916"/>
      <c r="AW380" s="916"/>
      <c r="AX380" s="916"/>
      <c r="AY380" s="916"/>
      <c r="AZ380" s="916"/>
      <c r="BA380" s="916"/>
      <c r="BB380" s="916"/>
      <c r="BC380" s="916"/>
      <c r="BD380" s="916"/>
    </row>
    <row r="381" ht="14.25" customHeight="1">
      <c r="A381" s="916"/>
      <c r="B381" s="917"/>
      <c r="C381" s="916"/>
      <c r="D381" s="1034"/>
      <c r="E381" s="1034"/>
      <c r="F381" s="1035"/>
      <c r="G381" s="1036"/>
      <c r="H381" s="1035"/>
      <c r="I381" s="1036"/>
      <c r="J381" s="1037"/>
      <c r="K381" s="920"/>
      <c r="L381" s="920"/>
      <c r="M381" s="920"/>
      <c r="N381" s="1035"/>
      <c r="O381" s="1038"/>
      <c r="P381" s="1038"/>
      <c r="Q381" s="1036"/>
      <c r="R381" s="916"/>
      <c r="S381" s="916"/>
      <c r="T381" s="916"/>
      <c r="U381" s="916"/>
      <c r="V381" s="916"/>
      <c r="W381" s="916"/>
      <c r="X381" s="916"/>
      <c r="Y381" s="916"/>
      <c r="Z381" s="916"/>
      <c r="AA381" s="916"/>
      <c r="AB381" s="916"/>
      <c r="AC381" s="916"/>
      <c r="AD381" s="916"/>
      <c r="AE381" s="916"/>
      <c r="AF381" s="916"/>
      <c r="AG381" s="916"/>
      <c r="AH381" s="916"/>
      <c r="AI381" s="916"/>
      <c r="AJ381" s="916"/>
      <c r="AK381" s="916"/>
      <c r="AL381" s="916"/>
      <c r="AM381" s="916"/>
      <c r="AN381" s="916"/>
      <c r="AO381" s="916"/>
      <c r="AP381" s="916"/>
      <c r="AQ381" s="916"/>
      <c r="AR381" s="916"/>
      <c r="AS381" s="916"/>
      <c r="AT381" s="916"/>
      <c r="AU381" s="916"/>
      <c r="AV381" s="916"/>
      <c r="AW381" s="916"/>
      <c r="AX381" s="916"/>
      <c r="AY381" s="916"/>
      <c r="AZ381" s="916"/>
      <c r="BA381" s="916"/>
      <c r="BB381" s="916"/>
      <c r="BC381" s="916"/>
      <c r="BD381" s="916"/>
    </row>
    <row r="382" ht="14.25" customHeight="1">
      <c r="A382" s="916"/>
      <c r="B382" s="938"/>
      <c r="C382" s="920"/>
      <c r="D382" s="920"/>
      <c r="E382" s="920"/>
      <c r="F382" s="920"/>
      <c r="G382" s="991"/>
      <c r="H382" s="920"/>
      <c r="I382" s="920"/>
      <c r="J382" s="920"/>
      <c r="K382" s="920"/>
      <c r="L382" s="920"/>
      <c r="M382" s="920"/>
      <c r="N382" s="916"/>
      <c r="O382" s="916"/>
      <c r="P382" s="916"/>
      <c r="Q382" s="916"/>
      <c r="R382" s="916"/>
      <c r="S382" s="916"/>
      <c r="T382" s="916"/>
      <c r="U382" s="916"/>
      <c r="V382" s="916"/>
      <c r="W382" s="916"/>
      <c r="X382" s="916"/>
      <c r="Y382" s="916"/>
      <c r="Z382" s="916"/>
      <c r="AA382" s="916"/>
      <c r="AB382" s="916"/>
      <c r="AC382" s="916"/>
      <c r="AD382" s="916"/>
      <c r="AE382" s="916"/>
      <c r="AF382" s="916"/>
      <c r="AG382" s="916"/>
      <c r="AH382" s="916"/>
      <c r="AI382" s="916"/>
      <c r="AJ382" s="916"/>
      <c r="AK382" s="916"/>
      <c r="AL382" s="916"/>
      <c r="AM382" s="916"/>
      <c r="AN382" s="916"/>
      <c r="AO382" s="916"/>
      <c r="AP382" s="916"/>
      <c r="AQ382" s="916"/>
      <c r="AR382" s="916"/>
      <c r="AS382" s="916"/>
      <c r="AT382" s="916"/>
      <c r="AU382" s="916"/>
      <c r="AV382" s="916"/>
      <c r="AW382" s="916"/>
      <c r="AX382" s="916"/>
      <c r="AY382" s="916"/>
      <c r="AZ382" s="916"/>
      <c r="BA382" s="916"/>
      <c r="BB382" s="916"/>
      <c r="BC382" s="916"/>
      <c r="BD382" s="916"/>
      <c r="BE382" s="916"/>
    </row>
    <row r="383" ht="14.25" customHeight="1">
      <c r="A383" s="916"/>
      <c r="B383" s="917"/>
      <c r="C383" s="916"/>
      <c r="D383" s="916"/>
      <c r="E383" s="916"/>
      <c r="F383" s="916"/>
      <c r="G383" s="926"/>
      <c r="H383" s="916"/>
      <c r="I383" s="916"/>
      <c r="J383" s="966"/>
      <c r="K383" s="916"/>
      <c r="L383" s="916"/>
      <c r="M383" s="916"/>
      <c r="N383" s="916"/>
      <c r="O383" s="916"/>
      <c r="P383" s="916"/>
      <c r="Q383" s="916"/>
      <c r="R383" s="916"/>
      <c r="S383" s="916"/>
      <c r="T383" s="916"/>
      <c r="U383" s="916"/>
      <c r="V383" s="916"/>
      <c r="W383" s="916"/>
      <c r="X383" s="916"/>
      <c r="Y383" s="916"/>
      <c r="Z383" s="916"/>
      <c r="AA383" s="916"/>
      <c r="AB383" s="916"/>
      <c r="AC383" s="916"/>
      <c r="AD383" s="916"/>
      <c r="AE383" s="916"/>
      <c r="AF383" s="916"/>
      <c r="AG383" s="916"/>
      <c r="AH383" s="916"/>
      <c r="AI383" s="916"/>
      <c r="AJ383" s="916"/>
      <c r="AK383" s="916"/>
      <c r="AL383" s="916"/>
      <c r="AM383" s="916"/>
      <c r="AN383" s="916"/>
      <c r="AO383" s="916"/>
      <c r="AP383" s="916"/>
      <c r="AQ383" s="916"/>
      <c r="AR383" s="916"/>
      <c r="AS383" s="916"/>
      <c r="AT383" s="916"/>
      <c r="AU383" s="916"/>
      <c r="AV383" s="916"/>
      <c r="AW383" s="916"/>
      <c r="AX383" s="916"/>
      <c r="AY383" s="916"/>
      <c r="AZ383" s="916"/>
      <c r="BA383" s="916"/>
      <c r="BB383" s="916"/>
      <c r="BC383" s="916"/>
      <c r="BD383" s="916"/>
      <c r="BE383" s="916"/>
    </row>
    <row r="384" ht="14.25" customHeight="1">
      <c r="A384" s="916"/>
      <c r="B384" s="917"/>
      <c r="C384" s="935" t="s">
        <v>191</v>
      </c>
      <c r="D384" s="937" t="s">
        <v>192</v>
      </c>
      <c r="E384" s="916"/>
      <c r="F384" s="916"/>
      <c r="G384" s="916"/>
      <c r="H384" s="916"/>
      <c r="I384" s="916"/>
      <c r="J384" s="916"/>
      <c r="K384" s="916"/>
      <c r="L384" s="916"/>
      <c r="M384" s="916"/>
      <c r="N384" s="916"/>
      <c r="O384" s="916"/>
      <c r="P384" s="916"/>
      <c r="Q384" s="916"/>
      <c r="R384" s="916"/>
      <c r="S384" s="916"/>
      <c r="T384" s="916"/>
      <c r="U384" s="916"/>
      <c r="V384" s="916"/>
      <c r="W384" s="916"/>
      <c r="X384" s="916"/>
      <c r="Y384" s="916"/>
      <c r="Z384" s="916"/>
      <c r="AA384" s="916"/>
      <c r="AB384" s="916"/>
      <c r="AC384" s="916"/>
      <c r="AD384" s="916"/>
      <c r="AE384" s="916"/>
      <c r="AF384" s="916"/>
      <c r="AG384" s="916"/>
      <c r="AH384" s="916"/>
      <c r="AI384" s="916"/>
      <c r="AJ384" s="916"/>
      <c r="AK384" s="916"/>
      <c r="AL384" s="916"/>
      <c r="AM384" s="916"/>
      <c r="AN384" s="916"/>
      <c r="AO384" s="916"/>
      <c r="AP384" s="916"/>
      <c r="AQ384" s="916"/>
      <c r="AR384" s="916"/>
      <c r="AS384" s="916"/>
      <c r="AT384" s="916"/>
      <c r="AU384" s="916"/>
      <c r="AV384" s="916"/>
      <c r="AW384" s="916"/>
      <c r="AX384" s="916"/>
      <c r="AY384" s="916"/>
      <c r="AZ384" s="916"/>
      <c r="BA384" s="916"/>
      <c r="BB384" s="916"/>
      <c r="BC384" s="916"/>
      <c r="BD384" s="916"/>
      <c r="BE384" s="916"/>
    </row>
    <row r="385" ht="14.25" customHeight="1">
      <c r="A385" s="724"/>
      <c r="B385" s="917"/>
      <c r="C385" s="993"/>
      <c r="D385" s="724"/>
      <c r="E385" s="926"/>
      <c r="F385" s="926"/>
      <c r="G385" s="926"/>
      <c r="H385" s="926"/>
      <c r="I385" s="926"/>
      <c r="J385" s="724"/>
      <c r="K385" s="724"/>
      <c r="L385" s="724"/>
      <c r="M385" s="724"/>
      <c r="N385" s="724"/>
      <c r="O385" s="724"/>
      <c r="P385" s="724"/>
      <c r="Q385" s="724"/>
      <c r="R385" s="724"/>
      <c r="S385" s="724"/>
      <c r="T385" s="724"/>
      <c r="U385" s="724"/>
      <c r="V385" s="724"/>
      <c r="W385" s="724"/>
      <c r="X385" s="724"/>
      <c r="Y385" s="724"/>
      <c r="Z385" s="724"/>
      <c r="AA385" s="724"/>
      <c r="AB385" s="724"/>
      <c r="AC385" s="724"/>
      <c r="AD385" s="724"/>
      <c r="AE385" s="724"/>
      <c r="AF385" s="724"/>
      <c r="AG385" s="724"/>
      <c r="AH385" s="724"/>
      <c r="AI385" s="724"/>
      <c r="AJ385" s="724"/>
      <c r="AK385" s="724"/>
      <c r="AL385" s="724"/>
      <c r="AM385" s="724"/>
      <c r="AN385" s="724"/>
      <c r="AO385" s="724"/>
      <c r="AP385" s="724"/>
      <c r="AQ385" s="724"/>
      <c r="AR385" s="724"/>
      <c r="AS385" s="724"/>
      <c r="AT385" s="916"/>
      <c r="AU385" s="916"/>
      <c r="AV385" s="916"/>
      <c r="AW385" s="916"/>
      <c r="AX385" s="916"/>
      <c r="AY385" s="916"/>
      <c r="AZ385" s="916"/>
      <c r="BA385" s="916"/>
      <c r="BB385" s="724"/>
      <c r="BC385" s="724"/>
      <c r="BD385" s="724"/>
      <c r="BE385" s="724"/>
    </row>
    <row r="386" ht="99.75" customHeight="1">
      <c r="A386" s="1039"/>
      <c r="B386" s="1040"/>
      <c r="C386" s="1039"/>
      <c r="D386" s="1041" t="s">
        <v>194</v>
      </c>
      <c r="E386" s="1042" t="s">
        <v>195</v>
      </c>
      <c r="F386" s="1041" t="s">
        <v>196</v>
      </c>
      <c r="G386" s="127"/>
      <c r="H386" s="1042" t="s">
        <v>197</v>
      </c>
      <c r="I386" s="1043" t="s">
        <v>198</v>
      </c>
      <c r="J386" s="1041" t="s">
        <v>199</v>
      </c>
      <c r="K386" s="1044" t="s">
        <v>207</v>
      </c>
      <c r="L386" s="1045" t="s">
        <v>202</v>
      </c>
      <c r="M386" s="1045" t="s">
        <v>203</v>
      </c>
      <c r="N386" s="1046" t="s">
        <v>948</v>
      </c>
      <c r="O386" s="126"/>
      <c r="P386" s="1046" t="s">
        <v>949</v>
      </c>
      <c r="Q386" s="126"/>
      <c r="R386" s="1046" t="s">
        <v>204</v>
      </c>
      <c r="S386" s="126"/>
      <c r="T386" s="1046" t="s">
        <v>205</v>
      </c>
      <c r="U386" s="126"/>
      <c r="V386" s="1047" t="s">
        <v>206</v>
      </c>
      <c r="W386" s="1041" t="s">
        <v>207</v>
      </c>
      <c r="X386" s="1045" t="s">
        <v>208</v>
      </c>
      <c r="Y386" s="1045" t="s">
        <v>209</v>
      </c>
      <c r="Z386" s="1046" t="s">
        <v>948</v>
      </c>
      <c r="AA386" s="126"/>
      <c r="AB386" s="1046" t="s">
        <v>949</v>
      </c>
      <c r="AC386" s="126"/>
      <c r="AD386" s="1046" t="s">
        <v>204</v>
      </c>
      <c r="AE386" s="126"/>
      <c r="AF386" s="1046" t="s">
        <v>205</v>
      </c>
      <c r="AG386" s="126"/>
      <c r="AH386" s="1047" t="s">
        <v>206</v>
      </c>
      <c r="AI386" s="1041" t="s">
        <v>210</v>
      </c>
      <c r="AJ386" s="1045" t="s">
        <v>211</v>
      </c>
      <c r="AK386" s="1045" t="s">
        <v>212</v>
      </c>
      <c r="AL386" s="1048" t="s">
        <v>213</v>
      </c>
      <c r="AM386" s="1046" t="s">
        <v>948</v>
      </c>
      <c r="AN386" s="126"/>
      <c r="AO386" s="1046" t="s">
        <v>949</v>
      </c>
      <c r="AP386" s="126"/>
      <c r="AQ386" s="1046" t="s">
        <v>204</v>
      </c>
      <c r="AR386" s="126"/>
      <c r="AS386" s="1046" t="s">
        <v>205</v>
      </c>
      <c r="AT386" s="126"/>
      <c r="AU386" s="1047" t="s">
        <v>206</v>
      </c>
      <c r="AV386" s="1004" t="s">
        <v>950</v>
      </c>
      <c r="AW386" s="127"/>
      <c r="AX386" s="916"/>
      <c r="AY386" s="1049"/>
      <c r="AZ386" s="916"/>
      <c r="BA386" s="916"/>
      <c r="BB386" s="916"/>
      <c r="BC386" s="916"/>
      <c r="BD386" s="916"/>
      <c r="BF386" s="1039"/>
    </row>
    <row r="387" ht="14.25" customHeight="1">
      <c r="A387" s="1039"/>
      <c r="B387" s="1050"/>
      <c r="C387" s="1039"/>
      <c r="D387" s="1051"/>
      <c r="E387" s="1052"/>
      <c r="F387" s="934" t="s">
        <v>951</v>
      </c>
      <c r="H387" s="1052"/>
      <c r="I387" s="1052"/>
      <c r="J387" s="1051"/>
      <c r="K387" s="1051"/>
      <c r="L387" s="1049"/>
      <c r="M387" s="1049"/>
      <c r="N387" s="1053"/>
      <c r="O387" s="1053"/>
      <c r="P387" s="1053"/>
      <c r="Q387" s="1053"/>
      <c r="R387" s="1053"/>
      <c r="S387" s="1053"/>
      <c r="T387" s="1053"/>
      <c r="U387" s="1053"/>
      <c r="V387" s="1054"/>
      <c r="W387" s="1051"/>
      <c r="X387" s="1049"/>
      <c r="Y387" s="1049"/>
      <c r="Z387" s="1053"/>
      <c r="AA387" s="1053"/>
      <c r="AB387" s="1053"/>
      <c r="AC387" s="1053"/>
      <c r="AD387" s="1053"/>
      <c r="AE387" s="1053"/>
      <c r="AF387" s="1053"/>
      <c r="AG387" s="1053"/>
      <c r="AH387" s="1054"/>
      <c r="AI387" s="1051"/>
      <c r="AJ387" s="1049"/>
      <c r="AK387" s="1049"/>
      <c r="AL387" s="1055"/>
      <c r="AM387" s="1053"/>
      <c r="AN387" s="1053"/>
      <c r="AO387" s="1053"/>
      <c r="AP387" s="1053"/>
      <c r="AQ387" s="1053"/>
      <c r="AR387" s="1053"/>
      <c r="AS387" s="1053"/>
      <c r="AT387" s="1053"/>
      <c r="AU387" s="1054"/>
      <c r="AV387" s="1056"/>
      <c r="AW387" s="1057"/>
      <c r="AX387" s="916"/>
      <c r="AY387" s="1049"/>
      <c r="AZ387" s="916"/>
      <c r="BA387" s="916"/>
      <c r="BB387" s="916"/>
      <c r="BC387" s="916"/>
      <c r="BD387" s="916"/>
      <c r="BF387" s="1039"/>
    </row>
    <row r="388" ht="14.25" customHeight="1">
      <c r="A388" s="1039"/>
      <c r="B388" s="1050"/>
      <c r="C388" s="1039"/>
      <c r="D388" s="1058"/>
      <c r="E388" s="1059"/>
      <c r="F388" s="1058"/>
      <c r="G388" s="1060"/>
      <c r="H388" s="1059"/>
      <c r="I388" s="1059"/>
      <c r="J388" s="1058"/>
      <c r="K388" s="1058"/>
      <c r="L388" s="1061"/>
      <c r="M388" s="1061"/>
      <c r="N388" s="1062" t="s">
        <v>168</v>
      </c>
      <c r="O388" s="1062" t="s">
        <v>217</v>
      </c>
      <c r="P388" s="1062" t="s">
        <v>168</v>
      </c>
      <c r="Q388" s="1062" t="s">
        <v>217</v>
      </c>
      <c r="R388" s="1062" t="s">
        <v>168</v>
      </c>
      <c r="S388" s="1062" t="s">
        <v>217</v>
      </c>
      <c r="T388" s="1062" t="s">
        <v>168</v>
      </c>
      <c r="U388" s="1062" t="s">
        <v>217</v>
      </c>
      <c r="V388" s="1063" t="s">
        <v>218</v>
      </c>
      <c r="W388" s="1058"/>
      <c r="X388" s="1061"/>
      <c r="Y388" s="1061"/>
      <c r="Z388" s="1062" t="s">
        <v>168</v>
      </c>
      <c r="AA388" s="1062" t="s">
        <v>217</v>
      </c>
      <c r="AB388" s="1062" t="s">
        <v>168</v>
      </c>
      <c r="AC388" s="1062" t="s">
        <v>217</v>
      </c>
      <c r="AD388" s="1062" t="s">
        <v>168</v>
      </c>
      <c r="AE388" s="1062" t="s">
        <v>217</v>
      </c>
      <c r="AF388" s="1062" t="s">
        <v>168</v>
      </c>
      <c r="AG388" s="1062" t="s">
        <v>217</v>
      </c>
      <c r="AH388" s="1063" t="s">
        <v>218</v>
      </c>
      <c r="AI388" s="1058"/>
      <c r="AJ388" s="1061"/>
      <c r="AK388" s="1061"/>
      <c r="AL388" s="1064"/>
      <c r="AM388" s="1062" t="s">
        <v>168</v>
      </c>
      <c r="AN388" s="1062" t="s">
        <v>217</v>
      </c>
      <c r="AO388" s="1062" t="s">
        <v>168</v>
      </c>
      <c r="AP388" s="1062" t="s">
        <v>217</v>
      </c>
      <c r="AQ388" s="1062" t="s">
        <v>168</v>
      </c>
      <c r="AR388" s="1062" t="s">
        <v>217</v>
      </c>
      <c r="AS388" s="1062" t="s">
        <v>168</v>
      </c>
      <c r="AT388" s="1062" t="s">
        <v>217</v>
      </c>
      <c r="AU388" s="1063" t="s">
        <v>218</v>
      </c>
      <c r="AV388" s="1056"/>
      <c r="AW388" s="1057"/>
      <c r="AX388" s="916"/>
      <c r="AY388" s="1049"/>
      <c r="AZ388" s="916"/>
      <c r="BA388" s="916"/>
      <c r="BB388" s="916"/>
      <c r="BC388" s="916"/>
      <c r="BD388" s="916"/>
      <c r="BF388" s="1039"/>
    </row>
    <row r="389" ht="14.25" customHeight="1">
      <c r="A389" s="1039"/>
      <c r="B389" s="1050"/>
      <c r="C389" s="1039"/>
      <c r="D389" s="1041"/>
      <c r="E389" s="1043"/>
      <c r="F389" s="1041"/>
      <c r="G389" s="1065"/>
      <c r="H389" s="1043"/>
      <c r="I389" s="1043"/>
      <c r="J389" s="1051"/>
      <c r="K389" s="1041"/>
      <c r="L389" s="1045"/>
      <c r="M389" s="1045"/>
      <c r="N389" s="1045"/>
      <c r="O389" s="1045"/>
      <c r="P389" s="1045"/>
      <c r="Q389" s="1045"/>
      <c r="R389" s="1045"/>
      <c r="S389" s="1045"/>
      <c r="T389" s="1045"/>
      <c r="U389" s="1045"/>
      <c r="V389" s="1065"/>
      <c r="W389" s="1051"/>
      <c r="X389" s="1049"/>
      <c r="Y389" s="1049"/>
      <c r="Z389" s="1049"/>
      <c r="AA389" s="1049"/>
      <c r="AB389" s="1049"/>
      <c r="AC389" s="1049"/>
      <c r="AD389" s="1049"/>
      <c r="AE389" s="1049"/>
      <c r="AF389" s="1049"/>
      <c r="AG389" s="1049"/>
      <c r="AH389" s="1066"/>
      <c r="AI389" s="1041"/>
      <c r="AJ389" s="1045"/>
      <c r="AK389" s="1045"/>
      <c r="AL389" s="1045"/>
      <c r="AM389" s="1045"/>
      <c r="AN389" s="1049"/>
      <c r="AO389" s="1049"/>
      <c r="AP389" s="1049"/>
      <c r="AQ389" s="1049"/>
      <c r="AR389" s="1049"/>
      <c r="AS389" s="1049"/>
      <c r="AT389" s="1049"/>
      <c r="AU389" s="1049"/>
      <c r="AV389" s="1041"/>
      <c r="AW389" s="1065"/>
      <c r="AX389" s="916"/>
      <c r="AY389" s="1049"/>
      <c r="AZ389" s="916"/>
      <c r="BA389" s="916"/>
      <c r="BB389" s="916"/>
      <c r="BC389" s="916"/>
      <c r="BD389" s="916"/>
      <c r="BF389" s="1039"/>
    </row>
    <row r="390" ht="14.25" customHeight="1">
      <c r="A390" s="947"/>
      <c r="B390" s="1029" t="s">
        <v>745</v>
      </c>
      <c r="C390" s="947"/>
      <c r="D390" s="1067" t="s">
        <v>221</v>
      </c>
      <c r="E390" s="1068" t="s">
        <v>222</v>
      </c>
      <c r="F390" s="1067" t="s">
        <v>223</v>
      </c>
      <c r="G390" s="155"/>
      <c r="H390" s="1068">
        <v>65.0</v>
      </c>
      <c r="I390" s="1068" t="s">
        <v>224</v>
      </c>
      <c r="J390" s="1067" t="s">
        <v>225</v>
      </c>
      <c r="K390" s="1067">
        <v>46729.0</v>
      </c>
      <c r="L390" s="1069"/>
      <c r="M390" s="1069">
        <v>10.0</v>
      </c>
      <c r="N390" s="1069" t="s">
        <v>226</v>
      </c>
      <c r="O390" s="1069" t="s">
        <v>227</v>
      </c>
      <c r="P390" s="1069" t="s">
        <v>226</v>
      </c>
      <c r="Q390" s="1069" t="s">
        <v>227</v>
      </c>
      <c r="R390" s="1069" t="s">
        <v>226</v>
      </c>
      <c r="S390" s="1069" t="s">
        <v>227</v>
      </c>
      <c r="T390" s="1069" t="s">
        <v>226</v>
      </c>
      <c r="U390" s="1069" t="s">
        <v>227</v>
      </c>
      <c r="V390" s="1070" t="s">
        <v>228</v>
      </c>
      <c r="W390" s="1067">
        <v>47416.0</v>
      </c>
      <c r="X390" s="1069"/>
      <c r="Y390" s="1069">
        <v>10.0</v>
      </c>
      <c r="Z390" s="1069" t="s">
        <v>226</v>
      </c>
      <c r="AA390" s="1069" t="s">
        <v>227</v>
      </c>
      <c r="AB390" s="1069" t="s">
        <v>226</v>
      </c>
      <c r="AC390" s="1069" t="s">
        <v>227</v>
      </c>
      <c r="AD390" s="1069" t="s">
        <v>226</v>
      </c>
      <c r="AE390" s="1069" t="s">
        <v>227</v>
      </c>
      <c r="AF390" s="1069" t="s">
        <v>226</v>
      </c>
      <c r="AG390" s="1069" t="s">
        <v>227</v>
      </c>
      <c r="AH390" s="1070" t="s">
        <v>228</v>
      </c>
      <c r="AI390" s="1067">
        <v>47418.0</v>
      </c>
      <c r="AJ390" s="1069"/>
      <c r="AK390" s="1069">
        <v>10.0</v>
      </c>
      <c r="AL390" s="1069">
        <v>20.0</v>
      </c>
      <c r="AM390" s="1069" t="s">
        <v>226</v>
      </c>
      <c r="AN390" s="1069" t="s">
        <v>227</v>
      </c>
      <c r="AO390" s="1069" t="s">
        <v>226</v>
      </c>
      <c r="AP390" s="1069" t="s">
        <v>227</v>
      </c>
      <c r="AQ390" s="1069" t="s">
        <v>226</v>
      </c>
      <c r="AR390" s="1069" t="s">
        <v>227</v>
      </c>
      <c r="AS390" s="1069" t="s">
        <v>226</v>
      </c>
      <c r="AT390" s="1069" t="s">
        <v>227</v>
      </c>
      <c r="AU390" s="1071" t="s">
        <v>228</v>
      </c>
      <c r="AV390" s="1072" t="s">
        <v>952</v>
      </c>
      <c r="AW390" s="155"/>
      <c r="AX390" s="916"/>
      <c r="AY390" s="1073"/>
      <c r="AZ390" s="1074"/>
      <c r="BA390" s="1074"/>
      <c r="BB390" s="1074"/>
      <c r="BC390" s="1074"/>
      <c r="BD390" s="1074"/>
      <c r="BE390" s="947"/>
      <c r="BF390" s="947"/>
    </row>
    <row r="391" ht="14.25" customHeight="1">
      <c r="A391" s="724"/>
      <c r="B391" s="917"/>
      <c r="C391" s="724"/>
      <c r="D391" s="1075"/>
      <c r="E391" s="1076"/>
      <c r="F391" s="1075"/>
      <c r="G391" s="1077"/>
      <c r="H391" s="1076"/>
      <c r="I391" s="1076"/>
      <c r="J391" s="1075"/>
      <c r="K391" s="1075"/>
      <c r="L391" s="1078"/>
      <c r="M391" s="1078"/>
      <c r="N391" s="1078"/>
      <c r="O391" s="1078"/>
      <c r="P391" s="1078"/>
      <c r="Q391" s="1078"/>
      <c r="R391" s="1078"/>
      <c r="S391" s="1078"/>
      <c r="T391" s="1078"/>
      <c r="U391" s="1078"/>
      <c r="V391" s="244"/>
      <c r="W391" s="1079"/>
      <c r="X391" s="936"/>
      <c r="Y391" s="936"/>
      <c r="Z391" s="936"/>
      <c r="AA391" s="936"/>
      <c r="AB391" s="936"/>
      <c r="AC391" s="936"/>
      <c r="AD391" s="936"/>
      <c r="AE391" s="936"/>
      <c r="AF391" s="936"/>
      <c r="AG391" s="936"/>
      <c r="AH391" s="244"/>
      <c r="AI391" s="1075"/>
      <c r="AJ391" s="1078"/>
      <c r="AK391" s="1078"/>
      <c r="AL391" s="1078"/>
      <c r="AM391" s="1078"/>
      <c r="AN391" s="1078"/>
      <c r="AO391" s="1078"/>
      <c r="AP391" s="1078"/>
      <c r="AQ391" s="1078"/>
      <c r="AR391" s="1078"/>
      <c r="AS391" s="1078"/>
      <c r="AT391" s="1078"/>
      <c r="AU391" s="924"/>
      <c r="AV391" s="217"/>
      <c r="AW391" s="155"/>
      <c r="AX391" s="916"/>
      <c r="AY391" s="1073"/>
      <c r="AZ391" s="916"/>
      <c r="BA391" s="916"/>
      <c r="BB391" s="916"/>
      <c r="BC391" s="916"/>
      <c r="BD391" s="916"/>
      <c r="BF391" s="724"/>
    </row>
    <row r="392" ht="14.25" customHeight="1">
      <c r="A392" s="724"/>
      <c r="B392" s="917"/>
      <c r="C392" s="724"/>
      <c r="D392" s="1075"/>
      <c r="E392" s="1076"/>
      <c r="F392" s="1075"/>
      <c r="G392" s="1077"/>
      <c r="H392" s="1076"/>
      <c r="I392" s="1076"/>
      <c r="J392" s="1075"/>
      <c r="K392" s="1075"/>
      <c r="L392" s="1078"/>
      <c r="M392" s="1078"/>
      <c r="N392" s="1078"/>
      <c r="O392" s="1078"/>
      <c r="P392" s="1078"/>
      <c r="Q392" s="1078"/>
      <c r="R392" s="1078"/>
      <c r="S392" s="1078"/>
      <c r="T392" s="1078"/>
      <c r="U392" s="1078"/>
      <c r="V392" s="244"/>
      <c r="W392" s="1079"/>
      <c r="X392" s="936"/>
      <c r="Y392" s="936"/>
      <c r="Z392" s="936"/>
      <c r="AA392" s="936"/>
      <c r="AB392" s="936"/>
      <c r="AC392" s="936"/>
      <c r="AD392" s="936"/>
      <c r="AE392" s="936"/>
      <c r="AF392" s="936"/>
      <c r="AG392" s="936"/>
      <c r="AH392" s="244"/>
      <c r="AI392" s="1075"/>
      <c r="AJ392" s="1078"/>
      <c r="AK392" s="1078"/>
      <c r="AL392" s="1078"/>
      <c r="AM392" s="1078"/>
      <c r="AN392" s="1078"/>
      <c r="AO392" s="1078"/>
      <c r="AP392" s="1078"/>
      <c r="AQ392" s="1078"/>
      <c r="AR392" s="1078"/>
      <c r="AS392" s="1078"/>
      <c r="AT392" s="1078"/>
      <c r="AU392" s="924"/>
      <c r="AV392" s="1056"/>
      <c r="AW392" s="1080"/>
      <c r="AX392" s="916"/>
      <c r="AY392" s="1073"/>
      <c r="AZ392" s="916"/>
      <c r="BA392" s="916"/>
      <c r="BB392" s="916"/>
      <c r="BC392" s="916"/>
      <c r="BD392" s="916"/>
      <c r="BF392" s="724"/>
    </row>
    <row r="393" ht="14.25" customHeight="1">
      <c r="A393" s="724"/>
      <c r="B393" s="917"/>
      <c r="C393" s="724"/>
      <c r="D393" s="1075"/>
      <c r="E393" s="1076"/>
      <c r="F393" s="1075"/>
      <c r="G393" s="1077"/>
      <c r="H393" s="1076"/>
      <c r="I393" s="1076"/>
      <c r="J393" s="1075"/>
      <c r="K393" s="1075"/>
      <c r="L393" s="1078"/>
      <c r="M393" s="1078"/>
      <c r="N393" s="1078"/>
      <c r="O393" s="1078"/>
      <c r="P393" s="1078"/>
      <c r="Q393" s="1078"/>
      <c r="R393" s="1078"/>
      <c r="S393" s="1078"/>
      <c r="T393" s="1078"/>
      <c r="U393" s="1078"/>
      <c r="V393" s="244"/>
      <c r="W393" s="1079"/>
      <c r="X393" s="936"/>
      <c r="Y393" s="936"/>
      <c r="Z393" s="936"/>
      <c r="AA393" s="936"/>
      <c r="AB393" s="936"/>
      <c r="AC393" s="936"/>
      <c r="AD393" s="936"/>
      <c r="AE393" s="936"/>
      <c r="AF393" s="936"/>
      <c r="AG393" s="936"/>
      <c r="AH393" s="244"/>
      <c r="AI393" s="1075"/>
      <c r="AJ393" s="1078"/>
      <c r="AK393" s="1078"/>
      <c r="AL393" s="1078"/>
      <c r="AM393" s="1078"/>
      <c r="AN393" s="1078"/>
      <c r="AO393" s="1078"/>
      <c r="AP393" s="1078"/>
      <c r="AQ393" s="1078"/>
      <c r="AR393" s="1078"/>
      <c r="AS393" s="1078"/>
      <c r="AT393" s="1078"/>
      <c r="AU393" s="924"/>
      <c r="AV393" s="1056"/>
      <c r="AW393" s="1080"/>
      <c r="AX393" s="916"/>
      <c r="AY393" s="1073"/>
      <c r="AZ393" s="916"/>
      <c r="BA393" s="916"/>
      <c r="BB393" s="916"/>
      <c r="BC393" s="916"/>
      <c r="BD393" s="916"/>
      <c r="BF393" s="724"/>
    </row>
    <row r="394" ht="14.25" customHeight="1">
      <c r="A394" s="724"/>
      <c r="B394" s="917"/>
      <c r="C394" s="724"/>
      <c r="D394" s="1081"/>
      <c r="E394" s="1082"/>
      <c r="F394" s="1081"/>
      <c r="G394" s="1083"/>
      <c r="H394" s="1082"/>
      <c r="I394" s="1082"/>
      <c r="J394" s="1081"/>
      <c r="K394" s="1081"/>
      <c r="L394" s="1084"/>
      <c r="M394" s="1084"/>
      <c r="N394" s="1084"/>
      <c r="O394" s="1084"/>
      <c r="P394" s="1084"/>
      <c r="Q394" s="1084"/>
      <c r="R394" s="1084"/>
      <c r="S394" s="1084"/>
      <c r="T394" s="1084"/>
      <c r="U394" s="1084"/>
      <c r="V394" s="1085"/>
      <c r="W394" s="1086"/>
      <c r="X394" s="1087"/>
      <c r="Y394" s="1087"/>
      <c r="Z394" s="1087"/>
      <c r="AA394" s="1087"/>
      <c r="AB394" s="1087"/>
      <c r="AC394" s="1087"/>
      <c r="AD394" s="1087"/>
      <c r="AE394" s="1087"/>
      <c r="AF394" s="1087"/>
      <c r="AG394" s="1087"/>
      <c r="AH394" s="1085"/>
      <c r="AI394" s="1081"/>
      <c r="AJ394" s="1084"/>
      <c r="AK394" s="1084"/>
      <c r="AL394" s="1084"/>
      <c r="AM394" s="1084"/>
      <c r="AN394" s="1084"/>
      <c r="AO394" s="1084"/>
      <c r="AP394" s="1084"/>
      <c r="AQ394" s="1084"/>
      <c r="AR394" s="1084"/>
      <c r="AS394" s="1084"/>
      <c r="AT394" s="1084"/>
      <c r="AU394" s="1088"/>
      <c r="AV394" s="1089"/>
      <c r="AW394" s="1090"/>
      <c r="AX394" s="916"/>
      <c r="AY394" s="1091"/>
      <c r="AZ394" s="916"/>
      <c r="BA394" s="916"/>
      <c r="BB394" s="916"/>
      <c r="BC394" s="916"/>
      <c r="BD394" s="916"/>
      <c r="BF394" s="724"/>
    </row>
    <row r="395" ht="14.25" customHeight="1">
      <c r="A395" s="916"/>
      <c r="B395" s="917"/>
      <c r="C395" s="916"/>
      <c r="D395" s="1092"/>
      <c r="E395" s="1093"/>
      <c r="F395" s="1092"/>
      <c r="G395" s="1094"/>
      <c r="H395" s="1093"/>
      <c r="I395" s="1093"/>
      <c r="J395" s="1092"/>
      <c r="K395" s="1092"/>
      <c r="L395" s="926"/>
      <c r="M395" s="926"/>
      <c r="N395" s="916"/>
      <c r="O395" s="916"/>
      <c r="P395" s="916"/>
      <c r="Q395" s="916"/>
      <c r="R395" s="916"/>
      <c r="S395" s="916"/>
      <c r="T395" s="916"/>
      <c r="U395" s="916"/>
      <c r="V395" s="1094"/>
      <c r="W395" s="1092"/>
      <c r="X395" s="916"/>
      <c r="Y395" s="916"/>
      <c r="Z395" s="916"/>
      <c r="AA395" s="916"/>
      <c r="AB395" s="916"/>
      <c r="AC395" s="916"/>
      <c r="AD395" s="916"/>
      <c r="AE395" s="916"/>
      <c r="AF395" s="916"/>
      <c r="AG395" s="916"/>
      <c r="AH395" s="1094"/>
      <c r="AI395" s="1014"/>
      <c r="AJ395" s="951"/>
      <c r="AK395" s="951"/>
      <c r="AL395" s="951"/>
      <c r="AM395" s="951"/>
      <c r="AN395" s="951"/>
      <c r="AO395" s="951"/>
      <c r="AP395" s="951"/>
      <c r="AQ395" s="951"/>
      <c r="AR395" s="951"/>
      <c r="AS395" s="951"/>
      <c r="AT395" s="951"/>
      <c r="AU395" s="916"/>
      <c r="AV395" s="1056"/>
      <c r="AW395" s="1057"/>
      <c r="AX395" s="916"/>
      <c r="AY395" s="1091"/>
      <c r="AZ395" s="916"/>
      <c r="BA395" s="916"/>
      <c r="BB395" s="916"/>
      <c r="BC395" s="916"/>
      <c r="BD395" s="916"/>
      <c r="BF395" s="916"/>
    </row>
    <row r="396" ht="14.25" customHeight="1">
      <c r="A396" s="916"/>
      <c r="B396" s="917" t="s">
        <v>953</v>
      </c>
      <c r="C396" s="916"/>
      <c r="D396" s="1012">
        <v>1.0</v>
      </c>
      <c r="E396" s="1093"/>
      <c r="F396" s="996" t="s">
        <v>954</v>
      </c>
      <c r="G396" s="1095"/>
      <c r="H396" s="1093"/>
      <c r="I396" s="1093"/>
      <c r="J396" s="1092"/>
      <c r="K396" s="1092"/>
      <c r="L396" s="926"/>
      <c r="M396" s="916"/>
      <c r="N396" s="916"/>
      <c r="O396" s="916"/>
      <c r="P396" s="916"/>
      <c r="Q396" s="916"/>
      <c r="R396" s="916"/>
      <c r="S396" s="916"/>
      <c r="T396" s="916"/>
      <c r="U396" s="916"/>
      <c r="V396" s="1094"/>
      <c r="W396" s="1092"/>
      <c r="X396" s="916"/>
      <c r="Y396" s="916"/>
      <c r="Z396" s="916"/>
      <c r="AA396" s="916"/>
      <c r="AB396" s="916"/>
      <c r="AC396" s="916"/>
      <c r="AD396" s="916"/>
      <c r="AE396" s="916"/>
      <c r="AF396" s="916"/>
      <c r="AG396" s="916"/>
      <c r="AH396" s="1094"/>
      <c r="AI396" s="1014"/>
      <c r="AJ396" s="951"/>
      <c r="AK396" s="951"/>
      <c r="AL396" s="951"/>
      <c r="AM396" s="951"/>
      <c r="AN396" s="951"/>
      <c r="AO396" s="951"/>
      <c r="AP396" s="951"/>
      <c r="AQ396" s="951"/>
      <c r="AR396" s="951"/>
      <c r="AS396" s="951"/>
      <c r="AT396" s="951"/>
      <c r="AU396" s="916"/>
      <c r="AV396" s="1056"/>
      <c r="AW396" s="1057"/>
      <c r="AX396" s="916"/>
      <c r="AY396" s="1091"/>
      <c r="AZ396" s="916"/>
      <c r="BA396" s="916"/>
      <c r="BB396" s="916"/>
      <c r="BC396" s="916"/>
      <c r="BD396" s="916"/>
      <c r="BF396" s="916"/>
    </row>
    <row r="397" ht="14.25" customHeight="1">
      <c r="A397" s="916"/>
      <c r="B397" s="917"/>
      <c r="C397" s="916"/>
      <c r="D397" s="1012">
        <v>2.0</v>
      </c>
      <c r="E397" s="1093"/>
      <c r="F397" s="996" t="s">
        <v>214</v>
      </c>
      <c r="G397" s="1095"/>
      <c r="H397" s="1093"/>
      <c r="I397" s="1093"/>
      <c r="J397" s="1092"/>
      <c r="K397" s="1092"/>
      <c r="L397" s="926"/>
      <c r="M397" s="916"/>
      <c r="N397" s="916"/>
      <c r="O397" s="916"/>
      <c r="P397" s="916"/>
      <c r="Q397" s="916"/>
      <c r="R397" s="916"/>
      <c r="S397" s="916"/>
      <c r="T397" s="916"/>
      <c r="U397" s="916"/>
      <c r="V397" s="1094"/>
      <c r="W397" s="1092"/>
      <c r="X397" s="916"/>
      <c r="Y397" s="916"/>
      <c r="Z397" s="916"/>
      <c r="AA397" s="916"/>
      <c r="AB397" s="916"/>
      <c r="AC397" s="916"/>
      <c r="AD397" s="916"/>
      <c r="AE397" s="916"/>
      <c r="AF397" s="916"/>
      <c r="AG397" s="916"/>
      <c r="AH397" s="1094"/>
      <c r="AI397" s="1014"/>
      <c r="AJ397" s="951"/>
      <c r="AK397" s="951"/>
      <c r="AL397" s="951"/>
      <c r="AM397" s="951"/>
      <c r="AN397" s="951"/>
      <c r="AO397" s="951"/>
      <c r="AP397" s="951"/>
      <c r="AQ397" s="951"/>
      <c r="AR397" s="951"/>
      <c r="AS397" s="951"/>
      <c r="AT397" s="951"/>
      <c r="AU397" s="916"/>
      <c r="AV397" s="1056"/>
      <c r="AW397" s="1057"/>
      <c r="AX397" s="916"/>
      <c r="AY397" s="1091"/>
      <c r="AZ397" s="916"/>
      <c r="BA397" s="916"/>
      <c r="BB397" s="916"/>
      <c r="BC397" s="916"/>
      <c r="BD397" s="916"/>
      <c r="BF397" s="916"/>
    </row>
    <row r="398" ht="14.25" customHeight="1">
      <c r="A398" s="916"/>
      <c r="B398" s="917"/>
      <c r="C398" s="916"/>
      <c r="D398" s="1012" t="s">
        <v>229</v>
      </c>
      <c r="E398" s="1093"/>
      <c r="F398" s="917" t="s">
        <v>955</v>
      </c>
      <c r="G398" s="1094"/>
      <c r="H398" s="1093"/>
      <c r="I398" s="1093"/>
      <c r="J398" s="1092"/>
      <c r="K398" s="1092"/>
      <c r="L398" s="916"/>
      <c r="M398" s="916"/>
      <c r="N398" s="916"/>
      <c r="O398" s="916"/>
      <c r="P398" s="916"/>
      <c r="Q398" s="916"/>
      <c r="R398" s="916"/>
      <c r="S398" s="916"/>
      <c r="T398" s="916"/>
      <c r="U398" s="916"/>
      <c r="V398" s="1094"/>
      <c r="W398" s="1092"/>
      <c r="X398" s="916"/>
      <c r="Y398" s="916"/>
      <c r="Z398" s="916"/>
      <c r="AA398" s="916"/>
      <c r="AB398" s="916"/>
      <c r="AC398" s="916"/>
      <c r="AD398" s="916"/>
      <c r="AE398" s="916"/>
      <c r="AF398" s="916"/>
      <c r="AG398" s="916"/>
      <c r="AH398" s="1094"/>
      <c r="AI398" s="1014"/>
      <c r="AJ398" s="951"/>
      <c r="AK398" s="951"/>
      <c r="AL398" s="951"/>
      <c r="AM398" s="951"/>
      <c r="AN398" s="951"/>
      <c r="AO398" s="951"/>
      <c r="AP398" s="951"/>
      <c r="AQ398" s="951"/>
      <c r="AR398" s="951"/>
      <c r="AS398" s="951"/>
      <c r="AT398" s="951"/>
      <c r="AU398" s="916"/>
      <c r="AV398" s="1056"/>
      <c r="AW398" s="1057"/>
      <c r="AX398" s="916"/>
      <c r="AY398" s="1091"/>
      <c r="AZ398" s="916"/>
      <c r="BA398" s="916"/>
      <c r="BB398" s="916"/>
      <c r="BC398" s="916"/>
      <c r="BD398" s="916"/>
      <c r="BF398" s="916"/>
    </row>
    <row r="399" ht="14.25" customHeight="1">
      <c r="A399" s="916"/>
      <c r="B399" s="917"/>
      <c r="C399" s="916"/>
      <c r="D399" s="1012" t="s">
        <v>229</v>
      </c>
      <c r="E399" s="1093"/>
      <c r="F399" s="1026"/>
      <c r="G399" s="1094"/>
      <c r="H399" s="1093"/>
      <c r="I399" s="1093"/>
      <c r="J399" s="1092"/>
      <c r="K399" s="1092"/>
      <c r="L399" s="916"/>
      <c r="M399" s="916"/>
      <c r="N399" s="916"/>
      <c r="O399" s="916"/>
      <c r="P399" s="916"/>
      <c r="Q399" s="916"/>
      <c r="R399" s="916"/>
      <c r="S399" s="916"/>
      <c r="T399" s="916"/>
      <c r="U399" s="916"/>
      <c r="V399" s="1094"/>
      <c r="W399" s="1092"/>
      <c r="X399" s="916"/>
      <c r="Y399" s="916"/>
      <c r="Z399" s="916"/>
      <c r="AA399" s="916"/>
      <c r="AB399" s="916"/>
      <c r="AC399" s="916"/>
      <c r="AD399" s="916"/>
      <c r="AE399" s="916"/>
      <c r="AF399" s="916"/>
      <c r="AG399" s="916"/>
      <c r="AH399" s="1094"/>
      <c r="AI399" s="1014"/>
      <c r="AJ399" s="951"/>
      <c r="AK399" s="951"/>
      <c r="AL399" s="951"/>
      <c r="AM399" s="951"/>
      <c r="AN399" s="951"/>
      <c r="AO399" s="951"/>
      <c r="AP399" s="951"/>
      <c r="AQ399" s="951"/>
      <c r="AR399" s="951"/>
      <c r="AS399" s="951"/>
      <c r="AT399" s="951"/>
      <c r="AU399" s="916"/>
      <c r="AV399" s="1056"/>
      <c r="AW399" s="1057"/>
      <c r="AX399" s="916"/>
      <c r="AY399" s="1091"/>
      <c r="AZ399" s="916"/>
      <c r="BA399" s="916"/>
      <c r="BB399" s="916"/>
      <c r="BC399" s="916"/>
      <c r="BD399" s="916"/>
      <c r="BF399" s="916"/>
    </row>
    <row r="400" ht="14.25" customHeight="1">
      <c r="A400" s="916"/>
      <c r="B400" s="917"/>
      <c r="C400" s="916"/>
      <c r="D400" s="1012" t="s">
        <v>229</v>
      </c>
      <c r="E400" s="1093"/>
      <c r="F400" s="1026"/>
      <c r="G400" s="1094"/>
      <c r="H400" s="1093"/>
      <c r="I400" s="1093"/>
      <c r="J400" s="1092"/>
      <c r="K400" s="1092"/>
      <c r="L400" s="916"/>
      <c r="M400" s="916"/>
      <c r="N400" s="916"/>
      <c r="O400" s="916"/>
      <c r="P400" s="916"/>
      <c r="Q400" s="916"/>
      <c r="R400" s="916"/>
      <c r="S400" s="916"/>
      <c r="T400" s="916"/>
      <c r="U400" s="916"/>
      <c r="V400" s="1094"/>
      <c r="W400" s="1092"/>
      <c r="X400" s="916"/>
      <c r="Y400" s="916"/>
      <c r="Z400" s="916"/>
      <c r="AA400" s="916"/>
      <c r="AB400" s="916"/>
      <c r="AC400" s="916"/>
      <c r="AD400" s="916"/>
      <c r="AE400" s="916"/>
      <c r="AF400" s="916"/>
      <c r="AG400" s="916"/>
      <c r="AH400" s="1094"/>
      <c r="AI400" s="1014"/>
      <c r="AJ400" s="951"/>
      <c r="AK400" s="951"/>
      <c r="AL400" s="951"/>
      <c r="AM400" s="951"/>
      <c r="AN400" s="951"/>
      <c r="AO400" s="951"/>
      <c r="AP400" s="951"/>
      <c r="AQ400" s="951"/>
      <c r="AR400" s="951"/>
      <c r="AS400" s="951"/>
      <c r="AT400" s="951"/>
      <c r="AU400" s="916"/>
      <c r="AV400" s="1056"/>
      <c r="AW400" s="1057"/>
      <c r="AX400" s="916"/>
      <c r="AY400" s="1091"/>
      <c r="AZ400" s="916"/>
      <c r="BA400" s="916"/>
      <c r="BB400" s="916"/>
      <c r="BC400" s="916"/>
      <c r="BD400" s="916"/>
      <c r="BF400" s="916"/>
    </row>
    <row r="401" ht="14.25" customHeight="1">
      <c r="A401" s="916"/>
      <c r="B401" s="917"/>
      <c r="C401" s="916"/>
      <c r="D401" s="1012" t="s">
        <v>229</v>
      </c>
      <c r="E401" s="1093"/>
      <c r="F401" s="1026"/>
      <c r="G401" s="1094"/>
      <c r="H401" s="1093"/>
      <c r="I401" s="1093"/>
      <c r="J401" s="1092"/>
      <c r="K401" s="1092"/>
      <c r="L401" s="916"/>
      <c r="M401" s="916"/>
      <c r="N401" s="916"/>
      <c r="O401" s="916"/>
      <c r="P401" s="916"/>
      <c r="Q401" s="916"/>
      <c r="R401" s="916"/>
      <c r="S401" s="916"/>
      <c r="T401" s="916"/>
      <c r="U401" s="916"/>
      <c r="V401" s="1094"/>
      <c r="W401" s="1092"/>
      <c r="X401" s="916"/>
      <c r="Y401" s="916"/>
      <c r="Z401" s="916"/>
      <c r="AA401" s="916"/>
      <c r="AB401" s="916"/>
      <c r="AC401" s="916"/>
      <c r="AD401" s="916"/>
      <c r="AE401" s="916"/>
      <c r="AF401" s="916"/>
      <c r="AG401" s="916"/>
      <c r="AH401" s="1094"/>
      <c r="AI401" s="1014"/>
      <c r="AJ401" s="951"/>
      <c r="AK401" s="951"/>
      <c r="AL401" s="951"/>
      <c r="AM401" s="951"/>
      <c r="AN401" s="951"/>
      <c r="AO401" s="951"/>
      <c r="AP401" s="951"/>
      <c r="AQ401" s="951"/>
      <c r="AR401" s="951"/>
      <c r="AS401" s="951"/>
      <c r="AT401" s="951"/>
      <c r="AU401" s="916"/>
      <c r="AV401" s="1056"/>
      <c r="AW401" s="1057"/>
      <c r="AX401" s="916"/>
      <c r="AY401" s="1091"/>
      <c r="AZ401" s="916"/>
      <c r="BA401" s="916"/>
      <c r="BB401" s="916"/>
      <c r="BC401" s="916"/>
      <c r="BD401" s="916"/>
      <c r="BF401" s="916"/>
    </row>
    <row r="402" ht="14.25" customHeight="1">
      <c r="A402" s="916"/>
      <c r="B402" s="917"/>
      <c r="C402" s="916"/>
      <c r="D402" s="1012">
        <v>30.0</v>
      </c>
      <c r="E402" s="1093"/>
      <c r="F402" s="1026"/>
      <c r="G402" s="1094"/>
      <c r="H402" s="1093"/>
      <c r="I402" s="1093"/>
      <c r="J402" s="1092"/>
      <c r="K402" s="1092"/>
      <c r="L402" s="916"/>
      <c r="M402" s="916"/>
      <c r="N402" s="916"/>
      <c r="O402" s="916"/>
      <c r="P402" s="916"/>
      <c r="Q402" s="916"/>
      <c r="R402" s="916"/>
      <c r="S402" s="916"/>
      <c r="T402" s="916"/>
      <c r="U402" s="916"/>
      <c r="V402" s="1094"/>
      <c r="W402" s="1092"/>
      <c r="X402" s="916"/>
      <c r="Y402" s="916"/>
      <c r="Z402" s="916"/>
      <c r="AA402" s="916"/>
      <c r="AB402" s="916"/>
      <c r="AC402" s="916"/>
      <c r="AD402" s="916"/>
      <c r="AE402" s="916"/>
      <c r="AF402" s="916"/>
      <c r="AG402" s="916"/>
      <c r="AH402" s="1094"/>
      <c r="AI402" s="1014"/>
      <c r="AJ402" s="951"/>
      <c r="AK402" s="951"/>
      <c r="AL402" s="951"/>
      <c r="AM402" s="951"/>
      <c r="AN402" s="951"/>
      <c r="AO402" s="951"/>
      <c r="AP402" s="951"/>
      <c r="AQ402" s="951"/>
      <c r="AR402" s="951"/>
      <c r="AS402" s="951"/>
      <c r="AT402" s="951"/>
      <c r="AU402" s="916"/>
      <c r="AV402" s="1056"/>
      <c r="AW402" s="1057"/>
      <c r="AX402" s="916"/>
      <c r="AY402" s="1091"/>
      <c r="AZ402" s="916"/>
      <c r="BA402" s="916"/>
      <c r="BB402" s="916"/>
      <c r="BC402" s="916"/>
      <c r="BD402" s="916"/>
      <c r="BF402" s="916"/>
    </row>
    <row r="403" ht="14.25" customHeight="1">
      <c r="A403" s="916"/>
      <c r="B403" s="917"/>
      <c r="C403" s="916"/>
      <c r="D403" s="1034"/>
      <c r="E403" s="1096"/>
      <c r="F403" s="1034"/>
      <c r="G403" s="971"/>
      <c r="H403" s="1096"/>
      <c r="I403" s="1096"/>
      <c r="J403" s="1034"/>
      <c r="K403" s="1034"/>
      <c r="L403" s="920"/>
      <c r="M403" s="920"/>
      <c r="N403" s="920"/>
      <c r="O403" s="920"/>
      <c r="P403" s="920"/>
      <c r="Q403" s="920"/>
      <c r="R403" s="920"/>
      <c r="S403" s="920"/>
      <c r="T403" s="920"/>
      <c r="U403" s="920"/>
      <c r="V403" s="971"/>
      <c r="W403" s="1034"/>
      <c r="X403" s="920"/>
      <c r="Y403" s="920"/>
      <c r="Z403" s="920"/>
      <c r="AA403" s="920"/>
      <c r="AB403" s="920"/>
      <c r="AC403" s="920"/>
      <c r="AD403" s="920"/>
      <c r="AE403" s="920"/>
      <c r="AF403" s="920"/>
      <c r="AG403" s="920"/>
      <c r="AH403" s="971"/>
      <c r="AI403" s="970"/>
      <c r="AJ403" s="1097"/>
      <c r="AK403" s="1097"/>
      <c r="AL403" s="1097"/>
      <c r="AM403" s="1097"/>
      <c r="AN403" s="1097"/>
      <c r="AO403" s="1097"/>
      <c r="AP403" s="1097"/>
      <c r="AQ403" s="1097"/>
      <c r="AR403" s="1097"/>
      <c r="AS403" s="1097"/>
      <c r="AT403" s="1097"/>
      <c r="AU403" s="920"/>
      <c r="AV403" s="1098"/>
      <c r="AW403" s="1099"/>
      <c r="AX403" s="916"/>
      <c r="AY403" s="1091"/>
      <c r="AZ403" s="916"/>
      <c r="BA403" s="916"/>
      <c r="BB403" s="916"/>
      <c r="BC403" s="916"/>
      <c r="BD403" s="916"/>
      <c r="BF403" s="916"/>
    </row>
    <row r="404" ht="14.25" customHeight="1">
      <c r="A404" s="916"/>
      <c r="B404" s="938"/>
      <c r="C404" s="920"/>
      <c r="D404" s="920"/>
      <c r="E404" s="920"/>
      <c r="F404" s="920"/>
      <c r="G404" s="920"/>
      <c r="H404" s="920"/>
      <c r="I404" s="920"/>
      <c r="J404" s="920"/>
      <c r="K404" s="920"/>
      <c r="L404" s="920"/>
      <c r="M404" s="920"/>
      <c r="N404" s="920"/>
      <c r="O404" s="920"/>
      <c r="P404" s="920"/>
      <c r="Q404" s="920"/>
      <c r="R404" s="920"/>
      <c r="S404" s="920"/>
      <c r="T404" s="920"/>
      <c r="U404" s="920"/>
      <c r="V404" s="920"/>
      <c r="W404" s="920"/>
      <c r="X404" s="920"/>
      <c r="Y404" s="920"/>
      <c r="Z404" s="920"/>
      <c r="AA404" s="920"/>
      <c r="AB404" s="920"/>
      <c r="AC404" s="920"/>
      <c r="AD404" s="920"/>
      <c r="AE404" s="920"/>
      <c r="AF404" s="920"/>
      <c r="AG404" s="920"/>
      <c r="AH404" s="920"/>
      <c r="AI404" s="920"/>
      <c r="AJ404" s="920"/>
      <c r="AK404" s="920"/>
      <c r="AL404" s="920"/>
      <c r="AM404" s="920"/>
      <c r="AN404" s="920"/>
      <c r="AO404" s="920"/>
      <c r="AP404" s="920"/>
      <c r="AQ404" s="920"/>
      <c r="AR404" s="920"/>
      <c r="AS404" s="920"/>
      <c r="AT404" s="920"/>
      <c r="AU404" s="920"/>
      <c r="AV404" s="920"/>
      <c r="AW404" s="920"/>
      <c r="AX404" s="920"/>
      <c r="AY404" s="920"/>
      <c r="AZ404" s="920"/>
      <c r="BA404" s="920"/>
      <c r="BB404" s="920"/>
      <c r="BC404" s="920"/>
      <c r="BD404" s="920"/>
      <c r="BE404" s="920"/>
    </row>
    <row r="405" ht="14.25" customHeight="1">
      <c r="A405" s="916"/>
      <c r="B405" s="917"/>
      <c r="C405" s="916"/>
      <c r="D405" s="916"/>
      <c r="E405" s="916"/>
      <c r="F405" s="916"/>
      <c r="G405" s="916"/>
      <c r="H405" s="916"/>
      <c r="I405" s="916"/>
      <c r="J405" s="916"/>
      <c r="K405" s="916"/>
      <c r="L405" s="916"/>
      <c r="M405" s="916"/>
      <c r="N405" s="916"/>
      <c r="O405" s="916"/>
      <c r="P405" s="916"/>
      <c r="Q405" s="916"/>
      <c r="R405" s="916"/>
      <c r="S405" s="916"/>
      <c r="T405" s="916"/>
      <c r="U405" s="916"/>
      <c r="V405" s="916"/>
      <c r="W405" s="916"/>
      <c r="X405" s="916"/>
      <c r="Y405" s="916"/>
      <c r="Z405" s="916"/>
      <c r="AA405" s="916"/>
      <c r="AB405" s="916"/>
      <c r="AC405" s="916"/>
      <c r="AD405" s="916"/>
      <c r="AE405" s="916"/>
      <c r="AF405" s="916"/>
      <c r="AG405" s="916"/>
      <c r="AH405" s="916"/>
      <c r="AI405" s="916"/>
      <c r="AJ405" s="916"/>
      <c r="AK405" s="916"/>
      <c r="AL405" s="916"/>
      <c r="AM405" s="916"/>
      <c r="AN405" s="916"/>
      <c r="AO405" s="916"/>
      <c r="AP405" s="916"/>
      <c r="AQ405" s="916"/>
      <c r="AR405" s="916"/>
      <c r="AS405" s="916"/>
      <c r="AT405" s="916"/>
      <c r="AU405" s="916"/>
      <c r="AV405" s="916"/>
      <c r="AW405" s="916"/>
      <c r="AX405" s="916"/>
      <c r="AY405" s="916"/>
      <c r="AZ405" s="916"/>
      <c r="BA405" s="916"/>
      <c r="BB405" s="916"/>
      <c r="BC405" s="916"/>
      <c r="BD405" s="916"/>
      <c r="BE405" s="916"/>
    </row>
    <row r="406" ht="14.25" customHeight="1">
      <c r="A406" s="916"/>
      <c r="B406" s="917"/>
      <c r="C406" s="935" t="s">
        <v>230</v>
      </c>
      <c r="D406" s="921" t="s">
        <v>231</v>
      </c>
      <c r="E406" s="916"/>
      <c r="F406" s="916"/>
      <c r="G406" s="916"/>
      <c r="H406" s="916"/>
      <c r="I406" s="916"/>
      <c r="J406" s="916"/>
      <c r="K406" s="916"/>
      <c r="L406" s="916"/>
      <c r="M406" s="916"/>
      <c r="N406" s="916"/>
      <c r="O406" s="916"/>
      <c r="P406" s="916"/>
      <c r="Q406" s="916"/>
      <c r="R406" s="916"/>
      <c r="S406" s="916"/>
      <c r="T406" s="916"/>
      <c r="U406" s="916"/>
      <c r="V406" s="916"/>
      <c r="W406" s="916"/>
      <c r="X406" s="916"/>
      <c r="Y406" s="916"/>
      <c r="Z406" s="916"/>
      <c r="AA406" s="916"/>
      <c r="AB406" s="916"/>
      <c r="AC406" s="916"/>
      <c r="AD406" s="916"/>
      <c r="AE406" s="916"/>
      <c r="AF406" s="916"/>
      <c r="AG406" s="916"/>
      <c r="AH406" s="916"/>
      <c r="AI406" s="916"/>
      <c r="AJ406" s="916"/>
      <c r="AK406" s="916"/>
      <c r="AL406" s="916"/>
      <c r="AM406" s="916"/>
      <c r="AN406" s="916"/>
      <c r="AO406" s="916"/>
      <c r="AP406" s="916"/>
      <c r="AQ406" s="916"/>
      <c r="AR406" s="916"/>
      <c r="AS406" s="916"/>
      <c r="AT406" s="916"/>
      <c r="AU406" s="916"/>
      <c r="AV406" s="916"/>
      <c r="AW406" s="916"/>
      <c r="AX406" s="916"/>
      <c r="AY406" s="916"/>
      <c r="AZ406" s="916"/>
      <c r="BA406" s="916"/>
      <c r="BB406" s="916"/>
      <c r="BC406" s="916"/>
      <c r="BD406" s="916"/>
      <c r="BE406" s="916"/>
    </row>
    <row r="407" ht="14.25" customHeight="1">
      <c r="A407" s="916"/>
      <c r="B407" s="917"/>
      <c r="C407" s="935"/>
      <c r="D407" s="921"/>
      <c r="E407" s="916"/>
      <c r="F407" s="916"/>
      <c r="G407" s="916"/>
      <c r="H407" s="916"/>
      <c r="I407" s="916"/>
      <c r="J407" s="916"/>
      <c r="K407" s="916"/>
      <c r="L407" s="916"/>
      <c r="M407" s="916"/>
      <c r="N407" s="916"/>
      <c r="O407" s="916"/>
      <c r="P407" s="916"/>
      <c r="Q407" s="916"/>
      <c r="R407" s="916"/>
      <c r="S407" s="916"/>
      <c r="T407" s="916"/>
      <c r="U407" s="916"/>
      <c r="V407" s="916"/>
      <c r="W407" s="916"/>
      <c r="X407" s="916"/>
      <c r="Y407" s="916"/>
      <c r="Z407" s="916"/>
      <c r="AA407" s="916"/>
      <c r="AB407" s="916"/>
      <c r="AC407" s="916"/>
      <c r="AD407" s="916"/>
      <c r="AE407" s="916"/>
      <c r="AF407" s="916"/>
      <c r="AG407" s="916"/>
      <c r="AH407" s="916"/>
      <c r="AI407" s="916"/>
      <c r="AJ407" s="916"/>
      <c r="AK407" s="916"/>
      <c r="AL407" s="916"/>
      <c r="AM407" s="916"/>
      <c r="AN407" s="916"/>
      <c r="AO407" s="916"/>
      <c r="AP407" s="916"/>
      <c r="AQ407" s="916"/>
      <c r="AR407" s="916"/>
      <c r="AS407" s="916"/>
      <c r="AT407" s="916"/>
      <c r="AU407" s="916"/>
      <c r="AV407" s="916"/>
      <c r="AW407" s="916"/>
      <c r="AX407" s="916"/>
      <c r="AY407" s="916"/>
      <c r="AZ407" s="916"/>
      <c r="BA407" s="916"/>
      <c r="BB407" s="916"/>
      <c r="BC407" s="916"/>
      <c r="BD407" s="916"/>
      <c r="BE407" s="916"/>
    </row>
    <row r="408" ht="14.25" customHeight="1">
      <c r="A408" s="916"/>
      <c r="B408" s="917"/>
      <c r="C408" s="916"/>
      <c r="D408" s="724" t="s">
        <v>232</v>
      </c>
      <c r="E408" s="916"/>
      <c r="F408" s="916"/>
      <c r="G408" s="916"/>
      <c r="H408" s="916"/>
      <c r="I408" s="916"/>
      <c r="J408" s="916"/>
      <c r="K408" s="916"/>
      <c r="L408" s="916"/>
      <c r="M408" s="916"/>
      <c r="N408" s="916"/>
      <c r="O408" s="916"/>
      <c r="P408" s="916"/>
      <c r="Q408" s="916"/>
      <c r="R408" s="916"/>
      <c r="S408" s="916"/>
      <c r="T408" s="916"/>
      <c r="U408" s="916"/>
      <c r="V408" s="916"/>
      <c r="W408" s="916"/>
      <c r="X408" s="916"/>
      <c r="Y408" s="916"/>
      <c r="Z408" s="916"/>
      <c r="AA408" s="916"/>
      <c r="AB408" s="916"/>
      <c r="AE408" s="916"/>
      <c r="AF408" s="916"/>
      <c r="AG408" s="916"/>
      <c r="AH408" s="916"/>
      <c r="AI408" s="916"/>
      <c r="AJ408" s="916"/>
      <c r="AK408" s="916"/>
      <c r="AL408" s="916"/>
      <c r="AM408" s="916"/>
      <c r="AN408" s="916"/>
      <c r="AO408" s="916"/>
      <c r="AP408" s="916"/>
      <c r="AQ408" s="916"/>
      <c r="AR408" s="916"/>
      <c r="AS408" s="916"/>
      <c r="AT408" s="916"/>
      <c r="AU408" s="916"/>
      <c r="AV408" s="916"/>
      <c r="AW408" s="916"/>
      <c r="AX408" s="916"/>
      <c r="AY408" s="916"/>
      <c r="AZ408" s="916"/>
      <c r="BA408" s="916"/>
      <c r="BB408" s="916"/>
      <c r="BC408" s="916"/>
      <c r="BD408" s="916"/>
      <c r="BE408" s="916"/>
    </row>
    <row r="409" ht="14.25" customHeight="1">
      <c r="A409" s="916"/>
      <c r="B409" s="917" t="s">
        <v>956</v>
      </c>
      <c r="C409" s="948" t="s">
        <v>769</v>
      </c>
      <c r="D409" s="1100" t="s">
        <v>234</v>
      </c>
      <c r="E409" s="916"/>
      <c r="F409" s="916"/>
      <c r="G409" s="916"/>
      <c r="I409" s="724" t="s">
        <v>235</v>
      </c>
      <c r="J409" s="916"/>
      <c r="K409" s="916"/>
      <c r="L409" s="916"/>
      <c r="M409" s="916"/>
      <c r="N409" s="916"/>
      <c r="O409" s="916"/>
      <c r="P409" s="916"/>
      <c r="Q409" s="916"/>
      <c r="R409" s="916"/>
      <c r="S409" s="916"/>
      <c r="T409" s="916"/>
      <c r="U409" s="916"/>
      <c r="V409" s="916"/>
      <c r="W409" s="916"/>
      <c r="AA409" s="916"/>
      <c r="AB409" s="916"/>
      <c r="AE409" s="916"/>
      <c r="AF409" s="916"/>
      <c r="AG409" s="916"/>
      <c r="AH409" s="916"/>
      <c r="AI409" s="916"/>
      <c r="AJ409" s="916"/>
      <c r="AK409" s="916"/>
      <c r="AL409" s="916"/>
      <c r="AM409" s="916"/>
      <c r="AN409" s="916"/>
      <c r="AO409" s="916"/>
      <c r="AP409" s="916"/>
      <c r="AQ409" s="916"/>
      <c r="AR409" s="916"/>
      <c r="AS409" s="916"/>
      <c r="AT409" s="916"/>
      <c r="AU409" s="916"/>
      <c r="AV409" s="916"/>
      <c r="AW409" s="916"/>
      <c r="AX409" s="916"/>
      <c r="AY409" s="916"/>
      <c r="AZ409" s="916"/>
      <c r="BA409" s="916"/>
      <c r="BB409" s="916"/>
      <c r="BC409" s="916"/>
      <c r="BD409" s="916"/>
      <c r="BE409" s="916"/>
    </row>
    <row r="410" ht="14.25" customHeight="1">
      <c r="A410" s="916"/>
      <c r="B410" s="917"/>
      <c r="C410" s="948" t="s">
        <v>769</v>
      </c>
      <c r="D410" s="916" t="s">
        <v>236</v>
      </c>
      <c r="E410" s="916"/>
      <c r="F410" s="916"/>
      <c r="G410" s="916"/>
      <c r="I410" s="724" t="s">
        <v>237</v>
      </c>
      <c r="J410" s="916"/>
      <c r="K410" s="916"/>
      <c r="L410" s="916"/>
      <c r="M410" s="916"/>
      <c r="N410" s="916"/>
      <c r="O410" s="916"/>
      <c r="P410" s="916"/>
      <c r="Q410" s="916"/>
      <c r="R410" s="916"/>
      <c r="S410" s="916"/>
      <c r="T410" s="916"/>
      <c r="U410" s="916"/>
      <c r="V410" s="916"/>
      <c r="W410" s="916"/>
      <c r="AA410" s="916"/>
      <c r="AB410" s="916"/>
      <c r="AE410" s="916"/>
      <c r="AF410" s="916"/>
      <c r="AG410" s="916"/>
      <c r="AH410" s="916"/>
      <c r="AI410" s="916"/>
      <c r="AJ410" s="916"/>
      <c r="AK410" s="916"/>
      <c r="AL410" s="916"/>
      <c r="AM410" s="916"/>
      <c r="AN410" s="916"/>
      <c r="AO410" s="916"/>
      <c r="AP410" s="916"/>
      <c r="AQ410" s="916"/>
      <c r="AR410" s="916"/>
      <c r="AS410" s="916"/>
      <c r="AT410" s="916"/>
      <c r="AU410" s="916"/>
      <c r="AV410" s="916"/>
      <c r="AW410" s="916"/>
      <c r="AX410" s="916"/>
      <c r="AY410" s="916"/>
      <c r="AZ410" s="916"/>
      <c r="BA410" s="916"/>
      <c r="BB410" s="916"/>
      <c r="BC410" s="916"/>
      <c r="BD410" s="916"/>
      <c r="BE410" s="916"/>
    </row>
    <row r="411" ht="14.25" customHeight="1">
      <c r="A411" s="916"/>
      <c r="B411" s="917"/>
      <c r="C411" s="948" t="s">
        <v>769</v>
      </c>
      <c r="D411" s="916" t="s">
        <v>238</v>
      </c>
      <c r="E411" s="916"/>
      <c r="F411" s="916"/>
      <c r="G411" s="916"/>
      <c r="I411" s="724" t="s">
        <v>239</v>
      </c>
      <c r="J411" s="916"/>
      <c r="K411" s="916"/>
      <c r="L411" s="916"/>
      <c r="M411" s="916"/>
      <c r="N411" s="916"/>
      <c r="O411" s="916"/>
      <c r="P411" s="916"/>
      <c r="Q411" s="916"/>
      <c r="R411" s="916"/>
      <c r="S411" s="916"/>
      <c r="T411" s="916"/>
      <c r="U411" s="916"/>
      <c r="V411" s="916"/>
      <c r="W411" s="916"/>
      <c r="AA411" s="916"/>
      <c r="AB411" s="916"/>
      <c r="AE411" s="916"/>
      <c r="AF411" s="916"/>
      <c r="AG411" s="916"/>
      <c r="AH411" s="916"/>
      <c r="AI411" s="916"/>
      <c r="AJ411" s="916"/>
      <c r="AK411" s="916"/>
      <c r="AL411" s="916"/>
      <c r="AM411" s="916"/>
      <c r="AN411" s="916"/>
      <c r="AO411" s="916"/>
      <c r="AP411" s="916"/>
      <c r="AQ411" s="916"/>
      <c r="AR411" s="916"/>
      <c r="AS411" s="916"/>
      <c r="AT411" s="916"/>
      <c r="AU411" s="916"/>
      <c r="AV411" s="916"/>
      <c r="AW411" s="916"/>
      <c r="AX411" s="916"/>
      <c r="AY411" s="916"/>
      <c r="AZ411" s="916"/>
      <c r="BA411" s="916"/>
      <c r="BB411" s="916"/>
      <c r="BC411" s="916"/>
      <c r="BD411" s="916"/>
      <c r="BE411" s="916"/>
    </row>
    <row r="412" ht="14.25" customHeight="1">
      <c r="A412" s="916"/>
      <c r="B412" s="917"/>
      <c r="C412" s="948" t="s">
        <v>769</v>
      </c>
      <c r="D412" s="916" t="s">
        <v>240</v>
      </c>
      <c r="E412" s="916"/>
      <c r="F412" s="916"/>
      <c r="G412" s="916"/>
      <c r="I412" s="724" t="s">
        <v>241</v>
      </c>
      <c r="J412" s="916"/>
      <c r="K412" s="916"/>
      <c r="L412" s="916"/>
      <c r="M412" s="916"/>
      <c r="N412" s="916"/>
      <c r="O412" s="916"/>
      <c r="P412" s="916"/>
      <c r="Q412" s="916"/>
      <c r="R412" s="916"/>
      <c r="S412" s="916"/>
      <c r="T412" s="916"/>
      <c r="U412" s="916"/>
      <c r="V412" s="916"/>
      <c r="W412" s="916"/>
      <c r="AA412" s="916"/>
      <c r="AB412" s="916"/>
      <c r="AE412" s="916"/>
      <c r="AF412" s="916"/>
      <c r="AG412" s="916"/>
      <c r="AH412" s="916"/>
      <c r="AI412" s="916"/>
      <c r="AJ412" s="916"/>
      <c r="AK412" s="916"/>
      <c r="AL412" s="916"/>
      <c r="AM412" s="916"/>
      <c r="AN412" s="916"/>
      <c r="AO412" s="916"/>
      <c r="AP412" s="916"/>
      <c r="AQ412" s="916"/>
      <c r="AR412" s="916"/>
      <c r="AS412" s="916"/>
      <c r="AT412" s="916"/>
      <c r="AU412" s="916"/>
      <c r="AV412" s="916"/>
      <c r="AW412" s="916"/>
      <c r="AX412" s="916"/>
      <c r="AY412" s="916"/>
      <c r="AZ412" s="916"/>
      <c r="BA412" s="916"/>
      <c r="BB412" s="916"/>
      <c r="BC412" s="916"/>
      <c r="BD412" s="916"/>
      <c r="BE412" s="916"/>
    </row>
    <row r="413" ht="14.25" customHeight="1">
      <c r="A413" s="916"/>
      <c r="B413" s="917"/>
      <c r="C413" s="1101" t="s">
        <v>769</v>
      </c>
      <c r="D413" s="916" t="s">
        <v>242</v>
      </c>
      <c r="E413" s="916"/>
      <c r="F413" s="916"/>
      <c r="G413" s="916"/>
      <c r="I413" s="724" t="s">
        <v>243</v>
      </c>
      <c r="J413" s="916"/>
      <c r="K413" s="916"/>
      <c r="L413" s="916"/>
      <c r="M413" s="916"/>
      <c r="N413" s="916"/>
      <c r="O413" s="916"/>
      <c r="P413" s="916"/>
      <c r="Q413" s="916"/>
      <c r="R413" s="916"/>
      <c r="S413" s="916"/>
      <c r="T413" s="916"/>
      <c r="U413" s="916"/>
      <c r="V413" s="916"/>
      <c r="W413" s="916"/>
      <c r="AA413" s="916"/>
      <c r="AB413" s="916"/>
      <c r="AE413" s="916"/>
      <c r="AF413" s="916"/>
      <c r="AG413" s="916"/>
      <c r="AH413" s="916"/>
      <c r="AI413" s="916"/>
      <c r="AJ413" s="916"/>
      <c r="AK413" s="916"/>
      <c r="AL413" s="916"/>
      <c r="AM413" s="916"/>
      <c r="AN413" s="916"/>
      <c r="AO413" s="916"/>
      <c r="AP413" s="916"/>
      <c r="AQ413" s="916"/>
      <c r="AR413" s="916"/>
      <c r="AS413" s="916"/>
      <c r="AT413" s="916"/>
      <c r="AU413" s="916"/>
      <c r="AV413" s="916"/>
      <c r="AW413" s="916"/>
      <c r="AX413" s="916"/>
      <c r="AY413" s="916"/>
      <c r="AZ413" s="916"/>
      <c r="BA413" s="916"/>
      <c r="BB413" s="916"/>
      <c r="BC413" s="916"/>
      <c r="BD413" s="916"/>
      <c r="BE413" s="916"/>
    </row>
    <row r="414" ht="14.25" customHeight="1">
      <c r="A414" s="916"/>
      <c r="B414" s="917"/>
      <c r="C414" s="948" t="s">
        <v>769</v>
      </c>
      <c r="D414" s="916" t="s">
        <v>244</v>
      </c>
      <c r="E414" s="916"/>
      <c r="F414" s="916"/>
      <c r="G414" s="916"/>
      <c r="I414" s="724" t="s">
        <v>957</v>
      </c>
      <c r="J414" s="916"/>
      <c r="K414" s="916"/>
      <c r="L414" s="916"/>
      <c r="M414" s="916"/>
      <c r="N414" s="916"/>
      <c r="O414" s="916"/>
      <c r="P414" s="916"/>
      <c r="Q414" s="916"/>
      <c r="R414" s="916"/>
      <c r="S414" s="916"/>
      <c r="T414" s="916"/>
      <c r="U414" s="916"/>
      <c r="V414" s="916"/>
      <c r="W414" s="916"/>
      <c r="AA414" s="916"/>
      <c r="AB414" s="916"/>
      <c r="AE414" s="916"/>
      <c r="AF414" s="916"/>
      <c r="AG414" s="916"/>
      <c r="AH414" s="916"/>
      <c r="AI414" s="916"/>
      <c r="AJ414" s="916"/>
      <c r="AK414" s="916"/>
      <c r="AL414" s="916"/>
      <c r="AM414" s="916"/>
      <c r="AN414" s="916"/>
      <c r="AO414" s="916"/>
      <c r="AP414" s="916"/>
      <c r="AQ414" s="916"/>
      <c r="AR414" s="916"/>
      <c r="AS414" s="916"/>
      <c r="AT414" s="916"/>
      <c r="AU414" s="916"/>
      <c r="AV414" s="916"/>
      <c r="AW414" s="916"/>
      <c r="AX414" s="916"/>
      <c r="AY414" s="916"/>
      <c r="AZ414" s="916"/>
      <c r="BA414" s="916"/>
      <c r="BB414" s="916"/>
      <c r="BC414" s="916"/>
      <c r="BD414" s="916"/>
      <c r="BE414" s="916"/>
    </row>
    <row r="415" ht="14.25" customHeight="1">
      <c r="A415" s="916"/>
      <c r="B415" s="917"/>
      <c r="C415" s="948" t="s">
        <v>769</v>
      </c>
      <c r="D415" s="1100" t="s">
        <v>246</v>
      </c>
      <c r="E415" s="916"/>
      <c r="F415" s="916"/>
      <c r="G415" s="916"/>
      <c r="I415" s="724" t="s">
        <v>958</v>
      </c>
      <c r="J415" s="916"/>
      <c r="K415" s="916"/>
      <c r="L415" s="916"/>
      <c r="M415" s="916"/>
      <c r="N415" s="916"/>
      <c r="O415" s="916"/>
      <c r="P415" s="916"/>
      <c r="Q415" s="916"/>
      <c r="R415" s="916"/>
      <c r="S415" s="916"/>
      <c r="T415" s="916"/>
      <c r="U415" s="916"/>
      <c r="V415" s="916"/>
      <c r="W415" s="916"/>
      <c r="AA415" s="916"/>
      <c r="AB415" s="916"/>
      <c r="AE415" s="916"/>
      <c r="AF415" s="916"/>
      <c r="AG415" s="916"/>
      <c r="AH415" s="916"/>
      <c r="AI415" s="916"/>
      <c r="AJ415" s="916"/>
      <c r="AK415" s="916"/>
      <c r="AL415" s="916"/>
      <c r="AM415" s="916"/>
      <c r="AN415" s="916"/>
      <c r="AO415" s="916"/>
      <c r="AP415" s="916"/>
      <c r="AQ415" s="916"/>
      <c r="AR415" s="916"/>
      <c r="AS415" s="916"/>
      <c r="AT415" s="916"/>
      <c r="AU415" s="916"/>
      <c r="AV415" s="916"/>
      <c r="AW415" s="916"/>
      <c r="AX415" s="916"/>
      <c r="AY415" s="916"/>
      <c r="AZ415" s="916"/>
      <c r="BA415" s="916"/>
      <c r="BB415" s="916"/>
      <c r="BC415" s="916"/>
      <c r="BD415" s="916"/>
      <c r="BE415" s="916"/>
    </row>
    <row r="416" ht="14.25" customHeight="1">
      <c r="A416" s="916"/>
      <c r="B416" s="917"/>
      <c r="C416" s="948" t="s">
        <v>769</v>
      </c>
      <c r="D416" s="1100" t="s">
        <v>248</v>
      </c>
      <c r="E416" s="916"/>
      <c r="F416" s="916"/>
      <c r="G416" s="916"/>
      <c r="I416" s="724" t="s">
        <v>959</v>
      </c>
      <c r="J416" s="916"/>
      <c r="K416" s="916"/>
      <c r="L416" s="916"/>
      <c r="M416" s="916"/>
      <c r="N416" s="916"/>
      <c r="O416" s="916"/>
      <c r="P416" s="916"/>
      <c r="Q416" s="916"/>
      <c r="R416" s="916"/>
      <c r="S416" s="916"/>
      <c r="T416" s="916"/>
      <c r="U416" s="916"/>
      <c r="V416" s="916"/>
      <c r="W416" s="916"/>
      <c r="AA416" s="916"/>
      <c r="AB416" s="916"/>
      <c r="AE416" s="916"/>
      <c r="AF416" s="916"/>
      <c r="AG416" s="916"/>
      <c r="AH416" s="916"/>
      <c r="AI416" s="916"/>
      <c r="AJ416" s="916"/>
      <c r="AK416" s="916"/>
      <c r="AL416" s="916"/>
      <c r="AM416" s="916"/>
      <c r="AN416" s="916"/>
      <c r="AO416" s="916"/>
      <c r="AP416" s="916"/>
      <c r="AQ416" s="916"/>
      <c r="AR416" s="916"/>
      <c r="AS416" s="916"/>
      <c r="AT416" s="916"/>
      <c r="AU416" s="916"/>
      <c r="AV416" s="916"/>
      <c r="AW416" s="916"/>
      <c r="AX416" s="916"/>
      <c r="AY416" s="916"/>
      <c r="AZ416" s="916"/>
      <c r="BA416" s="916"/>
      <c r="BB416" s="916"/>
      <c r="BC416" s="916"/>
      <c r="BD416" s="916"/>
      <c r="BE416" s="916"/>
    </row>
    <row r="417" ht="14.25" customHeight="1">
      <c r="A417" s="1102"/>
      <c r="B417" s="1103"/>
      <c r="C417" s="1102"/>
      <c r="D417" s="1102"/>
      <c r="E417" s="1102"/>
      <c r="F417" s="1102"/>
      <c r="G417" s="1102"/>
      <c r="H417" s="1102"/>
      <c r="I417" s="1102"/>
      <c r="J417" s="1102"/>
      <c r="K417" s="1102"/>
      <c r="L417" s="1102"/>
      <c r="M417" s="1102"/>
      <c r="N417" s="1102"/>
      <c r="O417" s="1102"/>
      <c r="P417" s="1102"/>
      <c r="Q417" s="1102"/>
      <c r="R417" s="1102"/>
      <c r="S417" s="1102"/>
      <c r="T417" s="1102"/>
      <c r="U417" s="1102"/>
      <c r="V417" s="1102"/>
      <c r="W417" s="1102"/>
      <c r="X417" s="1102"/>
      <c r="Y417" s="1102"/>
      <c r="Z417" s="1102"/>
      <c r="AA417" s="1102"/>
      <c r="AB417" s="1102"/>
      <c r="AC417" s="1102"/>
      <c r="AD417" s="1102"/>
      <c r="AE417" s="916"/>
      <c r="AF417" s="916"/>
      <c r="AG417" s="916"/>
      <c r="AH417" s="1102"/>
      <c r="AI417" s="1102"/>
      <c r="AJ417" s="1102"/>
      <c r="AK417" s="1102"/>
      <c r="AL417" s="1102"/>
      <c r="AM417" s="1102"/>
      <c r="AN417" s="1102"/>
      <c r="AO417" s="1102"/>
      <c r="AP417" s="1102"/>
      <c r="AQ417" s="1102"/>
      <c r="AR417" s="1102"/>
      <c r="AS417" s="1102"/>
      <c r="AT417" s="1102"/>
      <c r="AU417" s="1102"/>
      <c r="AV417" s="1102"/>
      <c r="AW417" s="1102"/>
      <c r="AX417" s="1102"/>
      <c r="AY417" s="1102"/>
      <c r="AZ417" s="1102"/>
      <c r="BA417" s="1102"/>
      <c r="BB417" s="1102"/>
      <c r="BC417" s="1102"/>
      <c r="BD417" s="1102"/>
      <c r="BE417" s="1102"/>
      <c r="BF417" s="1104"/>
    </row>
    <row r="418" ht="14.25" customHeight="1">
      <c r="A418" s="916"/>
      <c r="B418" s="917"/>
      <c r="C418" s="941"/>
      <c r="D418" s="936" t="s">
        <v>250</v>
      </c>
      <c r="E418" s="916"/>
      <c r="F418" s="916"/>
      <c r="G418" s="916"/>
      <c r="H418" s="916"/>
      <c r="I418" s="916"/>
      <c r="J418" s="936"/>
      <c r="P418" s="916"/>
      <c r="Q418" s="916"/>
      <c r="R418" s="916"/>
      <c r="S418" s="916"/>
      <c r="T418" s="916"/>
      <c r="U418" s="916"/>
      <c r="V418" s="916"/>
      <c r="W418" s="916"/>
      <c r="X418" s="916"/>
      <c r="Y418" s="916"/>
      <c r="Z418" s="916"/>
      <c r="AA418" s="916"/>
      <c r="AB418" s="916"/>
      <c r="AC418" s="916"/>
      <c r="AD418" s="916"/>
      <c r="AE418" s="916"/>
      <c r="AF418" s="916"/>
      <c r="AG418" s="916"/>
      <c r="AH418" s="916"/>
      <c r="AI418" s="916"/>
      <c r="AJ418" s="916"/>
      <c r="AK418" s="916"/>
      <c r="AL418" s="916"/>
      <c r="AM418" s="916"/>
      <c r="AN418" s="916"/>
      <c r="AO418" s="916"/>
      <c r="AP418" s="916"/>
      <c r="AQ418" s="916"/>
      <c r="AR418" s="916"/>
      <c r="AS418" s="916"/>
      <c r="AT418" s="916"/>
      <c r="AU418" s="916"/>
      <c r="AV418" s="916"/>
      <c r="AW418" s="916"/>
      <c r="AX418" s="916"/>
      <c r="AY418" s="916"/>
      <c r="AZ418" s="916"/>
      <c r="BA418" s="916"/>
      <c r="BB418" s="916"/>
      <c r="BC418" s="916"/>
      <c r="BD418" s="916"/>
      <c r="BE418" s="916"/>
      <c r="BF418" s="916"/>
    </row>
    <row r="419" ht="14.25" customHeight="1">
      <c r="A419" s="916"/>
      <c r="B419" s="917" t="s">
        <v>750</v>
      </c>
      <c r="C419" s="941"/>
      <c r="D419" s="981"/>
      <c r="E419" s="968"/>
      <c r="F419" s="968"/>
      <c r="G419" s="968"/>
      <c r="H419" s="968"/>
      <c r="I419" s="968"/>
      <c r="J419" s="982"/>
      <c r="P419" s="916"/>
      <c r="Q419" s="916"/>
      <c r="R419" s="916"/>
      <c r="S419" s="916"/>
      <c r="T419" s="916"/>
      <c r="U419" s="916"/>
      <c r="V419" s="916"/>
      <c r="W419" s="916"/>
      <c r="X419" s="916"/>
      <c r="Y419" s="916"/>
      <c r="Z419" s="916"/>
      <c r="AA419" s="916"/>
      <c r="AB419" s="916"/>
      <c r="AC419" s="916"/>
      <c r="AD419" s="916"/>
      <c r="AE419" s="916"/>
      <c r="AF419" s="916"/>
      <c r="AG419" s="916"/>
      <c r="AH419" s="916"/>
      <c r="AI419" s="916"/>
      <c r="AJ419" s="916"/>
      <c r="AK419" s="916"/>
      <c r="AL419" s="916"/>
      <c r="AM419" s="916"/>
      <c r="AN419" s="916"/>
      <c r="AO419" s="916"/>
      <c r="AP419" s="916"/>
      <c r="AQ419" s="916"/>
      <c r="AR419" s="916"/>
      <c r="AS419" s="916"/>
      <c r="AT419" s="916"/>
      <c r="AU419" s="916"/>
      <c r="AV419" s="916"/>
      <c r="AW419" s="916"/>
      <c r="AX419" s="916"/>
      <c r="AY419" s="916"/>
      <c r="AZ419" s="916"/>
      <c r="BA419" s="916"/>
      <c r="BB419" s="916"/>
      <c r="BC419" s="916"/>
      <c r="BD419" s="916"/>
      <c r="BE419" s="916"/>
      <c r="BF419" s="916"/>
    </row>
    <row r="420" ht="14.25" customHeight="1">
      <c r="A420" s="916"/>
      <c r="B420" s="917"/>
      <c r="C420" s="941"/>
      <c r="D420" s="983"/>
      <c r="E420" s="920"/>
      <c r="F420" s="920"/>
      <c r="G420" s="920"/>
      <c r="H420" s="920"/>
      <c r="I420" s="920"/>
      <c r="J420" s="984"/>
      <c r="N420" s="916"/>
      <c r="O420" s="916"/>
      <c r="P420" s="916"/>
      <c r="Q420" s="916"/>
      <c r="R420" s="916"/>
      <c r="S420" s="916"/>
      <c r="T420" s="916"/>
      <c r="U420" s="916"/>
      <c r="V420" s="916"/>
      <c r="W420" s="916"/>
      <c r="X420" s="916"/>
      <c r="Y420" s="916"/>
      <c r="Z420" s="916"/>
      <c r="AA420" s="916"/>
      <c r="AB420" s="916"/>
      <c r="AC420" s="916"/>
      <c r="AD420" s="916"/>
      <c r="AE420" s="916"/>
      <c r="AF420" s="916"/>
      <c r="AG420" s="916"/>
      <c r="AH420" s="916"/>
      <c r="AI420" s="916"/>
      <c r="AJ420" s="916"/>
      <c r="AK420" s="916"/>
      <c r="AL420" s="916"/>
      <c r="AM420" s="916"/>
      <c r="AN420" s="916"/>
      <c r="AO420" s="916"/>
      <c r="AP420" s="916"/>
      <c r="AQ420" s="916"/>
      <c r="AR420" s="916"/>
      <c r="AS420" s="916"/>
      <c r="AT420" s="916"/>
      <c r="AU420" s="916"/>
      <c r="AV420" s="916"/>
      <c r="AW420" s="916"/>
      <c r="AX420" s="916"/>
      <c r="AY420" s="916"/>
      <c r="AZ420" s="916"/>
      <c r="BA420" s="916"/>
      <c r="BB420" s="916"/>
      <c r="BC420" s="916"/>
      <c r="BD420" s="916"/>
      <c r="BE420" s="916"/>
      <c r="BF420" s="916"/>
    </row>
    <row r="421" ht="14.25" customHeight="1">
      <c r="A421" s="916"/>
      <c r="B421" s="938"/>
      <c r="C421" s="920"/>
      <c r="D421" s="920"/>
      <c r="E421" s="920"/>
      <c r="F421" s="920"/>
      <c r="G421" s="920"/>
      <c r="H421" s="920"/>
      <c r="I421" s="920"/>
      <c r="J421" s="920"/>
      <c r="K421" s="920"/>
      <c r="L421" s="920"/>
      <c r="M421" s="920"/>
      <c r="N421" s="920"/>
      <c r="O421" s="920"/>
      <c r="P421" s="920"/>
      <c r="Q421" s="920"/>
      <c r="R421" s="920"/>
      <c r="S421" s="920"/>
      <c r="T421" s="920"/>
      <c r="U421" s="920"/>
      <c r="V421" s="920"/>
      <c r="W421" s="920"/>
      <c r="X421" s="920"/>
      <c r="Y421" s="920"/>
      <c r="Z421" s="920"/>
      <c r="AA421" s="920"/>
      <c r="AB421" s="920"/>
      <c r="AC421" s="920"/>
      <c r="AD421" s="920"/>
      <c r="AE421" s="920"/>
      <c r="AF421" s="920"/>
      <c r="AG421" s="920"/>
      <c r="AH421" s="920"/>
      <c r="AI421" s="920"/>
      <c r="AJ421" s="920"/>
      <c r="AK421" s="920"/>
      <c r="AL421" s="920"/>
      <c r="AM421" s="920"/>
      <c r="AN421" s="920"/>
      <c r="AO421" s="920"/>
      <c r="AP421" s="920"/>
      <c r="AQ421" s="920"/>
      <c r="AR421" s="920"/>
      <c r="AS421" s="920"/>
      <c r="AT421" s="920"/>
      <c r="AU421" s="920"/>
      <c r="AV421" s="920"/>
      <c r="AW421" s="920"/>
      <c r="AX421" s="920"/>
      <c r="AY421" s="920"/>
      <c r="AZ421" s="920"/>
      <c r="BA421" s="920"/>
      <c r="BB421" s="920"/>
      <c r="BC421" s="920"/>
      <c r="BD421" s="920"/>
      <c r="BE421" s="920"/>
    </row>
    <row r="422" ht="14.25" customHeight="1">
      <c r="A422" s="916"/>
      <c r="B422" s="917"/>
      <c r="C422" s="916"/>
      <c r="D422" s="916"/>
      <c r="E422" s="916"/>
      <c r="F422" s="916"/>
      <c r="G422" s="916"/>
      <c r="H422" s="916"/>
      <c r="I422" s="916"/>
      <c r="J422" s="916"/>
      <c r="K422" s="916"/>
      <c r="L422" s="916"/>
      <c r="M422" s="916"/>
      <c r="N422" s="916"/>
      <c r="O422" s="916"/>
      <c r="P422" s="916"/>
      <c r="Q422" s="916"/>
      <c r="R422" s="916"/>
      <c r="S422" s="916"/>
      <c r="T422" s="916"/>
      <c r="U422" s="916"/>
      <c r="V422" s="916"/>
      <c r="W422" s="916"/>
      <c r="X422" s="916"/>
      <c r="Y422" s="916"/>
      <c r="Z422" s="916"/>
      <c r="AA422" s="916"/>
      <c r="AB422" s="916"/>
      <c r="AC422" s="916"/>
      <c r="AD422" s="916"/>
      <c r="AE422" s="916"/>
      <c r="AF422" s="916"/>
      <c r="AG422" s="916"/>
      <c r="AH422" s="916"/>
      <c r="AI422" s="916"/>
      <c r="AJ422" s="916"/>
      <c r="AK422" s="916"/>
      <c r="AL422" s="916"/>
      <c r="AM422" s="916"/>
      <c r="AN422" s="916"/>
      <c r="AO422" s="916"/>
      <c r="AP422" s="916"/>
      <c r="AQ422" s="916"/>
      <c r="AR422" s="916"/>
      <c r="AS422" s="916"/>
      <c r="AT422" s="916"/>
      <c r="AU422" s="916"/>
      <c r="AV422" s="916"/>
      <c r="AW422" s="916"/>
      <c r="AX422" s="916"/>
      <c r="AY422" s="916"/>
      <c r="AZ422" s="916"/>
      <c r="BA422" s="916"/>
      <c r="BB422" s="916"/>
      <c r="BC422" s="916"/>
      <c r="BD422" s="916"/>
      <c r="BE422" s="916"/>
    </row>
    <row r="423">
      <c r="H423" s="916"/>
      <c r="I423" s="916"/>
    </row>
    <row r="424">
      <c r="H424" s="916"/>
      <c r="I424" s="916"/>
    </row>
    <row r="425">
      <c r="H425" s="916"/>
      <c r="I425" s="916"/>
    </row>
    <row r="426">
      <c r="H426" s="916"/>
      <c r="I426" s="916"/>
    </row>
    <row r="427">
      <c r="H427" s="916"/>
      <c r="I427" s="916"/>
    </row>
    <row r="428">
      <c r="H428" s="916"/>
      <c r="I428" s="916"/>
    </row>
    <row r="429">
      <c r="H429" s="916"/>
      <c r="I429" s="916"/>
    </row>
    <row r="430">
      <c r="H430" s="1105"/>
      <c r="I430" s="916"/>
    </row>
    <row r="431">
      <c r="H431" s="916"/>
    </row>
    <row r="432">
      <c r="H432" s="916"/>
    </row>
    <row r="433">
      <c r="H433" s="916"/>
    </row>
    <row r="434">
      <c r="H434" s="916"/>
    </row>
    <row r="435">
      <c r="H435" s="916"/>
      <c r="I435" s="1106"/>
    </row>
    <row r="436">
      <c r="H436" s="916"/>
      <c r="I436" s="1107"/>
    </row>
  </sheetData>
  <mergeCells count="49">
    <mergeCell ref="B18:B20"/>
    <mergeCell ref="D51:E51"/>
    <mergeCell ref="D52:E52"/>
    <mergeCell ref="D53:F53"/>
    <mergeCell ref="D54:F54"/>
    <mergeCell ref="D55:F55"/>
    <mergeCell ref="D56:E56"/>
    <mergeCell ref="I170:O170"/>
    <mergeCell ref="I172:O172"/>
    <mergeCell ref="Q194:AC196"/>
    <mergeCell ref="D57:E57"/>
    <mergeCell ref="D58:E58"/>
    <mergeCell ref="I66:O66"/>
    <mergeCell ref="I70:O70"/>
    <mergeCell ref="I132:O132"/>
    <mergeCell ref="I136:O136"/>
    <mergeCell ref="I168:O168"/>
    <mergeCell ref="B70:B71"/>
    <mergeCell ref="B132:B133"/>
    <mergeCell ref="B136:B137"/>
    <mergeCell ref="B168:B169"/>
    <mergeCell ref="B228:B229"/>
    <mergeCell ref="B231:B232"/>
    <mergeCell ref="B234:B235"/>
    <mergeCell ref="AM386:AN386"/>
    <mergeCell ref="AO386:AP386"/>
    <mergeCell ref="AQ386:AR386"/>
    <mergeCell ref="AS386:AT386"/>
    <mergeCell ref="AV386:AW386"/>
    <mergeCell ref="AU390:AU394"/>
    <mergeCell ref="AV390:AW391"/>
    <mergeCell ref="P386:Q386"/>
    <mergeCell ref="R386:S386"/>
    <mergeCell ref="T386:U386"/>
    <mergeCell ref="Z386:AA386"/>
    <mergeCell ref="AB386:AC386"/>
    <mergeCell ref="AD386:AE386"/>
    <mergeCell ref="AF386:AG386"/>
    <mergeCell ref="F387:G387"/>
    <mergeCell ref="F390:G390"/>
    <mergeCell ref="V390:V394"/>
    <mergeCell ref="AH390:AH394"/>
    <mergeCell ref="B269:B270"/>
    <mergeCell ref="F355:G355"/>
    <mergeCell ref="H355:I355"/>
    <mergeCell ref="J355:M355"/>
    <mergeCell ref="N355:Q355"/>
    <mergeCell ref="F386:G386"/>
    <mergeCell ref="N386:O386"/>
  </mergeCells>
  <printOptions/>
  <pageMargins bottom="0.3937007874015748" footer="0.0" header="0.0" left="0.3937007874015748" right="0.3937007874015748" top="0.3937007874015748"/>
  <pageSetup paperSize="9" scale="6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57"/>
    <col customWidth="1" min="2" max="5" width="10.71"/>
    <col customWidth="1" min="6" max="6" width="10.86"/>
    <col customWidth="1" min="7" max="7" width="10.71"/>
    <col customWidth="1" min="8" max="8" width="11.29"/>
    <col customWidth="1" min="9" max="9" width="2.71"/>
    <col customWidth="1" min="10" max="10" width="10.86"/>
    <col customWidth="1" min="11" max="11" width="10.71"/>
    <col customWidth="1" min="12" max="12" width="16.0"/>
    <col customWidth="1" min="13" max="15" width="0.43"/>
    <col customWidth="1" min="16" max="24" width="10.71"/>
  </cols>
  <sheetData>
    <row r="1" ht="14.25" customHeight="1">
      <c r="A1" s="22"/>
      <c r="B1" s="22"/>
      <c r="C1" s="22"/>
      <c r="D1" s="22"/>
      <c r="E1" s="22"/>
      <c r="F1" s="22"/>
      <c r="G1" s="22"/>
      <c r="H1" s="22"/>
      <c r="I1" s="22"/>
      <c r="J1" s="22"/>
      <c r="K1" s="22"/>
      <c r="L1" s="22"/>
      <c r="M1" s="22"/>
      <c r="N1" s="22"/>
      <c r="O1" s="22"/>
      <c r="P1" s="22"/>
      <c r="Q1" s="22"/>
      <c r="R1" s="22"/>
      <c r="S1" s="22"/>
      <c r="T1" s="22"/>
      <c r="U1" s="22"/>
      <c r="V1" s="22"/>
      <c r="W1" s="22"/>
      <c r="X1" s="22"/>
    </row>
    <row r="2" ht="14.25" customHeight="1">
      <c r="A2" s="22"/>
      <c r="B2" s="22"/>
      <c r="C2" s="22"/>
      <c r="D2" s="22"/>
      <c r="E2" s="22"/>
      <c r="F2" s="22"/>
      <c r="G2" s="22"/>
      <c r="H2" s="22"/>
      <c r="I2" s="22"/>
      <c r="J2" s="22"/>
      <c r="K2" s="22"/>
      <c r="L2" s="22"/>
      <c r="M2" s="22"/>
      <c r="N2" s="22"/>
      <c r="O2" s="22"/>
      <c r="P2" s="22"/>
      <c r="Q2" s="22"/>
      <c r="R2" s="22"/>
      <c r="S2" s="22"/>
      <c r="T2" s="22"/>
      <c r="U2" s="22"/>
      <c r="V2" s="22"/>
      <c r="W2" s="22"/>
      <c r="X2" s="22"/>
    </row>
    <row r="3" ht="14.25" customHeight="1">
      <c r="A3" s="22"/>
      <c r="B3" s="22"/>
      <c r="C3" s="22"/>
      <c r="D3" s="22"/>
      <c r="E3" s="22"/>
      <c r="F3" s="22"/>
      <c r="G3" s="22"/>
      <c r="H3" s="22"/>
      <c r="I3" s="22"/>
      <c r="J3" s="22"/>
      <c r="K3" s="22"/>
      <c r="L3" s="22"/>
      <c r="M3" s="22"/>
      <c r="N3" s="22"/>
      <c r="O3" s="22"/>
      <c r="P3" s="22"/>
      <c r="Q3" s="22"/>
      <c r="R3" s="22"/>
      <c r="S3" s="22"/>
      <c r="T3" s="22"/>
      <c r="U3" s="22"/>
      <c r="V3" s="22"/>
      <c r="W3" s="22"/>
      <c r="X3" s="22"/>
    </row>
    <row r="4" ht="14.25" customHeight="1">
      <c r="A4" s="22"/>
      <c r="B4" s="22"/>
      <c r="C4" s="22"/>
      <c r="D4" s="22"/>
      <c r="E4" s="22"/>
      <c r="F4" s="22"/>
      <c r="G4" s="22"/>
      <c r="H4" s="22"/>
      <c r="I4" s="22"/>
      <c r="J4" s="22"/>
      <c r="K4" s="22"/>
      <c r="L4" s="22"/>
      <c r="M4" s="22"/>
      <c r="N4" s="22"/>
      <c r="O4" s="22"/>
      <c r="P4" s="22"/>
      <c r="Q4" s="22"/>
      <c r="R4" s="22"/>
      <c r="S4" s="22"/>
      <c r="T4" s="22"/>
      <c r="U4" s="22"/>
      <c r="V4" s="22"/>
      <c r="W4" s="22"/>
      <c r="X4" s="22"/>
    </row>
    <row r="5" ht="14.25" customHeight="1">
      <c r="A5" s="22"/>
      <c r="B5" s="1108" t="s">
        <v>10</v>
      </c>
      <c r="C5" s="50"/>
      <c r="D5" s="50"/>
      <c r="E5" s="50"/>
      <c r="F5" s="50"/>
      <c r="G5" s="50"/>
      <c r="H5" s="50"/>
      <c r="I5" s="50"/>
      <c r="J5" s="50"/>
      <c r="K5" s="50"/>
      <c r="L5" s="50"/>
      <c r="M5" s="50"/>
      <c r="N5" s="50"/>
      <c r="O5" s="50"/>
      <c r="P5" s="22"/>
      <c r="Q5" s="22"/>
      <c r="R5" s="22"/>
      <c r="S5" s="22"/>
      <c r="T5" s="22"/>
      <c r="U5" s="22"/>
      <c r="V5" s="22"/>
      <c r="W5" s="22"/>
      <c r="X5" s="22"/>
    </row>
    <row r="6" ht="14.25" customHeight="1">
      <c r="A6" s="22"/>
      <c r="B6" s="1109" t="s">
        <v>960</v>
      </c>
      <c r="C6" s="193"/>
      <c r="D6" s="193"/>
      <c r="E6" s="193"/>
      <c r="F6" s="193"/>
      <c r="G6" s="193"/>
      <c r="H6" s="193"/>
      <c r="I6" s="193"/>
      <c r="J6" s="193"/>
      <c r="K6" s="193"/>
      <c r="L6" s="193"/>
      <c r="M6" s="193"/>
      <c r="N6" s="193"/>
      <c r="O6" s="193"/>
      <c r="P6" s="22"/>
      <c r="Q6" s="22"/>
      <c r="R6" s="22"/>
      <c r="S6" s="22"/>
      <c r="T6" s="22"/>
      <c r="U6" s="22"/>
      <c r="V6" s="22"/>
      <c r="W6" s="22"/>
      <c r="X6" s="22"/>
    </row>
    <row r="7" ht="14.25" customHeight="1">
      <c r="A7" s="22"/>
      <c r="B7" s="1109" t="s">
        <v>961</v>
      </c>
      <c r="C7" s="193"/>
      <c r="D7" s="50"/>
      <c r="E7" s="50"/>
      <c r="F7" s="50"/>
      <c r="G7" s="50"/>
      <c r="H7" s="50"/>
      <c r="I7" s="50"/>
      <c r="J7" s="50"/>
      <c r="K7" s="50"/>
      <c r="L7" s="50"/>
      <c r="M7" s="50"/>
      <c r="N7" s="50"/>
      <c r="O7" s="50"/>
      <c r="P7" s="22"/>
      <c r="Q7" s="22"/>
      <c r="R7" s="22"/>
      <c r="S7" s="22"/>
      <c r="T7" s="22"/>
      <c r="U7" s="22"/>
      <c r="V7" s="22"/>
      <c r="W7" s="22"/>
      <c r="X7" s="22"/>
    </row>
    <row r="8" ht="14.25" customHeight="1">
      <c r="A8" s="22"/>
      <c r="B8" s="1109" t="s">
        <v>962</v>
      </c>
      <c r="C8" s="193"/>
      <c r="D8" s="193"/>
      <c r="E8" s="193"/>
      <c r="F8" s="193"/>
      <c r="G8" s="193"/>
      <c r="H8" s="50"/>
      <c r="I8" s="50"/>
      <c r="J8" s="50"/>
      <c r="K8" s="50"/>
      <c r="L8" s="50"/>
      <c r="M8" s="50"/>
      <c r="N8" s="50"/>
      <c r="O8" s="50"/>
      <c r="P8" s="22"/>
      <c r="Q8" s="22"/>
      <c r="R8" s="22"/>
      <c r="S8" s="22"/>
      <c r="T8" s="22"/>
      <c r="U8" s="22"/>
      <c r="V8" s="22"/>
      <c r="W8" s="22"/>
      <c r="X8" s="22"/>
    </row>
    <row r="9" ht="14.25" customHeight="1">
      <c r="A9" s="22"/>
      <c r="B9" s="1109" t="s">
        <v>963</v>
      </c>
      <c r="C9" s="193"/>
      <c r="D9" s="50"/>
      <c r="E9" s="50"/>
      <c r="F9" s="50"/>
      <c r="G9" s="50"/>
      <c r="H9" s="50"/>
      <c r="I9" s="50"/>
      <c r="J9" s="50"/>
      <c r="K9" s="50"/>
      <c r="L9" s="50"/>
      <c r="M9" s="50"/>
      <c r="N9" s="50"/>
      <c r="O9" s="50"/>
      <c r="P9" s="22"/>
      <c r="Q9" s="22"/>
      <c r="R9" s="22"/>
      <c r="S9" s="22"/>
      <c r="T9" s="22"/>
      <c r="U9" s="22"/>
      <c r="V9" s="22"/>
      <c r="W9" s="22"/>
      <c r="X9" s="22"/>
    </row>
    <row r="10" ht="14.25" customHeight="1">
      <c r="A10" s="22"/>
      <c r="B10" s="1110"/>
      <c r="C10" s="1110"/>
      <c r="D10" s="1110"/>
      <c r="E10" s="1110"/>
      <c r="F10" s="1110"/>
      <c r="G10" s="1110"/>
      <c r="H10" s="1110"/>
      <c r="I10" s="1110"/>
      <c r="J10" s="1110"/>
      <c r="K10" s="1110"/>
      <c r="L10" s="1110"/>
      <c r="M10" s="1110"/>
      <c r="N10" s="50"/>
      <c r="O10" s="50"/>
      <c r="P10" s="22"/>
      <c r="Q10" s="22"/>
      <c r="R10" s="22"/>
      <c r="S10" s="22"/>
      <c r="T10" s="22"/>
      <c r="U10" s="22"/>
      <c r="V10" s="22"/>
      <c r="W10" s="22"/>
      <c r="X10" s="22"/>
    </row>
    <row r="11" ht="14.25" customHeight="1">
      <c r="A11" s="22"/>
      <c r="B11" s="50"/>
      <c r="C11" s="50"/>
      <c r="D11" s="50"/>
      <c r="E11" s="50"/>
      <c r="F11" s="50"/>
      <c r="G11" s="50"/>
      <c r="H11" s="50"/>
      <c r="I11" s="50"/>
      <c r="J11" s="50"/>
      <c r="K11" s="50"/>
      <c r="L11" s="50"/>
      <c r="M11" s="50"/>
      <c r="N11" s="50"/>
      <c r="O11" s="50"/>
      <c r="P11" s="22"/>
      <c r="Q11" s="22"/>
      <c r="R11" s="22"/>
      <c r="S11" s="22"/>
      <c r="T11" s="22"/>
      <c r="U11" s="22"/>
      <c r="V11" s="22"/>
      <c r="W11" s="22"/>
      <c r="X11" s="22"/>
    </row>
    <row r="12" ht="14.25" customHeight="1">
      <c r="A12" s="22"/>
      <c r="B12" s="1111" t="s">
        <v>964</v>
      </c>
      <c r="C12" s="1112"/>
      <c r="D12" s="1113"/>
      <c r="E12" s="724"/>
      <c r="F12" s="724"/>
      <c r="G12" s="724"/>
      <c r="H12" s="724"/>
      <c r="I12" s="50"/>
      <c r="J12" s="724"/>
      <c r="K12" s="724"/>
      <c r="L12" s="724"/>
      <c r="M12" s="724"/>
      <c r="N12" s="50"/>
      <c r="O12" s="50"/>
      <c r="P12" s="22"/>
      <c r="Q12" s="22"/>
      <c r="R12" s="22"/>
      <c r="S12" s="22"/>
      <c r="T12" s="22"/>
      <c r="U12" s="22"/>
      <c r="V12" s="22"/>
      <c r="W12" s="22"/>
      <c r="X12" s="22"/>
    </row>
    <row r="13" ht="14.25" customHeight="1">
      <c r="A13" s="22"/>
      <c r="B13" s="1038"/>
      <c r="C13" s="1038"/>
      <c r="D13" s="1038"/>
      <c r="E13" s="1038"/>
      <c r="F13" s="1038"/>
      <c r="G13" s="1038"/>
      <c r="H13" s="1038"/>
      <c r="I13" s="50"/>
      <c r="J13" s="724"/>
      <c r="K13" s="724"/>
      <c r="L13" s="724"/>
      <c r="M13" s="50"/>
      <c r="N13" s="50"/>
      <c r="O13" s="50"/>
      <c r="P13" s="22"/>
      <c r="Q13" s="22"/>
      <c r="R13" s="22"/>
      <c r="S13" s="22"/>
      <c r="T13" s="22"/>
      <c r="U13" s="22"/>
      <c r="V13" s="22"/>
      <c r="W13" s="22"/>
      <c r="X13" s="22"/>
    </row>
    <row r="14" ht="14.25" customHeight="1">
      <c r="A14" s="22"/>
      <c r="B14" s="1114" t="s">
        <v>965</v>
      </c>
      <c r="C14" s="1115" t="s">
        <v>402</v>
      </c>
      <c r="D14" s="129"/>
      <c r="E14" s="129"/>
      <c r="F14" s="129"/>
      <c r="G14" s="129"/>
      <c r="H14" s="130"/>
      <c r="I14" s="50"/>
      <c r="J14" s="724"/>
      <c r="K14" s="724"/>
      <c r="L14" s="724"/>
      <c r="M14" s="50"/>
      <c r="N14" s="50"/>
      <c r="O14" s="50"/>
      <c r="P14" s="22"/>
      <c r="Q14" s="22"/>
      <c r="R14" s="22"/>
      <c r="S14" s="22"/>
      <c r="T14" s="22"/>
      <c r="U14" s="22"/>
      <c r="V14" s="22"/>
      <c r="W14" s="22"/>
      <c r="X14" s="22"/>
    </row>
    <row r="15" ht="14.25" customHeight="1">
      <c r="A15" s="22"/>
      <c r="B15" s="1116"/>
      <c r="C15" s="1007"/>
      <c r="D15" s="1117"/>
      <c r="E15" s="1117"/>
      <c r="F15" s="1117"/>
      <c r="G15" s="1117"/>
      <c r="H15" s="1008"/>
      <c r="I15" s="50"/>
      <c r="J15" s="724"/>
      <c r="K15" s="724"/>
      <c r="L15" s="724"/>
      <c r="M15" s="50"/>
      <c r="N15" s="50"/>
      <c r="O15" s="50"/>
      <c r="P15" s="22"/>
      <c r="Q15" s="22"/>
      <c r="R15" s="22"/>
      <c r="S15" s="22"/>
      <c r="T15" s="22"/>
      <c r="U15" s="22"/>
      <c r="V15" s="22"/>
      <c r="W15" s="22"/>
      <c r="X15" s="22"/>
    </row>
    <row r="16" ht="14.25" customHeight="1">
      <c r="A16" s="22"/>
      <c r="B16" s="1118" t="s">
        <v>966</v>
      </c>
      <c r="C16" s="1119" t="s">
        <v>967</v>
      </c>
      <c r="H16" s="155"/>
      <c r="I16" s="50"/>
      <c r="J16" s="1120" t="s">
        <v>968</v>
      </c>
      <c r="P16" s="22"/>
      <c r="Q16" s="22"/>
      <c r="R16" s="22"/>
      <c r="S16" s="22"/>
      <c r="T16" s="22"/>
      <c r="U16" s="22"/>
      <c r="V16" s="22"/>
      <c r="W16" s="22"/>
      <c r="X16" s="22"/>
    </row>
    <row r="17" ht="14.25" customHeight="1">
      <c r="A17" s="22"/>
      <c r="B17" s="1118" t="s">
        <v>969</v>
      </c>
      <c r="C17" s="1121" t="s">
        <v>970</v>
      </c>
      <c r="H17" s="155"/>
      <c r="I17" s="50"/>
      <c r="J17" s="1122" t="s">
        <v>971</v>
      </c>
      <c r="P17" s="22"/>
      <c r="Q17" s="22"/>
      <c r="R17" s="22"/>
      <c r="S17" s="22"/>
      <c r="T17" s="22"/>
      <c r="U17" s="22"/>
      <c r="V17" s="22"/>
      <c r="W17" s="22"/>
      <c r="X17" s="22"/>
    </row>
    <row r="18" ht="14.25" customHeight="1">
      <c r="A18" s="22"/>
      <c r="B18" s="1123" t="s">
        <v>972</v>
      </c>
      <c r="C18" s="1121" t="s">
        <v>973</v>
      </c>
      <c r="H18" s="155"/>
      <c r="I18" s="50"/>
      <c r="J18" s="1124" t="s">
        <v>974</v>
      </c>
      <c r="K18" s="50"/>
      <c r="L18" s="50"/>
      <c r="M18" s="50"/>
      <c r="N18" s="50"/>
      <c r="O18" s="50"/>
      <c r="P18" s="22"/>
      <c r="Q18" s="22"/>
      <c r="R18" s="22"/>
      <c r="S18" s="22"/>
      <c r="T18" s="22"/>
      <c r="U18" s="22"/>
      <c r="V18" s="22"/>
      <c r="W18" s="22"/>
      <c r="X18" s="22"/>
    </row>
    <row r="19" ht="14.25" customHeight="1">
      <c r="A19" s="22"/>
      <c r="B19" s="1118" t="s">
        <v>975</v>
      </c>
      <c r="C19" s="1125" t="s">
        <v>976</v>
      </c>
      <c r="H19" s="155"/>
      <c r="I19" s="50"/>
      <c r="J19" s="1124" t="s">
        <v>977</v>
      </c>
      <c r="K19" s="50"/>
      <c r="L19" s="50"/>
      <c r="M19" s="50"/>
      <c r="N19" s="50"/>
      <c r="O19" s="50"/>
      <c r="P19" s="22"/>
      <c r="Q19" s="22"/>
      <c r="R19" s="22"/>
      <c r="S19" s="22"/>
      <c r="T19" s="22"/>
      <c r="U19" s="22"/>
      <c r="V19" s="22"/>
      <c r="W19" s="22"/>
      <c r="X19" s="22"/>
    </row>
    <row r="20" ht="14.25" customHeight="1">
      <c r="A20" s="22"/>
      <c r="B20" s="1118" t="s">
        <v>978</v>
      </c>
      <c r="C20" s="1121" t="s">
        <v>979</v>
      </c>
      <c r="H20" s="155"/>
      <c r="I20" s="50"/>
      <c r="J20" s="1126" t="s">
        <v>980</v>
      </c>
      <c r="K20" s="724"/>
      <c r="L20" s="724"/>
      <c r="M20" s="724"/>
      <c r="N20" s="50"/>
      <c r="O20" s="50"/>
      <c r="P20" s="22"/>
      <c r="Q20" s="22"/>
      <c r="R20" s="22"/>
      <c r="S20" s="22"/>
      <c r="T20" s="22"/>
      <c r="U20" s="22"/>
      <c r="V20" s="22"/>
      <c r="W20" s="22"/>
      <c r="X20" s="22"/>
    </row>
    <row r="21" ht="14.25" customHeight="1">
      <c r="A21" s="22"/>
      <c r="B21" s="1118" t="s">
        <v>981</v>
      </c>
      <c r="C21" s="1121" t="s">
        <v>982</v>
      </c>
      <c r="H21" s="155"/>
      <c r="I21" s="50"/>
      <c r="J21" s="724"/>
      <c r="K21" s="724"/>
      <c r="L21" s="724"/>
      <c r="M21" s="724"/>
      <c r="N21" s="50"/>
      <c r="O21" s="50"/>
      <c r="P21" s="22"/>
      <c r="Q21" s="22"/>
      <c r="R21" s="22"/>
      <c r="S21" s="22"/>
      <c r="T21" s="22"/>
      <c r="U21" s="22"/>
      <c r="V21" s="22"/>
      <c r="W21" s="22"/>
      <c r="X21" s="22"/>
    </row>
    <row r="22" ht="14.25" customHeight="1">
      <c r="A22" s="22"/>
      <c r="B22" s="1127"/>
      <c r="C22" s="1035"/>
      <c r="D22" s="1038"/>
      <c r="E22" s="1038"/>
      <c r="F22" s="1038"/>
      <c r="G22" s="1038"/>
      <c r="H22" s="1036"/>
      <c r="I22" s="50"/>
      <c r="J22" s="724"/>
      <c r="K22" s="724"/>
      <c r="L22" s="724"/>
      <c r="M22" s="724"/>
      <c r="N22" s="50"/>
      <c r="O22" s="50"/>
      <c r="P22" s="22"/>
      <c r="Q22" s="22"/>
      <c r="R22" s="22"/>
      <c r="S22" s="22"/>
      <c r="T22" s="22"/>
      <c r="U22" s="22"/>
      <c r="V22" s="22"/>
      <c r="W22" s="22"/>
      <c r="X22" s="22"/>
    </row>
    <row r="23" ht="14.25" customHeight="1">
      <c r="A23" s="22"/>
      <c r="B23" s="724"/>
      <c r="C23" s="724"/>
      <c r="D23" s="724"/>
      <c r="E23" s="724"/>
      <c r="F23" s="724"/>
      <c r="G23" s="724"/>
      <c r="H23" s="724"/>
      <c r="I23" s="50"/>
      <c r="J23" s="724"/>
      <c r="K23" s="724"/>
      <c r="L23" s="724"/>
      <c r="M23" s="724"/>
      <c r="N23" s="50"/>
      <c r="O23" s="50"/>
      <c r="P23" s="22"/>
      <c r="Q23" s="22"/>
      <c r="R23" s="22"/>
      <c r="S23" s="22"/>
      <c r="T23" s="22"/>
      <c r="U23" s="22"/>
      <c r="V23" s="22"/>
      <c r="W23" s="22"/>
      <c r="X23" s="22"/>
    </row>
    <row r="24" ht="14.25" customHeight="1">
      <c r="A24" s="22"/>
      <c r="B24" s="1128" t="s">
        <v>983</v>
      </c>
      <c r="C24" s="1129"/>
      <c r="D24" s="1129"/>
      <c r="E24" s="1129"/>
      <c r="F24" s="1110"/>
      <c r="G24" s="1110"/>
      <c r="H24" s="1110"/>
      <c r="I24" s="1110"/>
      <c r="J24" s="1110"/>
      <c r="K24" s="1110"/>
      <c r="L24" s="1110"/>
      <c r="M24" s="1110"/>
      <c r="N24" s="1110"/>
      <c r="O24" s="50"/>
      <c r="P24" s="22"/>
      <c r="Q24" s="22"/>
      <c r="R24" s="22"/>
      <c r="S24" s="22"/>
      <c r="T24" s="22"/>
      <c r="U24" s="22"/>
      <c r="V24" s="22"/>
      <c r="W24" s="22"/>
      <c r="X24" s="22"/>
    </row>
    <row r="25" ht="14.25" customHeight="1">
      <c r="A25" s="22"/>
      <c r="B25" s="1130"/>
      <c r="C25" s="126"/>
      <c r="D25" s="126"/>
      <c r="E25" s="126"/>
      <c r="F25" s="126"/>
      <c r="G25" s="126"/>
      <c r="H25" s="126"/>
      <c r="I25" s="126"/>
      <c r="J25" s="126"/>
      <c r="K25" s="126"/>
      <c r="L25" s="126"/>
      <c r="M25" s="1131"/>
      <c r="N25" s="1132"/>
      <c r="O25" s="50"/>
      <c r="P25" s="22"/>
      <c r="Q25" s="22"/>
      <c r="R25" s="22"/>
      <c r="S25" s="22"/>
      <c r="T25" s="22"/>
      <c r="U25" s="22"/>
      <c r="V25" s="22"/>
      <c r="W25" s="22"/>
      <c r="X25" s="22"/>
    </row>
    <row r="26" ht="14.25" customHeight="1">
      <c r="A26" s="22"/>
      <c r="B26" s="217"/>
      <c r="M26" s="50"/>
      <c r="N26" s="1133"/>
      <c r="O26" s="50"/>
      <c r="P26" s="22"/>
      <c r="Q26" s="22"/>
      <c r="R26" s="22"/>
      <c r="S26" s="22"/>
      <c r="T26" s="22"/>
      <c r="U26" s="22"/>
      <c r="V26" s="22"/>
      <c r="W26" s="22"/>
      <c r="X26" s="22"/>
    </row>
    <row r="27" ht="14.25" customHeight="1">
      <c r="A27" s="22"/>
      <c r="B27" s="217"/>
      <c r="M27" s="50"/>
      <c r="N27" s="1133"/>
      <c r="O27" s="50"/>
      <c r="P27" s="22"/>
      <c r="Q27" s="22"/>
      <c r="R27" s="22"/>
      <c r="S27" s="22"/>
      <c r="T27" s="22"/>
      <c r="U27" s="22"/>
      <c r="V27" s="22"/>
      <c r="W27" s="22"/>
      <c r="X27" s="22"/>
    </row>
    <row r="28" ht="14.25" customHeight="1">
      <c r="A28" s="22"/>
      <c r="B28" s="128"/>
      <c r="C28" s="129"/>
      <c r="D28" s="129"/>
      <c r="E28" s="129"/>
      <c r="F28" s="129"/>
      <c r="G28" s="129"/>
      <c r="H28" s="129"/>
      <c r="I28" s="129"/>
      <c r="J28" s="129"/>
      <c r="K28" s="129"/>
      <c r="L28" s="129"/>
      <c r="M28" s="1110"/>
      <c r="N28" s="1134"/>
      <c r="O28" s="50"/>
      <c r="P28" s="22"/>
      <c r="Q28" s="22"/>
      <c r="R28" s="22"/>
      <c r="S28" s="22"/>
      <c r="T28" s="22"/>
      <c r="U28" s="22"/>
      <c r="V28" s="22"/>
      <c r="W28" s="22"/>
      <c r="X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row>
  </sheetData>
  <mergeCells count="10">
    <mergeCell ref="C20:H20"/>
    <mergeCell ref="C21:H21"/>
    <mergeCell ref="B25:L28"/>
    <mergeCell ref="C14:H14"/>
    <mergeCell ref="C16:H16"/>
    <mergeCell ref="J16:O16"/>
    <mergeCell ref="C17:H17"/>
    <mergeCell ref="J17:O17"/>
    <mergeCell ref="C18:H18"/>
    <mergeCell ref="C19:H19"/>
  </mergeCells>
  <printOptions/>
  <pageMargins bottom="0.75" footer="0.0" header="0.0" left="0.7" right="0.7" top="0.75"/>
  <pageSetup paperSize="9" orientation="portrait"/>
  <drawing r:id="rId1"/>
</worksheet>
</file>